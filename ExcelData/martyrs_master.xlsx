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bbasi\Desktop\"/>
    </mc:Choice>
  </mc:AlternateContent>
  <xr:revisionPtr revIDLastSave="0" documentId="8_{B20543B8-AFA7-4AB4-AE7E-2E1300691E0B}" xr6:coauthVersionLast="47" xr6:coauthVersionMax="47" xr10:uidLastSave="{00000000-0000-0000-0000-000000000000}"/>
  <bookViews>
    <workbookView xWindow="28680" yWindow="-120" windowWidth="29040" windowHeight="15840" activeTab="9" xr2:uid="{1FACEA95-A778-4177-8847-5EA893432752}"/>
  </bookViews>
  <sheets>
    <sheet name="قطعه 17" sheetId="17" r:id="rId1"/>
    <sheet name="قطعه 24" sheetId="1" r:id="rId2"/>
    <sheet name="قطعه 26" sheetId="3" r:id="rId3"/>
    <sheet name="قطعه 27" sheetId="4" r:id="rId4"/>
    <sheet name="قطعه 28" sheetId="5" r:id="rId5"/>
    <sheet name="قطعه 29" sheetId="6" r:id="rId6"/>
    <sheet name="قطعه 40" sheetId="7" r:id="rId7"/>
    <sheet name="قطعه 53" sheetId="9" r:id="rId8"/>
    <sheet name="عکس دار" sheetId="12" r:id="rId9"/>
    <sheet name="آمار" sheetId="11" r:id="rId10"/>
  </sheets>
  <definedNames>
    <definedName name="_xlnm._FilterDatabase" localSheetId="8" hidden="1">'عکس دار'!$B$1:$M$108</definedName>
    <definedName name="_xlnm._FilterDatabase" localSheetId="1" hidden="1">'قطعه 24'!$B$1:$Q$599</definedName>
    <definedName name="_xlnm._FilterDatabase" localSheetId="2" hidden="1">'قطعه 26'!$B$1:$Q$367</definedName>
    <definedName name="_xlnm._FilterDatabase" localSheetId="3" hidden="1">'قطعه 27'!$B$1:$Q$325</definedName>
    <definedName name="_xlnm._FilterDatabase" localSheetId="4" hidden="1">'قطعه 28'!$B$1:$Q$515</definedName>
    <definedName name="_xlnm._FilterDatabase" localSheetId="5" hidden="1">'قطعه 29'!$B$1:$Q$417</definedName>
    <definedName name="_xlnm._FilterDatabase" localSheetId="6" hidden="1">'قطعه 40'!$B$1:$Q$210</definedName>
    <definedName name="_xlnm._FilterDatabase" localSheetId="7" hidden="1">'قطعه 53'!$D$1:$Q$555</definedName>
    <definedName name="_xlnm.Print_Area" localSheetId="9">آمار!$B$2:$M$11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P210" i="7" l="1"/>
  <c r="E9" i="11"/>
  <c r="M210" i="7"/>
  <c r="H9" i="11"/>
  <c r="J210" i="7"/>
  <c r="G9" i="11"/>
  <c r="I9" i="11"/>
  <c r="I210" i="7"/>
  <c r="D9" i="11"/>
  <c r="P417" i="6"/>
  <c r="E8" i="11"/>
  <c r="M417" i="6"/>
  <c r="H8" i="11"/>
  <c r="J417" i="6"/>
  <c r="G8" i="11"/>
  <c r="P515" i="5"/>
  <c r="E7" i="11"/>
  <c r="N515" i="5"/>
  <c r="M515" i="5"/>
  <c r="H7" i="11"/>
  <c r="I515" i="5"/>
  <c r="D7" i="11"/>
  <c r="J515" i="5"/>
  <c r="G7" i="11"/>
  <c r="I599" i="1"/>
  <c r="J599" i="1"/>
  <c r="G4" i="11" s="1"/>
  <c r="M599" i="1"/>
  <c r="H4" i="11" s="1"/>
  <c r="H11" i="11" s="1"/>
  <c r="I417" i="6"/>
  <c r="D8" i="11"/>
  <c r="K8" i="11"/>
  <c r="J8" i="11"/>
  <c r="M367" i="3"/>
  <c r="H5" i="11"/>
  <c r="L5" i="11"/>
  <c r="J367" i="3"/>
  <c r="G5" i="11"/>
  <c r="P599" i="1"/>
  <c r="E4" i="11" s="1"/>
  <c r="O599" i="1"/>
  <c r="N599" i="1"/>
  <c r="C11" i="11"/>
  <c r="I367" i="3"/>
  <c r="M555" i="9"/>
  <c r="P555" i="9"/>
  <c r="E10" i="11"/>
  <c r="F10" i="11"/>
  <c r="J555" i="9"/>
  <c r="G10" i="11"/>
  <c r="K10" i="11"/>
  <c r="J10" i="11"/>
  <c r="I555" i="9"/>
  <c r="D10" i="11"/>
  <c r="K555" i="9"/>
  <c r="L555" i="9"/>
  <c r="N555" i="9"/>
  <c r="K210" i="7"/>
  <c r="L210" i="7"/>
  <c r="N210" i="7"/>
  <c r="O210" i="7"/>
  <c r="K417" i="6"/>
  <c r="L417" i="6"/>
  <c r="N417" i="6"/>
  <c r="O417" i="6"/>
  <c r="K515" i="5"/>
  <c r="L515" i="5"/>
  <c r="O515" i="5"/>
  <c r="I325" i="4"/>
  <c r="D6" i="11"/>
  <c r="J325" i="4"/>
  <c r="G6" i="11"/>
  <c r="K325" i="4"/>
  <c r="L325" i="4"/>
  <c r="M325" i="4"/>
  <c r="H6" i="11"/>
  <c r="N325" i="4"/>
  <c r="O325" i="4"/>
  <c r="P325" i="4"/>
  <c r="E6" i="11"/>
  <c r="L6" i="11"/>
  <c r="K367" i="3"/>
  <c r="L367" i="3"/>
  <c r="N367" i="3"/>
  <c r="O367" i="3"/>
  <c r="P367" i="3"/>
  <c r="E5" i="11"/>
  <c r="K599" i="1"/>
  <c r="L599" i="1"/>
  <c r="I8" i="11"/>
  <c r="L8" i="11"/>
  <c r="L9" i="11"/>
  <c r="F9" i="11"/>
  <c r="M9" i="11"/>
  <c r="F6" i="11"/>
  <c r="F5" i="11"/>
  <c r="I5" i="11"/>
  <c r="M5" i="11"/>
  <c r="K5" i="11"/>
  <c r="J5" i="11"/>
  <c r="F7" i="11"/>
  <c r="L7" i="11"/>
  <c r="I6" i="11"/>
  <c r="M10" i="11"/>
  <c r="I10" i="11"/>
  <c r="F8" i="11"/>
  <c r="M8" i="11"/>
  <c r="I7" i="11"/>
  <c r="K9" i="11"/>
  <c r="J9" i="11"/>
  <c r="K6" i="11"/>
  <c r="J6" i="11"/>
  <c r="D11" i="11"/>
  <c r="M6" i="11"/>
  <c r="L10" i="11"/>
  <c r="K7" i="11"/>
  <c r="J7" i="11"/>
  <c r="M7" i="11"/>
  <c r="E11" i="11" l="1"/>
  <c r="F4" i="11"/>
  <c r="L4" i="11"/>
  <c r="L11" i="11" s="1"/>
  <c r="I4" i="11"/>
  <c r="I11" i="11" s="1"/>
  <c r="K4" i="11"/>
  <c r="G11" i="11"/>
  <c r="J4" i="11" l="1"/>
  <c r="K11" i="11"/>
  <c r="J11" i="11" s="1"/>
  <c r="M4" i="11"/>
  <c r="M11" i="11" s="1"/>
  <c r="F11" i="1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hp</author>
  </authors>
  <commentList>
    <comment ref="Q232" authorId="0" shapeId="0" xr:uid="{124297F6-4B9C-4858-A935-CEB3A35CAC37}">
      <text>
        <r>
          <rPr>
            <b/>
            <sz val="9"/>
            <color indexed="81"/>
            <rFont val="Tahoma"/>
            <family val="2"/>
          </rPr>
          <t xml:space="preserve">بدون رنگ
</t>
        </r>
      </text>
    </comment>
    <comment ref="Q233" authorId="0" shapeId="0" xr:uid="{3B89BE42-946B-4037-8DE9-7EB4536969A3}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بدون رنگ
</t>
        </r>
      </text>
    </comment>
    <comment ref="Q234" authorId="0" shapeId="0" xr:uid="{9AF413FE-B1CA-420E-B6EA-DA7B8169D329}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بدون رنگ</t>
        </r>
      </text>
    </comment>
    <comment ref="Q330" authorId="0" shapeId="0" xr:uid="{40896E81-1F04-4184-906C-5F08945D6524}">
      <text>
        <r>
          <rPr>
            <b/>
            <sz val="9"/>
            <color indexed="81"/>
            <rFont val="Tahoma"/>
            <family val="2"/>
          </rPr>
          <t xml:space="preserve">بدون رنگ
</t>
        </r>
      </text>
    </comment>
    <comment ref="Q332" authorId="0" shapeId="0" xr:uid="{0B56AD8E-EF47-4461-B14F-5BE49FDFE33D}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بدون رنگ</t>
        </r>
      </text>
    </comment>
    <comment ref="E406" authorId="0" shapeId="0" xr:uid="{AF46B25F-48A3-4B65-B42E-A2617FAEA26A}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تاریخ 2/28 ارسال شده</t>
        </r>
      </text>
    </comment>
  </commentList>
</comments>
</file>

<file path=xl/sharedStrings.xml><?xml version="1.0" encoding="utf-8"?>
<sst xmlns="http://schemas.openxmlformats.org/spreadsheetml/2006/main" count="10733" uniqueCount="3327">
  <si>
    <t>ردیف</t>
  </si>
  <si>
    <t>قطعه</t>
  </si>
  <si>
    <t>شماره</t>
  </si>
  <si>
    <t>بلوک</t>
  </si>
  <si>
    <t>ترمیم /تعویض</t>
  </si>
  <si>
    <t>توضیحات</t>
  </si>
  <si>
    <t>شهید گمنام</t>
  </si>
  <si>
    <t>علی حسینی</t>
  </si>
  <si>
    <t>سنگ ندارد</t>
  </si>
  <si>
    <t xml:space="preserve">شهید گمنام </t>
  </si>
  <si>
    <t>ابوالفضل غلامی</t>
  </si>
  <si>
    <t xml:space="preserve">10 ل </t>
  </si>
  <si>
    <t>تعویض</t>
  </si>
  <si>
    <t>مرمر</t>
  </si>
  <si>
    <t>توسط برادر خزایی رسیدگی شود</t>
  </si>
  <si>
    <t>شهیدگمنام</t>
  </si>
  <si>
    <t>46 مکرر</t>
  </si>
  <si>
    <t>ت</t>
  </si>
  <si>
    <t>الف</t>
  </si>
  <si>
    <t>ب</t>
  </si>
  <si>
    <t>1مکرر</t>
  </si>
  <si>
    <t>ج</t>
  </si>
  <si>
    <t>1 مکرر</t>
  </si>
  <si>
    <t>7م</t>
  </si>
  <si>
    <t>2م</t>
  </si>
  <si>
    <t>۲۸/۵</t>
  </si>
  <si>
    <t>ترمیمی</t>
  </si>
  <si>
    <t>تعویضی</t>
  </si>
  <si>
    <t>تصویر شهید با هوش مصنوعی احیا و در سنگ جدید حک شود</t>
  </si>
  <si>
    <t>سنگ جدید عینا مطابق قبلی ساخته شود</t>
  </si>
  <si>
    <t>عکس با هوش مصنوعی احیا و روی سنگ جدید حک شود</t>
  </si>
  <si>
    <t xml:space="preserve"> تعویضی</t>
  </si>
  <si>
    <t>تصویر شهید با هوش مصنوعی احیا و روی سنگ جدید حک شود</t>
  </si>
  <si>
    <t xml:space="preserve">هیله </t>
  </si>
  <si>
    <t>سنگ کوتاه شود</t>
  </si>
  <si>
    <t>سنگ مرمر میباشد</t>
  </si>
  <si>
    <t>تحویل داده شد</t>
  </si>
  <si>
    <t>تحویل داده شد سال 1403</t>
  </si>
  <si>
    <t>صادقیان</t>
  </si>
  <si>
    <t>1404/08/05کریستال</t>
  </si>
  <si>
    <t>2مکرر</t>
  </si>
  <si>
    <t>6مکرر</t>
  </si>
  <si>
    <t xml:space="preserve"> 1404/08/07کریستال</t>
  </si>
  <si>
    <t>فرامرز</t>
  </si>
  <si>
    <t>1404/08/12کریستال</t>
  </si>
  <si>
    <t>4مکرر</t>
  </si>
  <si>
    <t>محمودی</t>
  </si>
  <si>
    <t>تقوی</t>
  </si>
  <si>
    <t xml:space="preserve"> 1404/08/24کریستال</t>
  </si>
  <si>
    <t>1404/09/02کریستال</t>
  </si>
  <si>
    <t>1404/09/04 کریستال</t>
  </si>
  <si>
    <t>کریستال 1404/09/29</t>
  </si>
  <si>
    <t>کریستال 1404/10/04</t>
  </si>
  <si>
    <t>کریستال 1404/10/06</t>
  </si>
  <si>
    <t>1404/11/14</t>
  </si>
  <si>
    <t>1404/11/18</t>
  </si>
  <si>
    <t>شده</t>
  </si>
  <si>
    <t>1404/11/13</t>
  </si>
  <si>
    <t>تاریخ 5/5-سیرجان</t>
  </si>
  <si>
    <t>تاریخ5/5-سیرجان</t>
  </si>
  <si>
    <t>تاریخ 7/29 سیرجان</t>
  </si>
  <si>
    <t>تاریخ4/26-سیرجان</t>
  </si>
  <si>
    <t>1404/08/28  کریستال</t>
  </si>
  <si>
    <t>کریستال 1404/09/23</t>
  </si>
  <si>
    <t>زنجانی</t>
  </si>
  <si>
    <t>شهید گمتام</t>
  </si>
  <si>
    <t>صفاریان</t>
  </si>
  <si>
    <t>قاسمی</t>
  </si>
  <si>
    <t>1404/10/28</t>
  </si>
  <si>
    <t>8مکرر</t>
  </si>
  <si>
    <t>1404/09/05 کریستال</t>
  </si>
  <si>
    <t>ث</t>
  </si>
  <si>
    <t>کریستال 1404/10/01</t>
  </si>
  <si>
    <t>52مکر</t>
  </si>
  <si>
    <t>1404/10/28کریستال</t>
  </si>
  <si>
    <t>1404/11/07</t>
  </si>
  <si>
    <t>1404/11/08</t>
  </si>
  <si>
    <t>امیر پرتوی خواه</t>
  </si>
  <si>
    <t>9مکرر</t>
  </si>
  <si>
    <t>حسن اصیل محمدی</t>
  </si>
  <si>
    <t xml:space="preserve"> کریستال1404</t>
  </si>
  <si>
    <t>تاریخ 4/28- کریستال</t>
  </si>
  <si>
    <t>تاریخ 08/04کریستال</t>
  </si>
  <si>
    <t>48مکرر</t>
  </si>
  <si>
    <t>شعبانی</t>
  </si>
  <si>
    <t>12مکرر</t>
  </si>
  <si>
    <t>عیسی نژاد</t>
  </si>
  <si>
    <t>قلعه تکی  زاده</t>
  </si>
  <si>
    <t>محمد تقی سوهانی</t>
  </si>
  <si>
    <t>10مکرر</t>
  </si>
  <si>
    <t>تاریخ4/30-سیرجان</t>
  </si>
  <si>
    <t>هادی ثقیه</t>
  </si>
  <si>
    <t>کریستال 1404/10/02</t>
  </si>
  <si>
    <t>کریستال1404/10/02</t>
  </si>
  <si>
    <t>سیرجان1404/10/02</t>
  </si>
  <si>
    <t>1404/10/04</t>
  </si>
  <si>
    <t>1404/10/06</t>
  </si>
  <si>
    <t>نجف زاده</t>
  </si>
  <si>
    <t>عسگری</t>
  </si>
  <si>
    <t>میرزا عبداله</t>
  </si>
  <si>
    <t>آشوری</t>
  </si>
  <si>
    <t>تاتار</t>
  </si>
  <si>
    <t xml:space="preserve">کریستال 1404/09/27چهره  نگاری </t>
  </si>
  <si>
    <t>کریستال 1404/09/27</t>
  </si>
  <si>
    <t xml:space="preserve"> سیرجان1404</t>
  </si>
  <si>
    <t>تاریخ6/18-سیرجان</t>
  </si>
  <si>
    <t>تاریخ 7/2/سیرجان</t>
  </si>
  <si>
    <t>خ</t>
  </si>
  <si>
    <t>رجبعلی</t>
  </si>
  <si>
    <t>1م</t>
  </si>
  <si>
    <t>اول چک شود مرمر به نظر میرسد</t>
  </si>
  <si>
    <t>انجام شد</t>
  </si>
  <si>
    <t>چرا تعویض</t>
  </si>
  <si>
    <t>چهره دار شود (یافت نشد )</t>
  </si>
  <si>
    <t>*</t>
  </si>
  <si>
    <t>انجام شده</t>
  </si>
  <si>
    <t>ارسال به واحد سنگ</t>
  </si>
  <si>
    <t>عکس</t>
  </si>
  <si>
    <t>؟</t>
  </si>
  <si>
    <t>هاشم</t>
  </si>
  <si>
    <t>حاج رحیم</t>
  </si>
  <si>
    <t>عکس از آرشیو</t>
  </si>
  <si>
    <t>محمدحسین</t>
  </si>
  <si>
    <t>حسن</t>
  </si>
  <si>
    <t>نام پدر</t>
  </si>
  <si>
    <t>رضا</t>
  </si>
  <si>
    <t xml:space="preserve">غلام رضا </t>
  </si>
  <si>
    <t xml:space="preserve">سید عباس </t>
  </si>
  <si>
    <t>علیرضا</t>
  </si>
  <si>
    <t>بیوک</t>
  </si>
  <si>
    <t>شیخ محمد</t>
  </si>
  <si>
    <t>علی</t>
  </si>
  <si>
    <t>غلامرضا</t>
  </si>
  <si>
    <t>غلامعلی</t>
  </si>
  <si>
    <t>علی مراد</t>
  </si>
  <si>
    <t>حسین</t>
  </si>
  <si>
    <t>احمد</t>
  </si>
  <si>
    <t>عباس</t>
  </si>
  <si>
    <t>محمد</t>
  </si>
  <si>
    <t>بهمن</t>
  </si>
  <si>
    <t>نصرت اله</t>
  </si>
  <si>
    <t>قربان</t>
  </si>
  <si>
    <t>خلیل اله</t>
  </si>
  <si>
    <t>محمدرضا</t>
  </si>
  <si>
    <t>غلامعباس</t>
  </si>
  <si>
    <t>محمدعلی</t>
  </si>
  <si>
    <t>ربیع اله</t>
  </si>
  <si>
    <t>علی عباس</t>
  </si>
  <si>
    <t>محرمعلی</t>
  </si>
  <si>
    <t>میرنصیر</t>
  </si>
  <si>
    <t>پرامعلی</t>
  </si>
  <si>
    <t>اسد</t>
  </si>
  <si>
    <t>محمد باقر</t>
  </si>
  <si>
    <t>محمد صادق</t>
  </si>
  <si>
    <t>موسی</t>
  </si>
  <si>
    <t>نبی</t>
  </si>
  <si>
    <t>خداشکر</t>
  </si>
  <si>
    <t>عبداله</t>
  </si>
  <si>
    <t>حجت الله</t>
  </si>
  <si>
    <t>محمدجواد</t>
  </si>
  <si>
    <t>چاپ</t>
  </si>
  <si>
    <t>نصب</t>
  </si>
  <si>
    <t xml:space="preserve"> نام خانوادگی</t>
  </si>
  <si>
    <t xml:space="preserve">نام </t>
  </si>
  <si>
    <t xml:space="preserve">موسی </t>
  </si>
  <si>
    <t>جوادی</t>
  </si>
  <si>
    <t>محمود</t>
  </si>
  <si>
    <t xml:space="preserve"> باقری</t>
  </si>
  <si>
    <t xml:space="preserve">خسرو </t>
  </si>
  <si>
    <t>دستگیر سازی منفرد</t>
  </si>
  <si>
    <t>منصور</t>
  </si>
  <si>
    <t xml:space="preserve">حمید </t>
  </si>
  <si>
    <t>کریمی</t>
  </si>
  <si>
    <t xml:space="preserve">محمدباقر(علی) </t>
  </si>
  <si>
    <t>یزدی</t>
  </si>
  <si>
    <t xml:space="preserve">محب علی </t>
  </si>
  <si>
    <t>نباتی</t>
  </si>
  <si>
    <t xml:space="preserve">رضا </t>
  </si>
  <si>
    <t>جعفری</t>
  </si>
  <si>
    <t xml:space="preserve">مجتبی </t>
  </si>
  <si>
    <t>میرزائی</t>
  </si>
  <si>
    <t xml:space="preserve">حسین </t>
  </si>
  <si>
    <t>دهرویه</t>
  </si>
  <si>
    <t xml:space="preserve">مصطفی </t>
  </si>
  <si>
    <t>هاشمی</t>
  </si>
  <si>
    <t xml:space="preserve"> نصیری اسفندآبادی</t>
  </si>
  <si>
    <t>محمد بیگی</t>
  </si>
  <si>
    <t>حمید</t>
  </si>
  <si>
    <t xml:space="preserve">مرتضی </t>
  </si>
  <si>
    <t>براتی</t>
  </si>
  <si>
    <t xml:space="preserve">ناصر </t>
  </si>
  <si>
    <t>چابکی</t>
  </si>
  <si>
    <t xml:space="preserve">عادل </t>
  </si>
  <si>
    <t>سلجوقی</t>
  </si>
  <si>
    <t>مالک</t>
  </si>
  <si>
    <t xml:space="preserve"> ابریشم</t>
  </si>
  <si>
    <t xml:space="preserve"> قاسمی نژاد کرمانی</t>
  </si>
  <si>
    <t xml:space="preserve">حمیدرضا </t>
  </si>
  <si>
    <t>طاهر حکاک</t>
  </si>
  <si>
    <t xml:space="preserve">مجید </t>
  </si>
  <si>
    <t>قلی پور</t>
  </si>
  <si>
    <t xml:space="preserve">حسن </t>
  </si>
  <si>
    <t>خلج</t>
  </si>
  <si>
    <t xml:space="preserve">محمد </t>
  </si>
  <si>
    <t>اروجعلی زاده</t>
  </si>
  <si>
    <t xml:space="preserve">فرامرز </t>
  </si>
  <si>
    <t>حسنی علیایی</t>
  </si>
  <si>
    <t>صمد</t>
  </si>
  <si>
    <t xml:space="preserve"> نجفی</t>
  </si>
  <si>
    <t xml:space="preserve">یوسف </t>
  </si>
  <si>
    <t>متقی اصل</t>
  </si>
  <si>
    <t>بهرامی</t>
  </si>
  <si>
    <t xml:space="preserve">بیوک </t>
  </si>
  <si>
    <t>خندان</t>
  </si>
  <si>
    <t xml:space="preserve">علی </t>
  </si>
  <si>
    <t>شریفی نژاد</t>
  </si>
  <si>
    <t xml:space="preserve">محرم علی </t>
  </si>
  <si>
    <t>وحید</t>
  </si>
  <si>
    <t xml:space="preserve"> فرخ نظر</t>
  </si>
  <si>
    <t xml:space="preserve">احمد </t>
  </si>
  <si>
    <t>پور بقائی لنگرودی</t>
  </si>
  <si>
    <t>شهرام</t>
  </si>
  <si>
    <t xml:space="preserve"> شهید ثالت</t>
  </si>
  <si>
    <t>زارع طوافی</t>
  </si>
  <si>
    <t>ابراهیم</t>
  </si>
  <si>
    <t xml:space="preserve"> کرد</t>
  </si>
  <si>
    <t>همتی</t>
  </si>
  <si>
    <t xml:space="preserve">فرهاد </t>
  </si>
  <si>
    <t>بابازاده</t>
  </si>
  <si>
    <t>پلنگی</t>
  </si>
  <si>
    <t xml:space="preserve">ابراهیم </t>
  </si>
  <si>
    <t>شکوری</t>
  </si>
  <si>
    <t xml:space="preserve">غلامرضا </t>
  </si>
  <si>
    <t>سلیم آبادی فراهانی</t>
  </si>
  <si>
    <t>اسماعیل</t>
  </si>
  <si>
    <t xml:space="preserve"> احدی</t>
  </si>
  <si>
    <t>داداشی چاری</t>
  </si>
  <si>
    <t xml:space="preserve">محمدعلی </t>
  </si>
  <si>
    <t>جوزانی کهن</t>
  </si>
  <si>
    <t xml:space="preserve">قدیر علی </t>
  </si>
  <si>
    <t>حاتمی</t>
  </si>
  <si>
    <t xml:space="preserve">سیدمهدی </t>
  </si>
  <si>
    <t>رضوی</t>
  </si>
  <si>
    <t xml:space="preserve">قدرت اله </t>
  </si>
  <si>
    <t>شاهوردیلو</t>
  </si>
  <si>
    <t xml:space="preserve">کامران </t>
  </si>
  <si>
    <t>قربانی</t>
  </si>
  <si>
    <t xml:space="preserve">مهدی </t>
  </si>
  <si>
    <t>دونفری</t>
  </si>
  <si>
    <t xml:space="preserve">مسعود </t>
  </si>
  <si>
    <t>چقائی</t>
  </si>
  <si>
    <t>علی محمد</t>
  </si>
  <si>
    <t xml:space="preserve"> جوادی اصل</t>
  </si>
  <si>
    <t>اصغر</t>
  </si>
  <si>
    <t xml:space="preserve"> محمد نژاد</t>
  </si>
  <si>
    <t xml:space="preserve">سعید </t>
  </si>
  <si>
    <t>حبیب الهیان</t>
  </si>
  <si>
    <t>سنجرانی</t>
  </si>
  <si>
    <t xml:space="preserve">محمد رضا </t>
  </si>
  <si>
    <t>کشفی اصل</t>
  </si>
  <si>
    <t xml:space="preserve">رامین </t>
  </si>
  <si>
    <t>قاجار</t>
  </si>
  <si>
    <t>حسین پرست</t>
  </si>
  <si>
    <t xml:space="preserve">جعفر </t>
  </si>
  <si>
    <t>خواجه</t>
  </si>
  <si>
    <t>اسماعیلی</t>
  </si>
  <si>
    <t>شکارچی</t>
  </si>
  <si>
    <t>شعبانپور</t>
  </si>
  <si>
    <t xml:space="preserve">بهرام </t>
  </si>
  <si>
    <t>رصاف</t>
  </si>
  <si>
    <t>ناصر</t>
  </si>
  <si>
    <t xml:space="preserve"> زارعی</t>
  </si>
  <si>
    <t>سیدمحسن</t>
  </si>
  <si>
    <t xml:space="preserve"> بنی هاشمیان</t>
  </si>
  <si>
    <t xml:space="preserve">عباس </t>
  </si>
  <si>
    <t>گنجی دستجرده ای</t>
  </si>
  <si>
    <t>پسیانی</t>
  </si>
  <si>
    <t xml:space="preserve">حسنعلی </t>
  </si>
  <si>
    <t>فراست</t>
  </si>
  <si>
    <t xml:space="preserve"> دهقان منشادی</t>
  </si>
  <si>
    <t>مهدی</t>
  </si>
  <si>
    <t xml:space="preserve"> صفاپور</t>
  </si>
  <si>
    <t xml:space="preserve"> رجائی</t>
  </si>
  <si>
    <t xml:space="preserve"> قدسی</t>
  </si>
  <si>
    <t>داوود</t>
  </si>
  <si>
    <t xml:space="preserve"> بابارحیم</t>
  </si>
  <si>
    <t xml:space="preserve"> تقی زادگان</t>
  </si>
  <si>
    <t xml:space="preserve">سمیره </t>
  </si>
  <si>
    <t>خوش نمک</t>
  </si>
  <si>
    <t xml:space="preserve">فاطمه </t>
  </si>
  <si>
    <t>حاجی درویش</t>
  </si>
  <si>
    <t>گلبرگ غلامی</t>
  </si>
  <si>
    <t>محمد جواد</t>
  </si>
  <si>
    <t>حقیقی اشنی</t>
  </si>
  <si>
    <t>فاطمه</t>
  </si>
  <si>
    <t xml:space="preserve"> بیات</t>
  </si>
  <si>
    <t>مجید</t>
  </si>
  <si>
    <t xml:space="preserve"> انصاری</t>
  </si>
  <si>
    <t xml:space="preserve">سلطنت </t>
  </si>
  <si>
    <t>حاج کرمانشاهی</t>
  </si>
  <si>
    <t xml:space="preserve">بهروز </t>
  </si>
  <si>
    <t>طالبی</t>
  </si>
  <si>
    <t xml:space="preserve">داود </t>
  </si>
  <si>
    <t>باقرزاده</t>
  </si>
  <si>
    <t>داران</t>
  </si>
  <si>
    <t>جهانی</t>
  </si>
  <si>
    <t xml:space="preserve">قاسم </t>
  </si>
  <si>
    <t>یاراحمد</t>
  </si>
  <si>
    <t>اژدر</t>
  </si>
  <si>
    <t xml:space="preserve"> شکر پور مغانلو</t>
  </si>
  <si>
    <t xml:space="preserve"> مسلمیان</t>
  </si>
  <si>
    <t>جواد</t>
  </si>
  <si>
    <t xml:space="preserve"> رحیمی</t>
  </si>
  <si>
    <t>موحدی باشیر</t>
  </si>
  <si>
    <t xml:space="preserve">احد </t>
  </si>
  <si>
    <t xml:space="preserve">علیرضا </t>
  </si>
  <si>
    <t>مهری مهرفر</t>
  </si>
  <si>
    <t xml:space="preserve">سید رحیم </t>
  </si>
  <si>
    <t>حسینی</t>
  </si>
  <si>
    <t>باقر</t>
  </si>
  <si>
    <t xml:space="preserve"> بیغم</t>
  </si>
  <si>
    <t xml:space="preserve">رضا باقر </t>
  </si>
  <si>
    <t>آسیابان</t>
  </si>
  <si>
    <t>شیورانی</t>
  </si>
  <si>
    <t xml:space="preserve">سید مصطفی </t>
  </si>
  <si>
    <t>حاجی امینی</t>
  </si>
  <si>
    <t xml:space="preserve">محمود </t>
  </si>
  <si>
    <t xml:space="preserve">غفاری </t>
  </si>
  <si>
    <t xml:space="preserve">فرشید </t>
  </si>
  <si>
    <t>حسین نژاد</t>
  </si>
  <si>
    <t>نساجی</t>
  </si>
  <si>
    <t>حبیب اله</t>
  </si>
  <si>
    <t>شهید  گمنام</t>
  </si>
  <si>
    <t>حسنی</t>
  </si>
  <si>
    <t xml:space="preserve">عمر عبداله </t>
  </si>
  <si>
    <t xml:space="preserve">سید محمد </t>
  </si>
  <si>
    <t>مقیمی اصل</t>
  </si>
  <si>
    <t xml:space="preserve">مقدم </t>
  </si>
  <si>
    <t>کردلو</t>
  </si>
  <si>
    <t>حیدری</t>
  </si>
  <si>
    <t>داداش نژاد</t>
  </si>
  <si>
    <t xml:space="preserve"> عبدالعلیان</t>
  </si>
  <si>
    <t xml:space="preserve">اردشیر </t>
  </si>
  <si>
    <t>جهانگیری</t>
  </si>
  <si>
    <t xml:space="preserve">اصغر </t>
  </si>
  <si>
    <t>وایگانی تبریزی</t>
  </si>
  <si>
    <t xml:space="preserve">بهنام </t>
  </si>
  <si>
    <t>عیسی زاده</t>
  </si>
  <si>
    <t xml:space="preserve">جواد </t>
  </si>
  <si>
    <t>طوسی</t>
  </si>
  <si>
    <t xml:space="preserve"> خانی</t>
  </si>
  <si>
    <t xml:space="preserve">حاجیه قمر </t>
  </si>
  <si>
    <t>خسروی پور</t>
  </si>
  <si>
    <t>بیات</t>
  </si>
  <si>
    <t>شریعت خواه</t>
  </si>
  <si>
    <t xml:space="preserve"> میرزایی</t>
  </si>
  <si>
    <t>میرزائی زینالی</t>
  </si>
  <si>
    <t>طیطو</t>
  </si>
  <si>
    <t>اله وردی</t>
  </si>
  <si>
    <t>رقیه</t>
  </si>
  <si>
    <t xml:space="preserve"> مرشدی</t>
  </si>
  <si>
    <t>الهیان</t>
  </si>
  <si>
    <t>سعید</t>
  </si>
  <si>
    <t xml:space="preserve"> فرشچیان</t>
  </si>
  <si>
    <t xml:space="preserve">سمانه سادات </t>
  </si>
  <si>
    <t>محسنی</t>
  </si>
  <si>
    <t xml:space="preserve">سید حسین </t>
  </si>
  <si>
    <t>میرحسنیی</t>
  </si>
  <si>
    <t xml:space="preserve">سید داود </t>
  </si>
  <si>
    <t>سادات رسول</t>
  </si>
  <si>
    <t>شهناز</t>
  </si>
  <si>
    <t xml:space="preserve">شهیده زهرا </t>
  </si>
  <si>
    <t>صمد پور</t>
  </si>
  <si>
    <t>مرشدی</t>
  </si>
  <si>
    <t xml:space="preserve"> باقر</t>
  </si>
  <si>
    <t xml:space="preserve"> حیدری</t>
  </si>
  <si>
    <t xml:space="preserve"> شهیدزاده</t>
  </si>
  <si>
    <t>مرادی</t>
  </si>
  <si>
    <t xml:space="preserve"> یزدی</t>
  </si>
  <si>
    <t>علیداد</t>
  </si>
  <si>
    <t>سلطان آبادی</t>
  </si>
  <si>
    <t>خانداری</t>
  </si>
  <si>
    <t xml:space="preserve"> عباسیان</t>
  </si>
  <si>
    <t xml:space="preserve"> رمضانی</t>
  </si>
  <si>
    <t xml:space="preserve">فرض اله </t>
  </si>
  <si>
    <t>خالقی</t>
  </si>
  <si>
    <t>مقاری</t>
  </si>
  <si>
    <t xml:space="preserve">کبری </t>
  </si>
  <si>
    <t xml:space="preserve">لیلی </t>
  </si>
  <si>
    <t>مظلومی</t>
  </si>
  <si>
    <t>چاری</t>
  </si>
  <si>
    <t>محبعلی</t>
  </si>
  <si>
    <t xml:space="preserve"> نباتی</t>
  </si>
  <si>
    <t xml:space="preserve"> ابراهیم هادی پرویز</t>
  </si>
  <si>
    <t>افراز</t>
  </si>
  <si>
    <t>میرزایی</t>
  </si>
  <si>
    <t xml:space="preserve">محمدرضا </t>
  </si>
  <si>
    <t>کفشی</t>
  </si>
  <si>
    <t>ابراهیمی</t>
  </si>
  <si>
    <t xml:space="preserve">اسکندری </t>
  </si>
  <si>
    <t>بصیری</t>
  </si>
  <si>
    <t>علیان نژاد</t>
  </si>
  <si>
    <t>مسعود</t>
  </si>
  <si>
    <t xml:space="preserve"> عابدی</t>
  </si>
  <si>
    <t>حمزه ای</t>
  </si>
  <si>
    <t>درزی</t>
  </si>
  <si>
    <t xml:space="preserve">ملیحه سادات </t>
  </si>
  <si>
    <t xml:space="preserve">منصوره </t>
  </si>
  <si>
    <t>قدیری</t>
  </si>
  <si>
    <t>منوچهر</t>
  </si>
  <si>
    <t xml:space="preserve"> انصافی</t>
  </si>
  <si>
    <t xml:space="preserve">نعمت </t>
  </si>
  <si>
    <t>مهین دوست</t>
  </si>
  <si>
    <t xml:space="preserve">ولی اله </t>
  </si>
  <si>
    <t>آذر شب</t>
  </si>
  <si>
    <t xml:space="preserve">هاشم </t>
  </si>
  <si>
    <t>محمدرضایی</t>
  </si>
  <si>
    <t>هاشمی مقدم</t>
  </si>
  <si>
    <t>عکس روی سن به روی سنگ جدید نصب شود</t>
  </si>
  <si>
    <t>نام خانوادگی</t>
  </si>
  <si>
    <t>نام</t>
  </si>
  <si>
    <t>سنگ دو بار کار شده است. به درخواست خانواده</t>
  </si>
  <si>
    <t xml:space="preserve">سید حسن </t>
  </si>
  <si>
    <t>رضوی طالمی</t>
  </si>
  <si>
    <t>نصب نشده است به علت چاپ تصویر روی سنگ</t>
  </si>
  <si>
    <t>رنگ کرم پررنگ تعویض نشده است</t>
  </si>
  <si>
    <t xml:space="preserve"> صادقی</t>
  </si>
  <si>
    <t>/ ساخته شده توسط آیت / تصمیم توسط علوی</t>
  </si>
  <si>
    <t>موجود بودن سنگ در انبار مرمت چک شود</t>
  </si>
  <si>
    <t>چک شود آیا در کارگاه مرمت موجود هست یا نه</t>
  </si>
  <si>
    <t>عدم نصب</t>
  </si>
  <si>
    <t>ترمیم شود در صورت نیاز تعویض شود.</t>
  </si>
  <si>
    <t>سنگ ساخته شده و در عکس زنی می باشد.</t>
  </si>
  <si>
    <t>1404/11/18 چک شود</t>
  </si>
  <si>
    <t>چک شود</t>
  </si>
  <si>
    <t>مرمتی</t>
  </si>
  <si>
    <t>سنگ تعویضی آماده</t>
  </si>
  <si>
    <t>ارسال به واحد تعویض</t>
  </si>
  <si>
    <t>ارسال به واحد مرمت</t>
  </si>
  <si>
    <t>سنگ مرمتی آماده</t>
  </si>
  <si>
    <t>نصب مرمتی شده</t>
  </si>
  <si>
    <t>ملاحظات</t>
  </si>
  <si>
    <t>توسط برادر احدزاده رسیدگی شود</t>
  </si>
  <si>
    <t>تعویضی نصب شده</t>
  </si>
  <si>
    <t>ترمیم شده</t>
  </si>
  <si>
    <t>تعویض شده</t>
  </si>
  <si>
    <t>قابل تعویض</t>
  </si>
  <si>
    <t>باقی مانده</t>
  </si>
  <si>
    <t>قابل ترمیم</t>
  </si>
  <si>
    <t>جمع</t>
  </si>
  <si>
    <t>کل قابل تعویض و ترمیم</t>
  </si>
  <si>
    <t>کل تعویض و ترمیم شده</t>
  </si>
  <si>
    <t>کل باقی مانده</t>
  </si>
  <si>
    <t>آمار</t>
  </si>
  <si>
    <t xml:space="preserve"> براتعلی</t>
  </si>
  <si>
    <t>چراغی</t>
  </si>
  <si>
    <t xml:space="preserve">ابوالقاسم </t>
  </si>
  <si>
    <t>عزیزی</t>
  </si>
  <si>
    <t>بختیاری</t>
  </si>
  <si>
    <t xml:space="preserve"> پور احمد</t>
  </si>
  <si>
    <t>حلبحی</t>
  </si>
  <si>
    <t>رحیمی</t>
  </si>
  <si>
    <t>احمد رضا</t>
  </si>
  <si>
    <t xml:space="preserve"> مبینی</t>
  </si>
  <si>
    <t>سبزیکاری</t>
  </si>
  <si>
    <t xml:space="preserve"> سرباز چهره برقی</t>
  </si>
  <si>
    <t>عربی</t>
  </si>
  <si>
    <t xml:space="preserve"> فتحی</t>
  </si>
  <si>
    <t xml:space="preserve">اروجعلی </t>
  </si>
  <si>
    <t>اسحابعلی</t>
  </si>
  <si>
    <t xml:space="preserve"> میری سیاهی</t>
  </si>
  <si>
    <t>اسحاق</t>
  </si>
  <si>
    <t xml:space="preserve"> یوسف زاده</t>
  </si>
  <si>
    <t>اسداله</t>
  </si>
  <si>
    <t xml:space="preserve"> حجری</t>
  </si>
  <si>
    <t xml:space="preserve">اسرافیل </t>
  </si>
  <si>
    <t>مختاری</t>
  </si>
  <si>
    <t xml:space="preserve">اسماعیل </t>
  </si>
  <si>
    <t xml:space="preserve">رحیمی </t>
  </si>
  <si>
    <t xml:space="preserve"> حاجی نوروزی</t>
  </si>
  <si>
    <t>خانی</t>
  </si>
  <si>
    <t>علیزاده</t>
  </si>
  <si>
    <t>کبریان</t>
  </si>
  <si>
    <t>اکبر</t>
  </si>
  <si>
    <t xml:space="preserve"> فخفوری</t>
  </si>
  <si>
    <t xml:space="preserve">الهه </t>
  </si>
  <si>
    <t>توتونچی</t>
  </si>
  <si>
    <t xml:space="preserve">امیر حسین </t>
  </si>
  <si>
    <t>داستانپور</t>
  </si>
  <si>
    <t>امیر محمد</t>
  </si>
  <si>
    <t xml:space="preserve"> رضائی نیکو</t>
  </si>
  <si>
    <t>امیرحسین</t>
  </si>
  <si>
    <t xml:space="preserve"> برنده</t>
  </si>
  <si>
    <t xml:space="preserve"> قلی زاده</t>
  </si>
  <si>
    <t xml:space="preserve"> دیانت پور</t>
  </si>
  <si>
    <t xml:space="preserve"> بنده</t>
  </si>
  <si>
    <t xml:space="preserve"> سلطانی</t>
  </si>
  <si>
    <t xml:space="preserve"> شعبانی</t>
  </si>
  <si>
    <t xml:space="preserve"> کلامی</t>
  </si>
  <si>
    <t xml:space="preserve"> صدفی</t>
  </si>
  <si>
    <t xml:space="preserve"> فریدونی بهرامی</t>
  </si>
  <si>
    <t xml:space="preserve"> محرم نژاد</t>
  </si>
  <si>
    <t xml:space="preserve"> جلالوند</t>
  </si>
  <si>
    <t>گرمابدری</t>
  </si>
  <si>
    <t xml:space="preserve"> علی پور</t>
  </si>
  <si>
    <t xml:space="preserve"> مسگرلو</t>
  </si>
  <si>
    <t xml:space="preserve"> پورمند</t>
  </si>
  <si>
    <t xml:space="preserve"> وقفی خیری</t>
  </si>
  <si>
    <t xml:space="preserve"> بهاری</t>
  </si>
  <si>
    <t xml:space="preserve"> کریمی</t>
  </si>
  <si>
    <t xml:space="preserve"> نوبهار</t>
  </si>
  <si>
    <t xml:space="preserve"> هاشمی</t>
  </si>
  <si>
    <t xml:space="preserve"> شوازی ترک آبادی</t>
  </si>
  <si>
    <t xml:space="preserve"> آذر دوست</t>
  </si>
  <si>
    <t xml:space="preserve"> دلاور گلابه</t>
  </si>
  <si>
    <t xml:space="preserve"> محمدی</t>
  </si>
  <si>
    <t xml:space="preserve"> وحدتی فرد</t>
  </si>
  <si>
    <t xml:space="preserve"> سلمانی</t>
  </si>
  <si>
    <t xml:space="preserve"> صلاحی</t>
  </si>
  <si>
    <t>مظاهری کلهرودی</t>
  </si>
  <si>
    <t xml:space="preserve"> محمد زمانی</t>
  </si>
  <si>
    <t xml:space="preserve"> خیوزی</t>
  </si>
  <si>
    <t xml:space="preserve"> پروانه</t>
  </si>
  <si>
    <t xml:space="preserve"> توکلی</t>
  </si>
  <si>
    <t xml:space="preserve"> پسندیده</t>
  </si>
  <si>
    <t xml:space="preserve"> در شیب</t>
  </si>
  <si>
    <t xml:space="preserve"> پناهی</t>
  </si>
  <si>
    <t xml:space="preserve"> عزیز الدین</t>
  </si>
  <si>
    <t xml:space="preserve"> ملا عباسی</t>
  </si>
  <si>
    <t>الهی بلاسی</t>
  </si>
  <si>
    <t xml:space="preserve"> سنجابی کرمانشاهی</t>
  </si>
  <si>
    <t xml:space="preserve"> علیائی کیوج </t>
  </si>
  <si>
    <t xml:space="preserve"> موسوی</t>
  </si>
  <si>
    <t xml:space="preserve"> پروز</t>
  </si>
  <si>
    <t xml:space="preserve"> سلگی</t>
  </si>
  <si>
    <t xml:space="preserve"> بیان زاده</t>
  </si>
  <si>
    <t xml:space="preserve"> میر محمد</t>
  </si>
  <si>
    <t xml:space="preserve"> دارا</t>
  </si>
  <si>
    <t xml:space="preserve"> جلالی</t>
  </si>
  <si>
    <t xml:space="preserve"> فراهانی</t>
  </si>
  <si>
    <t xml:space="preserve"> پیشوائی</t>
  </si>
  <si>
    <t xml:space="preserve"> مهریزی</t>
  </si>
  <si>
    <t xml:space="preserve"> حسینی</t>
  </si>
  <si>
    <t xml:space="preserve"> شجاعی</t>
  </si>
  <si>
    <t xml:space="preserve"> عزیزی</t>
  </si>
  <si>
    <t xml:space="preserve"> نورانی</t>
  </si>
  <si>
    <t xml:space="preserve"> نوری زاده</t>
  </si>
  <si>
    <t>ناجی</t>
  </si>
  <si>
    <t xml:space="preserve"> عیسی زاده</t>
  </si>
  <si>
    <t>جور محمدی</t>
  </si>
  <si>
    <t>شهابی</t>
  </si>
  <si>
    <t>عبدالحمدی</t>
  </si>
  <si>
    <t xml:space="preserve"> حاجی ولی خانی</t>
  </si>
  <si>
    <t xml:space="preserve"> لک</t>
  </si>
  <si>
    <t>نوروزی</t>
  </si>
  <si>
    <t xml:space="preserve"> امینی</t>
  </si>
  <si>
    <t xml:space="preserve"> معینی</t>
  </si>
  <si>
    <t xml:space="preserve"> هادیان</t>
  </si>
  <si>
    <t xml:space="preserve"> طایفه ملا اصغری</t>
  </si>
  <si>
    <t xml:space="preserve"> فلاحی</t>
  </si>
  <si>
    <t xml:space="preserve"> مژدهی</t>
  </si>
  <si>
    <t xml:space="preserve"> آل حسینی</t>
  </si>
  <si>
    <t xml:space="preserve"> درستکار</t>
  </si>
  <si>
    <t xml:space="preserve"> محمد خانی</t>
  </si>
  <si>
    <t xml:space="preserve"> رنجبر</t>
  </si>
  <si>
    <t xml:space="preserve"> شاهمرزالو</t>
  </si>
  <si>
    <t xml:space="preserve"> شمس بیگی</t>
  </si>
  <si>
    <t xml:space="preserve"> علی یار</t>
  </si>
  <si>
    <t xml:space="preserve"> گورکانی</t>
  </si>
  <si>
    <t xml:space="preserve"> محمد مختاری</t>
  </si>
  <si>
    <t>حقیقت پسند</t>
  </si>
  <si>
    <t xml:space="preserve"> صباغی</t>
  </si>
  <si>
    <t xml:space="preserve">علی محمد </t>
  </si>
  <si>
    <t xml:space="preserve">علی رضا </t>
  </si>
  <si>
    <t xml:space="preserve">علی اصغر </t>
  </si>
  <si>
    <t>علی اصغر</t>
  </si>
  <si>
    <t>عزت</t>
  </si>
  <si>
    <t xml:space="preserve">عبداله </t>
  </si>
  <si>
    <t xml:space="preserve">عبدالرضا </t>
  </si>
  <si>
    <t>عبدا...</t>
  </si>
  <si>
    <t>عالم</t>
  </si>
  <si>
    <t xml:space="preserve">طوبی </t>
  </si>
  <si>
    <t xml:space="preserve">صفر </t>
  </si>
  <si>
    <t xml:space="preserve">صابر </t>
  </si>
  <si>
    <t>سیف اله</t>
  </si>
  <si>
    <t xml:space="preserve">سیروس </t>
  </si>
  <si>
    <t>سید مصطفی</t>
  </si>
  <si>
    <t xml:space="preserve">سید مسعود </t>
  </si>
  <si>
    <t xml:space="preserve">سید فرج ا... </t>
  </si>
  <si>
    <t xml:space="preserve">سید علی </t>
  </si>
  <si>
    <t>سید صدرالدین</t>
  </si>
  <si>
    <t xml:space="preserve">سید رضا </t>
  </si>
  <si>
    <t>سید داود</t>
  </si>
  <si>
    <t xml:space="preserve">سید جمال </t>
  </si>
  <si>
    <t xml:space="preserve">سید ایرج </t>
  </si>
  <si>
    <t>سید احمد</t>
  </si>
  <si>
    <t>سوسن</t>
  </si>
  <si>
    <t xml:space="preserve">سلمان </t>
  </si>
  <si>
    <t>زهر</t>
  </si>
  <si>
    <t>رسول</t>
  </si>
  <si>
    <t>***</t>
  </si>
  <si>
    <t>خلیل</t>
  </si>
  <si>
    <t>خسرو</t>
  </si>
  <si>
    <t xml:space="preserve">خانم جان </t>
  </si>
  <si>
    <t>خانبابا</t>
  </si>
  <si>
    <t>حمزه</t>
  </si>
  <si>
    <t xml:space="preserve">حسینعلی </t>
  </si>
  <si>
    <t xml:space="preserve">حسن (چنگیز) </t>
  </si>
  <si>
    <t>حبیب</t>
  </si>
  <si>
    <t>حبیب ا...</t>
  </si>
  <si>
    <t>حاج محمد</t>
  </si>
  <si>
    <t xml:space="preserve">حاج فرید </t>
  </si>
  <si>
    <t>حاج علی</t>
  </si>
  <si>
    <t xml:space="preserve">حاج خیراله </t>
  </si>
  <si>
    <t xml:space="preserve">حاج حسین </t>
  </si>
  <si>
    <t>حاج حسن</t>
  </si>
  <si>
    <t>حاج احمد</t>
  </si>
  <si>
    <t xml:space="preserve">جمشید </t>
  </si>
  <si>
    <t xml:space="preserve">جلیل </t>
  </si>
  <si>
    <t>جعفر</t>
  </si>
  <si>
    <t>بیژن</t>
  </si>
  <si>
    <t xml:space="preserve">بهمن </t>
  </si>
  <si>
    <t>بهزاد</t>
  </si>
  <si>
    <t>بهراد</t>
  </si>
  <si>
    <t xml:space="preserve"> محمودی نژاد</t>
  </si>
  <si>
    <t>بناگری</t>
  </si>
  <si>
    <t>شیری</t>
  </si>
  <si>
    <t>فتح الله</t>
  </si>
  <si>
    <t xml:space="preserve"> تاجیک</t>
  </si>
  <si>
    <t>جوانشیر</t>
  </si>
  <si>
    <t>فرنگیس</t>
  </si>
  <si>
    <t xml:space="preserve"> براتی</t>
  </si>
  <si>
    <t>قدرت الله</t>
  </si>
  <si>
    <t xml:space="preserve"> پاکی</t>
  </si>
  <si>
    <t xml:space="preserve">کاظم </t>
  </si>
  <si>
    <t>خرمی شاد</t>
  </si>
  <si>
    <t>کیهان</t>
  </si>
  <si>
    <t xml:space="preserve"> اله وردی</t>
  </si>
  <si>
    <t xml:space="preserve">کیومرث </t>
  </si>
  <si>
    <t>جمشیدی</t>
  </si>
  <si>
    <t>مجتبی</t>
  </si>
  <si>
    <t xml:space="preserve"> رحمانی</t>
  </si>
  <si>
    <t>قاری</t>
  </si>
  <si>
    <t>ملک زاده</t>
  </si>
  <si>
    <t xml:space="preserve">محرم </t>
  </si>
  <si>
    <t>درستی</t>
  </si>
  <si>
    <t xml:space="preserve">محسن </t>
  </si>
  <si>
    <t>زاهدی تبریزی</t>
  </si>
  <si>
    <t>مراد شمس</t>
  </si>
  <si>
    <t>محمد اسماعیل</t>
  </si>
  <si>
    <t xml:space="preserve"> قربانی اصل</t>
  </si>
  <si>
    <t xml:space="preserve"> آبیات</t>
  </si>
  <si>
    <t xml:space="preserve">محمد حسن </t>
  </si>
  <si>
    <t>جواهر فروش</t>
  </si>
  <si>
    <t>غفوریان</t>
  </si>
  <si>
    <t>محمد حسن</t>
  </si>
  <si>
    <t xml:space="preserve"> مسعودی</t>
  </si>
  <si>
    <t xml:space="preserve">محمد حسین </t>
  </si>
  <si>
    <t>رنجبران</t>
  </si>
  <si>
    <t>محمد حسین</t>
  </si>
  <si>
    <t xml:space="preserve"> نائینی</t>
  </si>
  <si>
    <t xml:space="preserve"> شیبانی</t>
  </si>
  <si>
    <t>محمد علی</t>
  </si>
  <si>
    <t xml:space="preserve"> سید مومنی</t>
  </si>
  <si>
    <t>محمد مهدی</t>
  </si>
  <si>
    <t xml:space="preserve"> شیر غلامی</t>
  </si>
  <si>
    <t>محمد نبی</t>
  </si>
  <si>
    <t xml:space="preserve"> عامری</t>
  </si>
  <si>
    <t>محمد نقی</t>
  </si>
  <si>
    <t xml:space="preserve"> موگوئی</t>
  </si>
  <si>
    <t xml:space="preserve">جمالی خبیر </t>
  </si>
  <si>
    <t>خاک دوست</t>
  </si>
  <si>
    <t>فرشی با انصاف</t>
  </si>
  <si>
    <t>مونسان</t>
  </si>
  <si>
    <t xml:space="preserve"> اختر خاوری</t>
  </si>
  <si>
    <t>رستمی</t>
  </si>
  <si>
    <t xml:space="preserve"> غلام بیگی</t>
  </si>
  <si>
    <t>مرتضی</t>
  </si>
  <si>
    <t xml:space="preserve"> ساعتچی فرد</t>
  </si>
  <si>
    <t>مرضیه</t>
  </si>
  <si>
    <t xml:space="preserve"> ابوالقاسم پور</t>
  </si>
  <si>
    <t xml:space="preserve"> موهبت</t>
  </si>
  <si>
    <t>مصطفی</t>
  </si>
  <si>
    <t xml:space="preserve"> وزیری</t>
  </si>
  <si>
    <t xml:space="preserve"> یدالهی</t>
  </si>
  <si>
    <t xml:space="preserve">منوچهر </t>
  </si>
  <si>
    <t>شریفی</t>
  </si>
  <si>
    <t>تهمتن</t>
  </si>
  <si>
    <t>حاجی محمود زاده</t>
  </si>
  <si>
    <t xml:space="preserve"> مداح</t>
  </si>
  <si>
    <t>مهری</t>
  </si>
  <si>
    <t xml:space="preserve"> دوباره</t>
  </si>
  <si>
    <t xml:space="preserve"> امیری</t>
  </si>
  <si>
    <t>نبی اله</t>
  </si>
  <si>
    <t xml:space="preserve"> جواد زاده</t>
  </si>
  <si>
    <t xml:space="preserve">نورا... </t>
  </si>
  <si>
    <t>مطلبی علب آبادی</t>
  </si>
  <si>
    <t>هادی</t>
  </si>
  <si>
    <t xml:space="preserve"> زمانی</t>
  </si>
  <si>
    <t>ولی اله</t>
  </si>
  <si>
    <t xml:space="preserve"> نعمت نژاد</t>
  </si>
  <si>
    <t xml:space="preserve">یدالله </t>
  </si>
  <si>
    <t>حسین خانی</t>
  </si>
  <si>
    <t>ابولقاسم</t>
  </si>
  <si>
    <t xml:space="preserve"> تشکری</t>
  </si>
  <si>
    <t xml:space="preserve"> پور علی</t>
  </si>
  <si>
    <t xml:space="preserve">اسداله </t>
  </si>
  <si>
    <t>افظلی</t>
  </si>
  <si>
    <t xml:space="preserve">تارودی </t>
  </si>
  <si>
    <t>گروسی</t>
  </si>
  <si>
    <t xml:space="preserve"> غفوری</t>
  </si>
  <si>
    <t xml:space="preserve"> اکبری</t>
  </si>
  <si>
    <t>محسن</t>
  </si>
  <si>
    <t xml:space="preserve"> تبرائی</t>
  </si>
  <si>
    <t xml:space="preserve"> صالحی</t>
  </si>
  <si>
    <t xml:space="preserve"> علیلو</t>
  </si>
  <si>
    <t>جمشید</t>
  </si>
  <si>
    <t xml:space="preserve"> پور افتخاری</t>
  </si>
  <si>
    <t>رسول زاده</t>
  </si>
  <si>
    <t xml:space="preserve"> گرامی</t>
  </si>
  <si>
    <t>رجب علی</t>
  </si>
  <si>
    <t xml:space="preserve"> دمیرچی</t>
  </si>
  <si>
    <t xml:space="preserve"> رضا خان</t>
  </si>
  <si>
    <t xml:space="preserve"> قهستانی</t>
  </si>
  <si>
    <t>محمود زاده</t>
  </si>
  <si>
    <t>خواستار</t>
  </si>
  <si>
    <t>رحیم</t>
  </si>
  <si>
    <t xml:space="preserve"> اصغری</t>
  </si>
  <si>
    <t xml:space="preserve"> دانش</t>
  </si>
  <si>
    <t xml:space="preserve"> ملا کاظمی</t>
  </si>
  <si>
    <t>یاد آور</t>
  </si>
  <si>
    <t>غلامحسین</t>
  </si>
  <si>
    <t xml:space="preserve"> کیانی</t>
  </si>
  <si>
    <t xml:space="preserve"> بصیری</t>
  </si>
  <si>
    <t>سید حسین</t>
  </si>
  <si>
    <t xml:space="preserve">صدراله </t>
  </si>
  <si>
    <t>عادل</t>
  </si>
  <si>
    <t>بابازاده  دونیقی</t>
  </si>
  <si>
    <t>عبدالرضا</t>
  </si>
  <si>
    <t xml:space="preserve"> چلاوی</t>
  </si>
  <si>
    <t xml:space="preserve">عزت اله </t>
  </si>
  <si>
    <t>صفائیان</t>
  </si>
  <si>
    <t xml:space="preserve"> ابراهیمی</t>
  </si>
  <si>
    <t xml:space="preserve"> تیموری</t>
  </si>
  <si>
    <t xml:space="preserve"> عرفانیان</t>
  </si>
  <si>
    <t xml:space="preserve"> شهبازی</t>
  </si>
  <si>
    <t xml:space="preserve"> فدائی</t>
  </si>
  <si>
    <t>پور صالحی</t>
  </si>
  <si>
    <t xml:space="preserve"> حسینیان</t>
  </si>
  <si>
    <t xml:space="preserve"> قیمی</t>
  </si>
  <si>
    <t xml:space="preserve"> نیکوءها</t>
  </si>
  <si>
    <t xml:space="preserve"> آیت الهی</t>
  </si>
  <si>
    <t xml:space="preserve"> توانگر</t>
  </si>
  <si>
    <t>نظری</t>
  </si>
  <si>
    <t>خوش افکار</t>
  </si>
  <si>
    <t xml:space="preserve"> عرب</t>
  </si>
  <si>
    <t xml:space="preserve"> حاجی محمود زاده</t>
  </si>
  <si>
    <t>علمدار</t>
  </si>
  <si>
    <t xml:space="preserve">وحید </t>
  </si>
  <si>
    <t>نیک سیر</t>
  </si>
  <si>
    <t>غلامحسن</t>
  </si>
  <si>
    <t xml:space="preserve"> خدابنده لو</t>
  </si>
  <si>
    <t xml:space="preserve">سید رسول </t>
  </si>
  <si>
    <t>پیرهادی</t>
  </si>
  <si>
    <t xml:space="preserve"> مهر محمد</t>
  </si>
  <si>
    <t xml:space="preserve"> احسانی</t>
  </si>
  <si>
    <t xml:space="preserve"> تعقلی</t>
  </si>
  <si>
    <t>دارائی</t>
  </si>
  <si>
    <t>طباطبائی قمی</t>
  </si>
  <si>
    <t xml:space="preserve">محمدجعفر </t>
  </si>
  <si>
    <t xml:space="preserve"> موحدی</t>
  </si>
  <si>
    <t>یافتیان</t>
  </si>
  <si>
    <t>اابوئی مهریزی</t>
  </si>
  <si>
    <t xml:space="preserve"> کلهر</t>
  </si>
  <si>
    <t>محمدکاظم</t>
  </si>
  <si>
    <t xml:space="preserve"> مرادی</t>
  </si>
  <si>
    <t>حیدر</t>
  </si>
  <si>
    <t xml:space="preserve"> تارخی</t>
  </si>
  <si>
    <t>یداله</t>
  </si>
  <si>
    <t xml:space="preserve"> حسنی</t>
  </si>
  <si>
    <t xml:space="preserve"> طیبی</t>
  </si>
  <si>
    <t>محمد رضا</t>
  </si>
  <si>
    <t>الله یاری</t>
  </si>
  <si>
    <t xml:space="preserve"> هوریار</t>
  </si>
  <si>
    <t xml:space="preserve"> مقدم</t>
  </si>
  <si>
    <t xml:space="preserve"> قهرمانی</t>
  </si>
  <si>
    <t>عیوض</t>
  </si>
  <si>
    <t xml:space="preserve"> ارون</t>
  </si>
  <si>
    <t xml:space="preserve"> صفاری</t>
  </si>
  <si>
    <t xml:space="preserve"> هادی نژاد</t>
  </si>
  <si>
    <t xml:space="preserve"> میر اسماعیلی</t>
  </si>
  <si>
    <t xml:space="preserve"> میرغفاری</t>
  </si>
  <si>
    <t>سید مجتبی</t>
  </si>
  <si>
    <t xml:space="preserve"> سید حسینی</t>
  </si>
  <si>
    <t>سید کمال</t>
  </si>
  <si>
    <t>ملکی غفاری</t>
  </si>
  <si>
    <t xml:space="preserve">خداداد </t>
  </si>
  <si>
    <t>مجیدی فر</t>
  </si>
  <si>
    <t xml:space="preserve"> گل رو</t>
  </si>
  <si>
    <t>ابوالقاسم</t>
  </si>
  <si>
    <t xml:space="preserve"> نوابی</t>
  </si>
  <si>
    <t>سلیمانی</t>
  </si>
  <si>
    <t xml:space="preserve"> فریدون نژاد</t>
  </si>
  <si>
    <t xml:space="preserve"> گوهر پور</t>
  </si>
  <si>
    <t>کامبیز</t>
  </si>
  <si>
    <t xml:space="preserve"> کابلی</t>
  </si>
  <si>
    <t xml:space="preserve"> بی پرا</t>
  </si>
  <si>
    <t xml:space="preserve"> سبحانی</t>
  </si>
  <si>
    <t>ادبی</t>
  </si>
  <si>
    <t xml:space="preserve">منصور </t>
  </si>
  <si>
    <t>نصرالهی فرد</t>
  </si>
  <si>
    <t>مازوساز</t>
  </si>
  <si>
    <t>نادر</t>
  </si>
  <si>
    <t xml:space="preserve"> عبدالهی نژاد</t>
  </si>
  <si>
    <t xml:space="preserve"> مومنی</t>
  </si>
  <si>
    <t>امیر</t>
  </si>
  <si>
    <t xml:space="preserve"> خوانساری بزرگی</t>
  </si>
  <si>
    <t xml:space="preserve"> خیاط زاده</t>
  </si>
  <si>
    <t xml:space="preserve"> سلطان محمدی</t>
  </si>
  <si>
    <t xml:space="preserve"> رفیعی</t>
  </si>
  <si>
    <t xml:space="preserve"> فلاح مدواری</t>
  </si>
  <si>
    <t>امیر احمد</t>
  </si>
  <si>
    <t>سجادیان</t>
  </si>
  <si>
    <t xml:space="preserve">سیدداود </t>
  </si>
  <si>
    <t xml:space="preserve"> نمازی</t>
  </si>
  <si>
    <t>عیسی</t>
  </si>
  <si>
    <t>نجفی راد</t>
  </si>
  <si>
    <t>نظام ابادی</t>
  </si>
  <si>
    <t xml:space="preserve">سید جلال </t>
  </si>
  <si>
    <t xml:space="preserve"> طباطبایی</t>
  </si>
  <si>
    <t xml:space="preserve"> گندی</t>
  </si>
  <si>
    <t xml:space="preserve"> مدنی</t>
  </si>
  <si>
    <t>محمد تقی</t>
  </si>
  <si>
    <t xml:space="preserve"> امام یاری</t>
  </si>
  <si>
    <t>قدرت</t>
  </si>
  <si>
    <t>شیخ</t>
  </si>
  <si>
    <t xml:space="preserve"> اسماعیلی</t>
  </si>
  <si>
    <t xml:space="preserve"> عظیمی</t>
  </si>
  <si>
    <t xml:space="preserve">یعقوبی فرد </t>
  </si>
  <si>
    <t xml:space="preserve"> شاملو</t>
  </si>
  <si>
    <t xml:space="preserve"> محمد قاسمی</t>
  </si>
  <si>
    <t xml:space="preserve"> مکسبی</t>
  </si>
  <si>
    <t xml:space="preserve"> رضوی</t>
  </si>
  <si>
    <t>ابوالفظل</t>
  </si>
  <si>
    <t>عبادی فر</t>
  </si>
  <si>
    <t xml:space="preserve">ایرج </t>
  </si>
  <si>
    <t xml:space="preserve"> جهان بسته</t>
  </si>
  <si>
    <t>شاپور</t>
  </si>
  <si>
    <t xml:space="preserve"> آرکشته</t>
  </si>
  <si>
    <t>محمدی</t>
  </si>
  <si>
    <t xml:space="preserve">محمد جواد </t>
  </si>
  <si>
    <t xml:space="preserve"> رحمتی</t>
  </si>
  <si>
    <t>رمضانعلی</t>
  </si>
  <si>
    <t>حاج بابایی</t>
  </si>
  <si>
    <t>آقا زمانی</t>
  </si>
  <si>
    <t>****</t>
  </si>
  <si>
    <t>مونث</t>
  </si>
  <si>
    <t xml:space="preserve"> قربانی</t>
  </si>
  <si>
    <t xml:space="preserve"> غفارخانی</t>
  </si>
  <si>
    <t>حسینعلی</t>
  </si>
  <si>
    <t xml:space="preserve"> شمس نیارکی</t>
  </si>
  <si>
    <t xml:space="preserve"> نامدار</t>
  </si>
  <si>
    <t xml:space="preserve"> قشارکیان</t>
  </si>
  <si>
    <t>مقدمی</t>
  </si>
  <si>
    <t xml:space="preserve"> فرجی</t>
  </si>
  <si>
    <t>پورموسی</t>
  </si>
  <si>
    <t xml:space="preserve"> دزفولی</t>
  </si>
  <si>
    <t>رشید</t>
  </si>
  <si>
    <t xml:space="preserve"> رضوانی</t>
  </si>
  <si>
    <t xml:space="preserve"> قانع آبادی </t>
  </si>
  <si>
    <t xml:space="preserve"> سیستانی</t>
  </si>
  <si>
    <t>مهراداد</t>
  </si>
  <si>
    <t xml:space="preserve"> شرح دهی</t>
  </si>
  <si>
    <t xml:space="preserve"> غفار خانی</t>
  </si>
  <si>
    <t xml:space="preserve"> کرسی پناه</t>
  </si>
  <si>
    <t xml:space="preserve"> شکاری</t>
  </si>
  <si>
    <t xml:space="preserve"> مقدسی</t>
  </si>
  <si>
    <t>حق طلب</t>
  </si>
  <si>
    <t xml:space="preserve">حمید رضا </t>
  </si>
  <si>
    <t>گودرزی</t>
  </si>
  <si>
    <t>فرشچی</t>
  </si>
  <si>
    <t xml:space="preserve">حاج ناصر </t>
  </si>
  <si>
    <t xml:space="preserve"> فلسفی</t>
  </si>
  <si>
    <t>سید محمد</t>
  </si>
  <si>
    <t>شهبازی</t>
  </si>
  <si>
    <t>شفعیان</t>
  </si>
  <si>
    <t xml:space="preserve">محمد ابراهیم </t>
  </si>
  <si>
    <t>مدرس</t>
  </si>
  <si>
    <t xml:space="preserve">سید محسن </t>
  </si>
  <si>
    <t>سید مهدی</t>
  </si>
  <si>
    <t xml:space="preserve"> رضوان</t>
  </si>
  <si>
    <t>علی اکبر</t>
  </si>
  <si>
    <t>پیران عقل</t>
  </si>
  <si>
    <t xml:space="preserve"> شفاعی</t>
  </si>
  <si>
    <t xml:space="preserve"> شفیعی</t>
  </si>
  <si>
    <t xml:space="preserve"> قره داغی</t>
  </si>
  <si>
    <t>غلام عباس</t>
  </si>
  <si>
    <t xml:space="preserve"> رشیدی</t>
  </si>
  <si>
    <t>جلیل</t>
  </si>
  <si>
    <t xml:space="preserve"> سیرجانی</t>
  </si>
  <si>
    <t>رجب</t>
  </si>
  <si>
    <t xml:space="preserve"> امامی ابرغانی</t>
  </si>
  <si>
    <t>ولی</t>
  </si>
  <si>
    <t xml:space="preserve"> زجاجی</t>
  </si>
  <si>
    <t xml:space="preserve"> حاج امینی</t>
  </si>
  <si>
    <t xml:space="preserve"> طلا</t>
  </si>
  <si>
    <t>محمدی اصفهانی</t>
  </si>
  <si>
    <t>شمسایی</t>
  </si>
  <si>
    <t xml:space="preserve"> خرم دل</t>
  </si>
  <si>
    <t>ارشدی</t>
  </si>
  <si>
    <t xml:space="preserve"> طاهری</t>
  </si>
  <si>
    <t xml:space="preserve"> مبراء</t>
  </si>
  <si>
    <t xml:space="preserve"> صادقی یکتا</t>
  </si>
  <si>
    <t>امیرمسعود</t>
  </si>
  <si>
    <t xml:space="preserve"> طاهرافشار</t>
  </si>
  <si>
    <t xml:space="preserve"> شاهورانی</t>
  </si>
  <si>
    <t xml:space="preserve"> شکوری گرگانی</t>
  </si>
  <si>
    <t xml:space="preserve"> احمد بیگی</t>
  </si>
  <si>
    <t>یعقوب</t>
  </si>
  <si>
    <t xml:space="preserve"> باغشاهی</t>
  </si>
  <si>
    <t>خسروجردی</t>
  </si>
  <si>
    <t xml:space="preserve"> اقبال</t>
  </si>
  <si>
    <t>علی حسن</t>
  </si>
  <si>
    <t xml:space="preserve"> اسماعیلیان</t>
  </si>
  <si>
    <t xml:space="preserve"> زندیه</t>
  </si>
  <si>
    <t xml:space="preserve">سید قاسم </t>
  </si>
  <si>
    <t>ابوالقاسمی</t>
  </si>
  <si>
    <t xml:space="preserve">میرحبیب </t>
  </si>
  <si>
    <t>سلیمان شهباز</t>
  </si>
  <si>
    <t xml:space="preserve"> رضا خشکبارچی</t>
  </si>
  <si>
    <t xml:space="preserve"> غلامی</t>
  </si>
  <si>
    <t xml:space="preserve"> فروزنده</t>
  </si>
  <si>
    <t>فرهاد</t>
  </si>
  <si>
    <t xml:space="preserve"> غلامی نژاد</t>
  </si>
  <si>
    <t xml:space="preserve"> شفیعی اقدم</t>
  </si>
  <si>
    <t xml:space="preserve"> غیبی</t>
  </si>
  <si>
    <t xml:space="preserve"> نعمتی</t>
  </si>
  <si>
    <t>شعبان</t>
  </si>
  <si>
    <t xml:space="preserve"> متولیان</t>
  </si>
  <si>
    <t xml:space="preserve"> جعفری فر</t>
  </si>
  <si>
    <t xml:space="preserve"> اینالو</t>
  </si>
  <si>
    <t xml:space="preserve"> مصدری</t>
  </si>
  <si>
    <t xml:space="preserve"> سپهری</t>
  </si>
  <si>
    <t>حسن جواد</t>
  </si>
  <si>
    <t xml:space="preserve"> طباخ خوشه مهر</t>
  </si>
  <si>
    <t>عطوف</t>
  </si>
  <si>
    <t xml:space="preserve"> حسین دانا</t>
  </si>
  <si>
    <t xml:space="preserve"> فیروزنیا</t>
  </si>
  <si>
    <t xml:space="preserve"> سازنده</t>
  </si>
  <si>
    <t>فاضل</t>
  </si>
  <si>
    <t xml:space="preserve"> مازوساز</t>
  </si>
  <si>
    <t xml:space="preserve"> همتی</t>
  </si>
  <si>
    <t xml:space="preserve"> قاسمی تودشکوئی</t>
  </si>
  <si>
    <t xml:space="preserve"> شیخ لو</t>
  </si>
  <si>
    <t xml:space="preserve"> بیاتی</t>
  </si>
  <si>
    <t xml:space="preserve"> قاسمی صدر آبادی</t>
  </si>
  <si>
    <t xml:space="preserve"> موحدی کرمانی</t>
  </si>
  <si>
    <t xml:space="preserve"> آطاهریان</t>
  </si>
  <si>
    <t>امیر حسین</t>
  </si>
  <si>
    <t xml:space="preserve"> صادقیان</t>
  </si>
  <si>
    <t>مهرداد</t>
  </si>
  <si>
    <t>نصیر</t>
  </si>
  <si>
    <t xml:space="preserve"> غیاثوند</t>
  </si>
  <si>
    <t xml:space="preserve"> فدوی</t>
  </si>
  <si>
    <t xml:space="preserve"> آقا رحیمی</t>
  </si>
  <si>
    <t xml:space="preserve"> زنیوند</t>
  </si>
  <si>
    <t>نصر الله</t>
  </si>
  <si>
    <t xml:space="preserve"> درزجی دولق</t>
  </si>
  <si>
    <t>محبوب</t>
  </si>
  <si>
    <t xml:space="preserve"> قلی بیگیان</t>
  </si>
  <si>
    <t xml:space="preserve"> صالی</t>
  </si>
  <si>
    <t xml:space="preserve"> پور سلطان</t>
  </si>
  <si>
    <t xml:space="preserve"> زنجانی کرامتی</t>
  </si>
  <si>
    <t xml:space="preserve"> گل دست</t>
  </si>
  <si>
    <t xml:space="preserve"> زارع پور چونیانی</t>
  </si>
  <si>
    <t xml:space="preserve"> قانع آبادی استاد</t>
  </si>
  <si>
    <t xml:space="preserve"> دریاباری</t>
  </si>
  <si>
    <t>سید حسن</t>
  </si>
  <si>
    <t xml:space="preserve"> ابوالمعالی حسینی</t>
  </si>
  <si>
    <t>محمد سعید</t>
  </si>
  <si>
    <t xml:space="preserve"> ملاجعفر </t>
  </si>
  <si>
    <t>طهماسبی آشتیانی</t>
  </si>
  <si>
    <t>نارانی</t>
  </si>
  <si>
    <t xml:space="preserve"> علینژاد آقبلاغ</t>
  </si>
  <si>
    <t>جمال</t>
  </si>
  <si>
    <t xml:space="preserve"> رضائی</t>
  </si>
  <si>
    <t>حیدر علی</t>
  </si>
  <si>
    <t xml:space="preserve"> ادبی فرد</t>
  </si>
  <si>
    <t xml:space="preserve"> محرمی</t>
  </si>
  <si>
    <t xml:space="preserve"> کهتری</t>
  </si>
  <si>
    <t xml:space="preserve"> سقایی سقولو</t>
  </si>
  <si>
    <t xml:space="preserve"> داودی</t>
  </si>
  <si>
    <t>صفر علی</t>
  </si>
  <si>
    <t xml:space="preserve"> فدائی تهرانی</t>
  </si>
  <si>
    <t xml:space="preserve"> صابر درویش</t>
  </si>
  <si>
    <t>احمدی نسب</t>
  </si>
  <si>
    <t xml:space="preserve">یحیی </t>
  </si>
  <si>
    <t>حسین زمان</t>
  </si>
  <si>
    <t>یاور</t>
  </si>
  <si>
    <t xml:space="preserve"> قاسمی</t>
  </si>
  <si>
    <t>نصیبه</t>
  </si>
  <si>
    <t>نرگس</t>
  </si>
  <si>
    <t xml:space="preserve"> اصلانی</t>
  </si>
  <si>
    <t xml:space="preserve"> ملکی</t>
  </si>
  <si>
    <t xml:space="preserve"> فرو</t>
  </si>
  <si>
    <t xml:space="preserve"> خرامان</t>
  </si>
  <si>
    <t>بهار پور</t>
  </si>
  <si>
    <t xml:space="preserve"> جمالی</t>
  </si>
  <si>
    <t>مطلب</t>
  </si>
  <si>
    <t xml:space="preserve"> نوروزی</t>
  </si>
  <si>
    <t xml:space="preserve"> اکبر پور رمضانی</t>
  </si>
  <si>
    <t xml:space="preserve"> نوروزی </t>
  </si>
  <si>
    <t xml:space="preserve"> قلیچ پور</t>
  </si>
  <si>
    <t xml:space="preserve"> سلحشور</t>
  </si>
  <si>
    <t xml:space="preserve"> خجسته</t>
  </si>
  <si>
    <t xml:space="preserve"> حاجی کتابی</t>
  </si>
  <si>
    <t xml:space="preserve"> عبدلیان</t>
  </si>
  <si>
    <t xml:space="preserve"> رستم خانی</t>
  </si>
  <si>
    <t xml:space="preserve"> ناظم زاده</t>
  </si>
  <si>
    <t xml:space="preserve"> قلی پور</t>
  </si>
  <si>
    <t xml:space="preserve"> بابایی</t>
  </si>
  <si>
    <t>علی اکیر</t>
  </si>
  <si>
    <t>خزایی</t>
  </si>
  <si>
    <t xml:space="preserve"> چهره خند</t>
  </si>
  <si>
    <t xml:space="preserve"> اقدسیان</t>
  </si>
  <si>
    <t>محمد جلال</t>
  </si>
  <si>
    <t xml:space="preserve"> زارع</t>
  </si>
  <si>
    <t>محمد ابراهیم</t>
  </si>
  <si>
    <t xml:space="preserve"> محمودی</t>
  </si>
  <si>
    <t xml:space="preserve"> سلیمی</t>
  </si>
  <si>
    <t xml:space="preserve"> ثنائی</t>
  </si>
  <si>
    <t xml:space="preserve"> عباسی</t>
  </si>
  <si>
    <t>محبتعلی</t>
  </si>
  <si>
    <t xml:space="preserve"> معلمی</t>
  </si>
  <si>
    <t>صفدری</t>
  </si>
  <si>
    <t xml:space="preserve">مجتی </t>
  </si>
  <si>
    <t>هدایتی</t>
  </si>
  <si>
    <t xml:space="preserve">مازیار </t>
  </si>
  <si>
    <t xml:space="preserve"> سلیمانی</t>
  </si>
  <si>
    <t>کوروش</t>
  </si>
  <si>
    <t>کبری</t>
  </si>
  <si>
    <t>رضا پور</t>
  </si>
  <si>
    <t xml:space="preserve">قربانعلی </t>
  </si>
  <si>
    <t>ماجدی</t>
  </si>
  <si>
    <t>فریدون</t>
  </si>
  <si>
    <t xml:space="preserve"> یعقوب خانی</t>
  </si>
  <si>
    <t>طورقوز آبادی</t>
  </si>
  <si>
    <t>ساروقی فراهانی</t>
  </si>
  <si>
    <t>ابوطالبی</t>
  </si>
  <si>
    <t>14405/3/7 تاریخ نصب</t>
  </si>
  <si>
    <t>1405/3/7 تاریخ نصب</t>
  </si>
  <si>
    <t>عشقی</t>
  </si>
  <si>
    <t xml:space="preserve"> کرک آبادی</t>
  </si>
  <si>
    <t xml:space="preserve"> صدیقی</t>
  </si>
  <si>
    <t xml:space="preserve"> یزدانی</t>
  </si>
  <si>
    <t>علی رضا</t>
  </si>
  <si>
    <t xml:space="preserve"> نجار</t>
  </si>
  <si>
    <t xml:space="preserve"> خیر آبادی</t>
  </si>
  <si>
    <t xml:space="preserve"> خسروانی</t>
  </si>
  <si>
    <t xml:space="preserve"> حاتمی پور</t>
  </si>
  <si>
    <t xml:space="preserve"> ترابی کربلائی</t>
  </si>
  <si>
    <t xml:space="preserve"> اینانلو</t>
  </si>
  <si>
    <t xml:space="preserve"> پور صباغ</t>
  </si>
  <si>
    <t xml:space="preserve"> عوض بخشی </t>
  </si>
  <si>
    <t>عزیزاله</t>
  </si>
  <si>
    <t xml:space="preserve">  جبار پور</t>
  </si>
  <si>
    <t>شجاعی فرد</t>
  </si>
  <si>
    <t xml:space="preserve">صادق </t>
  </si>
  <si>
    <t xml:space="preserve"> رضایی</t>
  </si>
  <si>
    <t>صابر</t>
  </si>
  <si>
    <t>صباحی</t>
  </si>
  <si>
    <t xml:space="preserve"> گل اثر</t>
  </si>
  <si>
    <t>بانکی گیلانی</t>
  </si>
  <si>
    <t xml:space="preserve"> آسیه </t>
  </si>
  <si>
    <t>شهباز</t>
  </si>
  <si>
    <t xml:space="preserve"> بهمن دریا باری</t>
  </si>
  <si>
    <t>سید امیر</t>
  </si>
  <si>
    <t xml:space="preserve"> دریا باری</t>
  </si>
  <si>
    <t xml:space="preserve"> عباسی </t>
  </si>
  <si>
    <t>سمیه</t>
  </si>
  <si>
    <t>مصطفوی</t>
  </si>
  <si>
    <t xml:space="preserve"> نظری</t>
  </si>
  <si>
    <t xml:space="preserve"> تهرانی</t>
  </si>
  <si>
    <t xml:space="preserve"> انهاری</t>
  </si>
  <si>
    <t>خاکبازان</t>
  </si>
  <si>
    <t>داود</t>
  </si>
  <si>
    <t xml:space="preserve"> ربیعی</t>
  </si>
  <si>
    <t xml:space="preserve"> کاشانی</t>
  </si>
  <si>
    <t>حمیدرضا</t>
  </si>
  <si>
    <t>کیانی</t>
  </si>
  <si>
    <t xml:space="preserve"> قره محمد لو</t>
  </si>
  <si>
    <t>سلطانیان</t>
  </si>
  <si>
    <t xml:space="preserve"> رامتین نژاد</t>
  </si>
  <si>
    <t xml:space="preserve"> سلامی</t>
  </si>
  <si>
    <t xml:space="preserve"> عدالت فر</t>
  </si>
  <si>
    <t xml:space="preserve"> ملکی </t>
  </si>
  <si>
    <t>حاج اکبر</t>
  </si>
  <si>
    <t xml:space="preserve"> ساربان نژاد</t>
  </si>
  <si>
    <t>فتح اله زاده</t>
  </si>
  <si>
    <t xml:space="preserve">جاراله </t>
  </si>
  <si>
    <t>پرویز</t>
  </si>
  <si>
    <t xml:space="preserve"> شریفی مقدم</t>
  </si>
  <si>
    <t>گل نژاد</t>
  </si>
  <si>
    <t xml:space="preserve">بیژن </t>
  </si>
  <si>
    <t xml:space="preserve"> غفاری</t>
  </si>
  <si>
    <t>بهروز</t>
  </si>
  <si>
    <t>درخشان</t>
  </si>
  <si>
    <t xml:space="preserve"> خسروی</t>
  </si>
  <si>
    <t>امیر هوشنگ</t>
  </si>
  <si>
    <t xml:space="preserve"> آباده</t>
  </si>
  <si>
    <t xml:space="preserve"> ایران پور</t>
  </si>
  <si>
    <t xml:space="preserve"> نور زاده</t>
  </si>
  <si>
    <t xml:space="preserve"> شکوری سراب</t>
  </si>
  <si>
    <t xml:space="preserve"> چزانی شراهی</t>
  </si>
  <si>
    <t>کشاورز</t>
  </si>
  <si>
    <t xml:space="preserve"> رضا شاطری</t>
  </si>
  <si>
    <t xml:space="preserve"> فتحیه</t>
  </si>
  <si>
    <t xml:space="preserve"> زینالی</t>
  </si>
  <si>
    <t>عبدالحمید</t>
  </si>
  <si>
    <t>خان محمدی</t>
  </si>
  <si>
    <t>بخشی پور</t>
  </si>
  <si>
    <t xml:space="preserve">علی اکبر </t>
  </si>
  <si>
    <t>گلی</t>
  </si>
  <si>
    <t xml:space="preserve"> مبینی یزدی</t>
  </si>
  <si>
    <t xml:space="preserve"> عابد علمدوست</t>
  </si>
  <si>
    <t xml:space="preserve"> رستگار</t>
  </si>
  <si>
    <t xml:space="preserve"> رعیت رکن آبادی</t>
  </si>
  <si>
    <t xml:space="preserve"> شمس</t>
  </si>
  <si>
    <t>صالحی</t>
  </si>
  <si>
    <t>خلیلی</t>
  </si>
  <si>
    <t xml:space="preserve">سید عیسی </t>
  </si>
  <si>
    <t>استاد حسن</t>
  </si>
  <si>
    <t xml:space="preserve">حسین علی </t>
  </si>
  <si>
    <t xml:space="preserve"> عبدالهی</t>
  </si>
  <si>
    <t>چمنی</t>
  </si>
  <si>
    <t xml:space="preserve">امیر </t>
  </si>
  <si>
    <t xml:space="preserve"> ولدخانی</t>
  </si>
  <si>
    <t xml:space="preserve"> گیلانی</t>
  </si>
  <si>
    <t>فلاح</t>
  </si>
  <si>
    <t>زارعین</t>
  </si>
  <si>
    <t xml:space="preserve"> ولی زاده</t>
  </si>
  <si>
    <t xml:space="preserve"> میرزائی</t>
  </si>
  <si>
    <t xml:space="preserve"> شیر محمد مهرانی</t>
  </si>
  <si>
    <t xml:space="preserve"> طباخان</t>
  </si>
  <si>
    <t>شاهین</t>
  </si>
  <si>
    <t xml:space="preserve"> ساسانیان</t>
  </si>
  <si>
    <t>عظام</t>
  </si>
  <si>
    <t xml:space="preserve"> الوندی کوشا</t>
  </si>
  <si>
    <t>امیرهوشنگ</t>
  </si>
  <si>
    <t>احدی چرکنلویی</t>
  </si>
  <si>
    <t>قاسم</t>
  </si>
  <si>
    <t xml:space="preserve"> سعیدی </t>
  </si>
  <si>
    <t xml:space="preserve"> امامی پور </t>
  </si>
  <si>
    <t>ریحانی ابدائى</t>
  </si>
  <si>
    <t>آذرنجات</t>
  </si>
  <si>
    <t xml:space="preserve"> شکری</t>
  </si>
  <si>
    <t>ماشااله</t>
  </si>
  <si>
    <t xml:space="preserve"> اسدی فرد</t>
  </si>
  <si>
    <t xml:space="preserve"> رضاحسینی</t>
  </si>
  <si>
    <t>سیدحسن</t>
  </si>
  <si>
    <t xml:space="preserve"> عفتی ملایی</t>
  </si>
  <si>
    <t xml:space="preserve"> مهاجری</t>
  </si>
  <si>
    <t>محمداکبر</t>
  </si>
  <si>
    <t xml:space="preserve"> حاج محمدی</t>
  </si>
  <si>
    <t xml:space="preserve"> ندیری</t>
  </si>
  <si>
    <t xml:space="preserve"> پوشش دوست</t>
  </si>
  <si>
    <t>روح اله</t>
  </si>
  <si>
    <t xml:space="preserve"> نوروزجم</t>
  </si>
  <si>
    <t xml:space="preserve"> بروجردی</t>
  </si>
  <si>
    <t xml:space="preserve"> اکوان</t>
  </si>
  <si>
    <t xml:space="preserve"> کرکرانک</t>
  </si>
  <si>
    <t xml:space="preserve"> رستمی ترکمانی</t>
  </si>
  <si>
    <t xml:space="preserve"> تن زاده</t>
  </si>
  <si>
    <t xml:space="preserve"> پهلوانی</t>
  </si>
  <si>
    <t xml:space="preserve"> افشار</t>
  </si>
  <si>
    <t xml:space="preserve"> امجدی</t>
  </si>
  <si>
    <t xml:space="preserve"> مقیمی</t>
  </si>
  <si>
    <t>فرشته</t>
  </si>
  <si>
    <t xml:space="preserve">  شاهی ارجقی </t>
  </si>
  <si>
    <t>حکومه</t>
  </si>
  <si>
    <t xml:space="preserve"> مهدوی </t>
  </si>
  <si>
    <t>نعمت</t>
  </si>
  <si>
    <t xml:space="preserve"> شاهپور بخشوده </t>
  </si>
  <si>
    <t xml:space="preserve"> خالص پور </t>
  </si>
  <si>
    <t xml:space="preserve"> عطاران بندر آبادی</t>
  </si>
  <si>
    <t xml:space="preserve"> نصیری </t>
  </si>
  <si>
    <t xml:space="preserve"> فرجی </t>
  </si>
  <si>
    <t xml:space="preserve"> غریبی </t>
  </si>
  <si>
    <t xml:space="preserve"> غریبی</t>
  </si>
  <si>
    <t>لیلا</t>
  </si>
  <si>
    <t xml:space="preserve"> نظری </t>
  </si>
  <si>
    <t xml:space="preserve"> خلج زمان آبادی </t>
  </si>
  <si>
    <t xml:space="preserve"> غفاری </t>
  </si>
  <si>
    <t>عباداله</t>
  </si>
  <si>
    <t>بهرام</t>
  </si>
  <si>
    <t>نورخدا</t>
  </si>
  <si>
    <t xml:space="preserve"> غلامی </t>
  </si>
  <si>
    <t>حاج خان</t>
  </si>
  <si>
    <t xml:space="preserve"> وادی نژاد</t>
  </si>
  <si>
    <t xml:space="preserve"> میرمالک </t>
  </si>
  <si>
    <t>سید هاشم</t>
  </si>
  <si>
    <t xml:space="preserve"> شمالی</t>
  </si>
  <si>
    <t>داور</t>
  </si>
  <si>
    <t xml:space="preserve"> صدقی کنزق</t>
  </si>
  <si>
    <t>اسفند یار</t>
  </si>
  <si>
    <t xml:space="preserve"> آرم </t>
  </si>
  <si>
    <t>عماد</t>
  </si>
  <si>
    <t xml:space="preserve"> شمس </t>
  </si>
  <si>
    <t xml:space="preserve"> حسین زاده اصل خیابانیان </t>
  </si>
  <si>
    <t xml:space="preserve"> عباس قلی زاده</t>
  </si>
  <si>
    <t>سید علی</t>
  </si>
  <si>
    <t xml:space="preserve"> اغنامیان</t>
  </si>
  <si>
    <t>المیرا</t>
  </si>
  <si>
    <t xml:space="preserve"> جعفری</t>
  </si>
  <si>
    <t xml:space="preserve"> سلیمانی ثانی</t>
  </si>
  <si>
    <t xml:space="preserve"> خواص</t>
  </si>
  <si>
    <t xml:space="preserve">  خسروی نصر</t>
  </si>
  <si>
    <t>آرش</t>
  </si>
  <si>
    <t xml:space="preserve"> محمد زاده </t>
  </si>
  <si>
    <t xml:space="preserve">محرابی </t>
  </si>
  <si>
    <t xml:space="preserve"> مهدوی(مرمر)</t>
  </si>
  <si>
    <t xml:space="preserve"> گودرزی(چهردار)</t>
  </si>
  <si>
    <t xml:space="preserve"> صادقی </t>
  </si>
  <si>
    <t xml:space="preserve"> دربندی</t>
  </si>
  <si>
    <t xml:space="preserve"> جلودار زاده</t>
  </si>
  <si>
    <t xml:space="preserve"> قدیانی</t>
  </si>
  <si>
    <t>قربانعلی</t>
  </si>
  <si>
    <t xml:space="preserve"> عزیزانی</t>
  </si>
  <si>
    <t>مهران</t>
  </si>
  <si>
    <t xml:space="preserve"> مصطفوی</t>
  </si>
  <si>
    <t>سیدحسین</t>
  </si>
  <si>
    <t xml:space="preserve"> میرزائی فراهانی</t>
  </si>
  <si>
    <t xml:space="preserve"> قنبر</t>
  </si>
  <si>
    <t>حنیفه زاده مرندی</t>
  </si>
  <si>
    <t xml:space="preserve"> براتلو</t>
  </si>
  <si>
    <t>نوری</t>
  </si>
  <si>
    <t xml:space="preserve"> ایرانی</t>
  </si>
  <si>
    <t xml:space="preserve"> لطیفی</t>
  </si>
  <si>
    <t xml:space="preserve">محمد مهدی </t>
  </si>
  <si>
    <t>متولی</t>
  </si>
  <si>
    <t>طاهرپناه</t>
  </si>
  <si>
    <t>حبیبی</t>
  </si>
  <si>
    <t>سخائی</t>
  </si>
  <si>
    <t xml:space="preserve"> فعال</t>
  </si>
  <si>
    <t>یوسف</t>
  </si>
  <si>
    <t xml:space="preserve"> موسی الرضا</t>
  </si>
  <si>
    <t>داریوش</t>
  </si>
  <si>
    <t xml:space="preserve"> مصیحی نیا</t>
  </si>
  <si>
    <t xml:space="preserve"> هدایت پور</t>
  </si>
  <si>
    <t>محمدهادی</t>
  </si>
  <si>
    <t>توکلی</t>
  </si>
  <si>
    <t>گرگانی تهرانی</t>
  </si>
  <si>
    <t xml:space="preserve">رحمان </t>
  </si>
  <si>
    <t xml:space="preserve"> استاد عظیم</t>
  </si>
  <si>
    <t xml:space="preserve"> عبایی هدش</t>
  </si>
  <si>
    <t>محمدباقر</t>
  </si>
  <si>
    <t xml:space="preserve"> عاطفی</t>
  </si>
  <si>
    <t xml:space="preserve"> باقرپور</t>
  </si>
  <si>
    <t xml:space="preserve"> اسدی </t>
  </si>
  <si>
    <t xml:space="preserve"> قمری</t>
  </si>
  <si>
    <t xml:space="preserve"> حسینجانی</t>
  </si>
  <si>
    <t xml:space="preserve"> اقبالی مقدم</t>
  </si>
  <si>
    <t xml:space="preserve"> اصل محرمی</t>
  </si>
  <si>
    <t>خداویردی</t>
  </si>
  <si>
    <t>کوثری</t>
  </si>
  <si>
    <t>زین العابدین</t>
  </si>
  <si>
    <t xml:space="preserve"> قمی اویلی</t>
  </si>
  <si>
    <t>آدرس مزار برای شهید علی معبودی هست</t>
  </si>
  <si>
    <t>تسبندی</t>
  </si>
  <si>
    <t xml:space="preserve"> یگانه</t>
  </si>
  <si>
    <t>سبزعلی گل آشتیانی</t>
  </si>
  <si>
    <t xml:space="preserve"> پارسا</t>
  </si>
  <si>
    <t>ابوالفضل</t>
  </si>
  <si>
    <t xml:space="preserve"> محمودوند</t>
  </si>
  <si>
    <t xml:space="preserve"> لطفی</t>
  </si>
  <si>
    <t>حیدرپور</t>
  </si>
  <si>
    <t xml:space="preserve"> اباذری</t>
  </si>
  <si>
    <t xml:space="preserve"> ادیبی</t>
  </si>
  <si>
    <t xml:space="preserve"> همایونپور</t>
  </si>
  <si>
    <t xml:space="preserve"> مهرامی</t>
  </si>
  <si>
    <t>صدری</t>
  </si>
  <si>
    <t>جاهدی</t>
  </si>
  <si>
    <t>علیرضایی مجد</t>
  </si>
  <si>
    <t xml:space="preserve"> محمدقاسمی</t>
  </si>
  <si>
    <t xml:space="preserve"> سالاری</t>
  </si>
  <si>
    <t xml:space="preserve"> حصاری</t>
  </si>
  <si>
    <t>کاظم</t>
  </si>
  <si>
    <t xml:space="preserve"> مختاری</t>
  </si>
  <si>
    <t xml:space="preserve"> داوودی</t>
  </si>
  <si>
    <t xml:space="preserve"> طاووسیان</t>
  </si>
  <si>
    <t>پورحمدی</t>
  </si>
  <si>
    <t xml:space="preserve"> اسماعیل ایوانکی</t>
  </si>
  <si>
    <t xml:space="preserve"> جارچی</t>
  </si>
  <si>
    <t xml:space="preserve">عبدالعظیم </t>
  </si>
  <si>
    <t xml:space="preserve"> مولوی</t>
  </si>
  <si>
    <t xml:space="preserve"> اسدی مخبر</t>
  </si>
  <si>
    <t xml:space="preserve"> لقب دوست ارانی</t>
  </si>
  <si>
    <t xml:space="preserve"> موسوی افخم</t>
  </si>
  <si>
    <t xml:space="preserve"> نجفی مقدم</t>
  </si>
  <si>
    <t>جابر</t>
  </si>
  <si>
    <t>اسکندریکه تاز</t>
  </si>
  <si>
    <t xml:space="preserve"> مقرری صدابیک</t>
  </si>
  <si>
    <t>نقطچی لنگرودی</t>
  </si>
  <si>
    <t xml:space="preserve"> ستارپور ممقانی</t>
  </si>
  <si>
    <t xml:space="preserve"> اخلاقی</t>
  </si>
  <si>
    <t>موسوی</t>
  </si>
  <si>
    <t xml:space="preserve"> قنبری</t>
  </si>
  <si>
    <t>ترکمانی</t>
  </si>
  <si>
    <t>هادی زاده</t>
  </si>
  <si>
    <t xml:space="preserve"> ساسانی</t>
  </si>
  <si>
    <t>محمدحسن</t>
  </si>
  <si>
    <t xml:space="preserve"> پاک بین</t>
  </si>
  <si>
    <t xml:space="preserve"> احمدی</t>
  </si>
  <si>
    <t>امیرخسرو</t>
  </si>
  <si>
    <t xml:space="preserve"> کرم نماشیرازی</t>
  </si>
  <si>
    <t xml:space="preserve"> هلیایی</t>
  </si>
  <si>
    <t xml:space="preserve"> شاه ابادی</t>
  </si>
  <si>
    <t xml:space="preserve"> زهری</t>
  </si>
  <si>
    <t xml:space="preserve"> افشاری</t>
  </si>
  <si>
    <t xml:space="preserve"> نجفیان رضوی</t>
  </si>
  <si>
    <t>عبدالحسین</t>
  </si>
  <si>
    <t>عالمی</t>
  </si>
  <si>
    <t xml:space="preserve"> هاتف</t>
  </si>
  <si>
    <t xml:space="preserve"> پاسبان</t>
  </si>
  <si>
    <t>عسگر</t>
  </si>
  <si>
    <t xml:space="preserve"> ورزدار</t>
  </si>
  <si>
    <t>فرهنگ</t>
  </si>
  <si>
    <t xml:space="preserve"> طباطبایی نژاد</t>
  </si>
  <si>
    <t xml:space="preserve"> نطاق پور نوری</t>
  </si>
  <si>
    <t xml:space="preserve"> دشتی</t>
  </si>
  <si>
    <t xml:space="preserve"> دین شعاری</t>
  </si>
  <si>
    <t xml:space="preserve"> نورالهی</t>
  </si>
  <si>
    <t xml:space="preserve"> نصرالهی</t>
  </si>
  <si>
    <t xml:space="preserve"> بادفر</t>
  </si>
  <si>
    <t xml:space="preserve"> قربانعلی</t>
  </si>
  <si>
    <t xml:space="preserve"> نوری نیری</t>
  </si>
  <si>
    <t xml:space="preserve"> مجتبی زاده</t>
  </si>
  <si>
    <t>سیدمحمد</t>
  </si>
  <si>
    <t>رامین</t>
  </si>
  <si>
    <t xml:space="preserve"> حسن بیگی</t>
  </si>
  <si>
    <t xml:space="preserve"> نجف زاده</t>
  </si>
  <si>
    <t xml:space="preserve"> آرویی</t>
  </si>
  <si>
    <t xml:space="preserve"> گروسی</t>
  </si>
  <si>
    <t>جعفر علی</t>
  </si>
  <si>
    <t xml:space="preserve"> شیری آق باش</t>
  </si>
  <si>
    <t xml:space="preserve"> جعفرنیا دابانلو</t>
  </si>
  <si>
    <t xml:space="preserve"> جلمبانی</t>
  </si>
  <si>
    <t xml:space="preserve"> محمودی یکتا</t>
  </si>
  <si>
    <t>میراحمد</t>
  </si>
  <si>
    <t xml:space="preserve"> ناطق</t>
  </si>
  <si>
    <t xml:space="preserve"> عسگری</t>
  </si>
  <si>
    <t xml:space="preserve"> عدلی یکتا</t>
  </si>
  <si>
    <t xml:space="preserve"> دوست محمدی</t>
  </si>
  <si>
    <t xml:space="preserve"> قویدل</t>
  </si>
  <si>
    <t>سیاوش</t>
  </si>
  <si>
    <t xml:space="preserve"> فرصیاد</t>
  </si>
  <si>
    <t xml:space="preserve"> میرشفیعی</t>
  </si>
  <si>
    <t xml:space="preserve"> کشاورز</t>
  </si>
  <si>
    <t xml:space="preserve"> یاری</t>
  </si>
  <si>
    <t>محمدمهدی</t>
  </si>
  <si>
    <t>عبدالعظیم</t>
  </si>
  <si>
    <t xml:space="preserve"> یاراحمدی</t>
  </si>
  <si>
    <t>رحمان</t>
  </si>
  <si>
    <t xml:space="preserve"> ذبیح علی بخشی</t>
  </si>
  <si>
    <t xml:space="preserve"> پورادکار</t>
  </si>
  <si>
    <t xml:space="preserve"> ظهوریان</t>
  </si>
  <si>
    <t xml:space="preserve"> تحصیلی</t>
  </si>
  <si>
    <t xml:space="preserve"> رجبی</t>
  </si>
  <si>
    <t xml:space="preserve"> مهدیخانی</t>
  </si>
  <si>
    <t>جلال</t>
  </si>
  <si>
    <t xml:space="preserve"> بنایی زاده</t>
  </si>
  <si>
    <t xml:space="preserve"> کرمی</t>
  </si>
  <si>
    <t xml:space="preserve"> عبیری</t>
  </si>
  <si>
    <t xml:space="preserve"> محمدنژاد</t>
  </si>
  <si>
    <t xml:space="preserve"> ترکمنی</t>
  </si>
  <si>
    <t>شاهپور</t>
  </si>
  <si>
    <t xml:space="preserve"> مهاجر محمود حق</t>
  </si>
  <si>
    <t xml:space="preserve"> شهبازی فراهانی</t>
  </si>
  <si>
    <t xml:space="preserve"> اشرفی رهقی</t>
  </si>
  <si>
    <t xml:space="preserve"> بنی هاشمی</t>
  </si>
  <si>
    <t xml:space="preserve"> مولایی</t>
  </si>
  <si>
    <t>سلمان</t>
  </si>
  <si>
    <t xml:space="preserve"> صمدی</t>
  </si>
  <si>
    <t>ایوب</t>
  </si>
  <si>
    <t xml:space="preserve"> شعیبی</t>
  </si>
  <si>
    <t xml:space="preserve"> سرنامی</t>
  </si>
  <si>
    <t xml:space="preserve"> میرزائی نیا</t>
  </si>
  <si>
    <t xml:space="preserve"> فولادی</t>
  </si>
  <si>
    <t xml:space="preserve"> جعفرزاده</t>
  </si>
  <si>
    <t>امیر عباس</t>
  </si>
  <si>
    <t xml:space="preserve"> کشور دوست</t>
  </si>
  <si>
    <t xml:space="preserve"> زند کریم خانی</t>
  </si>
  <si>
    <t xml:space="preserve"> علی محمدی</t>
  </si>
  <si>
    <t xml:space="preserve"> سنجرنیشابوری</t>
  </si>
  <si>
    <t xml:space="preserve"> نوری</t>
  </si>
  <si>
    <t xml:space="preserve"> عطارباش</t>
  </si>
  <si>
    <t xml:space="preserve"> حدادی</t>
  </si>
  <si>
    <t xml:space="preserve"> جمشیدی</t>
  </si>
  <si>
    <t>فتح اله</t>
  </si>
  <si>
    <t xml:space="preserve">مهرداد </t>
  </si>
  <si>
    <t xml:space="preserve"> عسگرآبادی</t>
  </si>
  <si>
    <t xml:space="preserve"> خسروی مکانی</t>
  </si>
  <si>
    <t xml:space="preserve"> جلوداری</t>
  </si>
  <si>
    <t xml:space="preserve"> روشنایی</t>
  </si>
  <si>
    <t xml:space="preserve"> برجعلی خانی</t>
  </si>
  <si>
    <t xml:space="preserve"> قرایی</t>
  </si>
  <si>
    <t xml:space="preserve"> الیکایی آهاری</t>
  </si>
  <si>
    <t>ولی الله</t>
  </si>
  <si>
    <t xml:space="preserve"> حکیم الهی</t>
  </si>
  <si>
    <t xml:space="preserve"> محسنی</t>
  </si>
  <si>
    <t>شکرالله</t>
  </si>
  <si>
    <t xml:space="preserve"> اسد بروجردی</t>
  </si>
  <si>
    <t xml:space="preserve"> میربیگی</t>
  </si>
  <si>
    <t xml:space="preserve"> ابراهیم آبادی</t>
  </si>
  <si>
    <t>عباسعلی</t>
  </si>
  <si>
    <t xml:space="preserve"> وقایعی</t>
  </si>
  <si>
    <t xml:space="preserve"> صحرایی</t>
  </si>
  <si>
    <t xml:space="preserve"> محمدتقی رجبی</t>
  </si>
  <si>
    <t>عارف</t>
  </si>
  <si>
    <t xml:space="preserve"> اسحقی</t>
  </si>
  <si>
    <t xml:space="preserve"> بینایی مقدم</t>
  </si>
  <si>
    <t xml:space="preserve"> آقاجانی</t>
  </si>
  <si>
    <t xml:space="preserve"> طاهری نیا</t>
  </si>
  <si>
    <t xml:space="preserve"> شیخ بابایی</t>
  </si>
  <si>
    <t xml:space="preserve"> مقصودی</t>
  </si>
  <si>
    <t xml:space="preserve"> عباسقلی پور</t>
  </si>
  <si>
    <t xml:space="preserve"> خظابی</t>
  </si>
  <si>
    <t xml:space="preserve"> وکیلی</t>
  </si>
  <si>
    <t xml:space="preserve"> مصطفی بنا</t>
  </si>
  <si>
    <t xml:space="preserve"> کریم نوحی</t>
  </si>
  <si>
    <t xml:space="preserve"> ساعدی تهران</t>
  </si>
  <si>
    <t xml:space="preserve"> حنیف شفاهی</t>
  </si>
  <si>
    <t xml:space="preserve"> نریمانی</t>
  </si>
  <si>
    <t xml:space="preserve"> قیطاسی</t>
  </si>
  <si>
    <t>موید</t>
  </si>
  <si>
    <t xml:space="preserve"> ذاکری سوها</t>
  </si>
  <si>
    <t>رضائی صدرآباد</t>
  </si>
  <si>
    <t xml:space="preserve"> کوهی</t>
  </si>
  <si>
    <t xml:space="preserve"> شیخ زاده</t>
  </si>
  <si>
    <t>حجت اله</t>
  </si>
  <si>
    <t>کثیری نژاد</t>
  </si>
  <si>
    <t>عصمت خانوم</t>
  </si>
  <si>
    <t>رئوف</t>
  </si>
  <si>
    <t>اسدی</t>
  </si>
  <si>
    <t xml:space="preserve">ماشااله </t>
  </si>
  <si>
    <t>حاجی ابراهیم</t>
  </si>
  <si>
    <t xml:space="preserve">فریبرز </t>
  </si>
  <si>
    <t xml:space="preserve"> فرمانی</t>
  </si>
  <si>
    <t xml:space="preserve"> بابائی</t>
  </si>
  <si>
    <t>انصاری اصفهانی</t>
  </si>
  <si>
    <t>چهاردولی</t>
  </si>
  <si>
    <t xml:space="preserve">خدامراد </t>
  </si>
  <si>
    <t xml:space="preserve"> خانه زرین</t>
  </si>
  <si>
    <t xml:space="preserve"> خسروی پور</t>
  </si>
  <si>
    <t xml:space="preserve"> بندخت</t>
  </si>
  <si>
    <t xml:space="preserve"> جهانشیری</t>
  </si>
  <si>
    <t xml:space="preserve"> قائمی</t>
  </si>
  <si>
    <t>مهدی(نادر)</t>
  </si>
  <si>
    <t xml:space="preserve"> یوسفی اصیل</t>
  </si>
  <si>
    <t>نقی</t>
  </si>
  <si>
    <t xml:space="preserve"> حسینی تبار</t>
  </si>
  <si>
    <t>محمدتقی</t>
  </si>
  <si>
    <t xml:space="preserve">حسینعلی (اسماعیل) </t>
  </si>
  <si>
    <t xml:space="preserve"> شیخی بختیاری</t>
  </si>
  <si>
    <t xml:space="preserve"> عندالله</t>
  </si>
  <si>
    <t>محمود رضا</t>
  </si>
  <si>
    <t xml:space="preserve"> کشمیری</t>
  </si>
  <si>
    <t>امیر رضا</t>
  </si>
  <si>
    <t xml:space="preserve"> آقاپور</t>
  </si>
  <si>
    <t xml:space="preserve"> شمیرانی</t>
  </si>
  <si>
    <t xml:space="preserve"> حبیبی</t>
  </si>
  <si>
    <t xml:space="preserve"> رجبی فاضل</t>
  </si>
  <si>
    <t xml:space="preserve"> کدخدائی</t>
  </si>
  <si>
    <t>اسماعيل</t>
  </si>
  <si>
    <t xml:space="preserve"> مصباحی شبستری</t>
  </si>
  <si>
    <t xml:space="preserve"> انصاری مهیاری</t>
  </si>
  <si>
    <t xml:space="preserve"> وزیری زاده</t>
  </si>
  <si>
    <t xml:space="preserve"> اشتری</t>
  </si>
  <si>
    <t>حمید رضا</t>
  </si>
  <si>
    <t xml:space="preserve"> سهرابی</t>
  </si>
  <si>
    <t>یوسف(سعید)</t>
  </si>
  <si>
    <t xml:space="preserve"> حداد</t>
  </si>
  <si>
    <t xml:space="preserve"> عشقی</t>
  </si>
  <si>
    <t xml:space="preserve"> کریمی دولابی</t>
  </si>
  <si>
    <t>سید حمید</t>
  </si>
  <si>
    <t>مردانی</t>
  </si>
  <si>
    <t>آزادی</t>
  </si>
  <si>
    <t xml:space="preserve"> هروی</t>
  </si>
  <si>
    <t xml:space="preserve"> امیر احمدی</t>
  </si>
  <si>
    <t xml:space="preserve"> حکیم زاده</t>
  </si>
  <si>
    <t xml:space="preserve"> زریون</t>
  </si>
  <si>
    <t xml:space="preserve"> مهری</t>
  </si>
  <si>
    <t xml:space="preserve"> بهمن آبادی</t>
  </si>
  <si>
    <t xml:space="preserve"> الفتی اول</t>
  </si>
  <si>
    <t xml:space="preserve"> داوخانی</t>
  </si>
  <si>
    <t xml:space="preserve"> علی اوسط</t>
  </si>
  <si>
    <t xml:space="preserve"> صحیحی</t>
  </si>
  <si>
    <t>قربان علی</t>
  </si>
  <si>
    <t xml:space="preserve"> جنگیر</t>
  </si>
  <si>
    <t>صفدر</t>
  </si>
  <si>
    <t xml:space="preserve"> شریعتی</t>
  </si>
  <si>
    <t>قدرت اله</t>
  </si>
  <si>
    <t xml:space="preserve"> جان محمدی</t>
  </si>
  <si>
    <t xml:space="preserve"> عباسی هاشمی</t>
  </si>
  <si>
    <t xml:space="preserve"> ترانه</t>
  </si>
  <si>
    <t xml:space="preserve"> تکلو</t>
  </si>
  <si>
    <t xml:space="preserve"> حبیب زادگان</t>
  </si>
  <si>
    <t>صفرعلی</t>
  </si>
  <si>
    <t xml:space="preserve"> جبلی</t>
  </si>
  <si>
    <t>عبدالرحیم</t>
  </si>
  <si>
    <t xml:space="preserve"> قاسمیان دهکردی</t>
  </si>
  <si>
    <t xml:space="preserve"> حاجی ابولو</t>
  </si>
  <si>
    <t xml:space="preserve"> ماژپناه</t>
  </si>
  <si>
    <t xml:space="preserve"> حاجی زاده</t>
  </si>
  <si>
    <t xml:space="preserve"> زرنگی</t>
  </si>
  <si>
    <t xml:space="preserve"> قلیچ خانی</t>
  </si>
  <si>
    <t xml:space="preserve"> سرمدیان</t>
  </si>
  <si>
    <t xml:space="preserve"> افتخاریان</t>
  </si>
  <si>
    <t>علی اوسط</t>
  </si>
  <si>
    <t xml:space="preserve"> برنده سیفی</t>
  </si>
  <si>
    <t>سردار</t>
  </si>
  <si>
    <t xml:space="preserve"> محمدامینی</t>
  </si>
  <si>
    <t xml:space="preserve"> نیکبخت</t>
  </si>
  <si>
    <t xml:space="preserve">نعمت اله </t>
  </si>
  <si>
    <t xml:space="preserve"> برخورداری</t>
  </si>
  <si>
    <t xml:space="preserve"> محمدی فتیده</t>
  </si>
  <si>
    <t xml:space="preserve"> سهرابی کاشانی</t>
  </si>
  <si>
    <t xml:space="preserve"> اسدی</t>
  </si>
  <si>
    <t xml:space="preserve"> صبوری</t>
  </si>
  <si>
    <t>خدمت علی</t>
  </si>
  <si>
    <t xml:space="preserve"> احسانی کنزق</t>
  </si>
  <si>
    <t>صادق</t>
  </si>
  <si>
    <t>مهیار</t>
  </si>
  <si>
    <t xml:space="preserve"> خیرخواه</t>
  </si>
  <si>
    <t xml:space="preserve"> بیگی</t>
  </si>
  <si>
    <t xml:space="preserve"> محمدی افشار</t>
  </si>
  <si>
    <t xml:space="preserve"> رسول زادگان</t>
  </si>
  <si>
    <t xml:space="preserve"> اعظمی</t>
  </si>
  <si>
    <t xml:space="preserve"> غریب</t>
  </si>
  <si>
    <t>شفیعی</t>
  </si>
  <si>
    <t xml:space="preserve"> اشرفی</t>
  </si>
  <si>
    <t xml:space="preserve"> قربانپور</t>
  </si>
  <si>
    <t xml:space="preserve"> زندی</t>
  </si>
  <si>
    <t xml:space="preserve"> معروفی</t>
  </si>
  <si>
    <t xml:space="preserve"> ضعیف</t>
  </si>
  <si>
    <t xml:space="preserve"> حیواچی</t>
  </si>
  <si>
    <t xml:space="preserve"> اخوان</t>
  </si>
  <si>
    <t xml:space="preserve"> کاظم نژاد</t>
  </si>
  <si>
    <t xml:space="preserve"> زرین قلم</t>
  </si>
  <si>
    <t xml:space="preserve"> شاکری</t>
  </si>
  <si>
    <t xml:space="preserve"> ضیابری</t>
  </si>
  <si>
    <t xml:space="preserve"> چراغی</t>
  </si>
  <si>
    <t xml:space="preserve"> عطاریان</t>
  </si>
  <si>
    <t>بابک</t>
  </si>
  <si>
    <t xml:space="preserve"> صمدیان</t>
  </si>
  <si>
    <t xml:space="preserve"> مطلق</t>
  </si>
  <si>
    <t xml:space="preserve"> قلیزاده</t>
  </si>
  <si>
    <t>امیر علی</t>
  </si>
  <si>
    <t xml:space="preserve"> سرلک</t>
  </si>
  <si>
    <t xml:space="preserve"> پور حاج سید علی</t>
  </si>
  <si>
    <t xml:space="preserve"> دمیرچیلو</t>
  </si>
  <si>
    <t xml:space="preserve"> نقدی</t>
  </si>
  <si>
    <t xml:space="preserve"> عموئی</t>
  </si>
  <si>
    <t xml:space="preserve"> شاهجویی</t>
  </si>
  <si>
    <t xml:space="preserve"> مشایخی</t>
  </si>
  <si>
    <t xml:space="preserve"> نظام</t>
  </si>
  <si>
    <t xml:space="preserve"> حق نجات</t>
  </si>
  <si>
    <t xml:space="preserve"> اصفهانی</t>
  </si>
  <si>
    <t>وهاب</t>
  </si>
  <si>
    <t xml:space="preserve"> شیر اقباش</t>
  </si>
  <si>
    <t xml:space="preserve"> اقایی</t>
  </si>
  <si>
    <t xml:space="preserve"> صفوی</t>
  </si>
  <si>
    <t xml:space="preserve"> فخیم نیا</t>
  </si>
  <si>
    <t>سلیمی</t>
  </si>
  <si>
    <t xml:space="preserve"> کلولیان</t>
  </si>
  <si>
    <t xml:space="preserve"> ایلخانی</t>
  </si>
  <si>
    <t xml:space="preserve"> سمندر</t>
  </si>
  <si>
    <t xml:space="preserve"> محقق</t>
  </si>
  <si>
    <t xml:space="preserve"> قلیخانی</t>
  </si>
  <si>
    <t xml:space="preserve"> نوریان زواره</t>
  </si>
  <si>
    <t xml:space="preserve"> طلایی</t>
  </si>
  <si>
    <t xml:space="preserve"> علیمحمدی</t>
  </si>
  <si>
    <t>نظری خواه</t>
  </si>
  <si>
    <t>انصاری</t>
  </si>
  <si>
    <t>محمد حسینی</t>
  </si>
  <si>
    <t xml:space="preserve"> محمدمراد</t>
  </si>
  <si>
    <t>تقی</t>
  </si>
  <si>
    <t xml:space="preserve"> رحیملو</t>
  </si>
  <si>
    <t xml:space="preserve"> بیطرف</t>
  </si>
  <si>
    <t xml:space="preserve"> سلامتی</t>
  </si>
  <si>
    <t xml:space="preserve"> کردی</t>
  </si>
  <si>
    <t xml:space="preserve"> احمدی شهرابی</t>
  </si>
  <si>
    <t>عنایتی</t>
  </si>
  <si>
    <t xml:space="preserve"> قیداری</t>
  </si>
  <si>
    <t>تورج</t>
  </si>
  <si>
    <t xml:space="preserve"> نوروزیان</t>
  </si>
  <si>
    <t xml:space="preserve"> کمالی</t>
  </si>
  <si>
    <t xml:space="preserve"> نادری</t>
  </si>
  <si>
    <t xml:space="preserve"> حسن پورگونه</t>
  </si>
  <si>
    <t xml:space="preserve"> کلانی</t>
  </si>
  <si>
    <t xml:space="preserve"> یوسف کلانی</t>
  </si>
  <si>
    <t xml:space="preserve"> عدنانی</t>
  </si>
  <si>
    <t>حاج آقاسی</t>
  </si>
  <si>
    <t xml:space="preserve">ابوالفضل </t>
  </si>
  <si>
    <t xml:space="preserve"> استرکی</t>
  </si>
  <si>
    <t xml:space="preserve"> حاذقی</t>
  </si>
  <si>
    <t>صالحی سیاوشانی</t>
  </si>
  <si>
    <t xml:space="preserve"> ولایتی</t>
  </si>
  <si>
    <t xml:space="preserve"> روزبه صادقی</t>
  </si>
  <si>
    <t>میرشجاع</t>
  </si>
  <si>
    <t xml:space="preserve"> اناری</t>
  </si>
  <si>
    <t xml:space="preserve"> شریفی</t>
  </si>
  <si>
    <t xml:space="preserve"> هوری</t>
  </si>
  <si>
    <t>سید محمود</t>
  </si>
  <si>
    <t xml:space="preserve"> بهرمن</t>
  </si>
  <si>
    <t xml:space="preserve"> مهدی زاده</t>
  </si>
  <si>
    <t xml:space="preserve"> کاظمی</t>
  </si>
  <si>
    <t>رمضان علی</t>
  </si>
  <si>
    <t xml:space="preserve"> سید احمد</t>
  </si>
  <si>
    <t>چمن علی</t>
  </si>
  <si>
    <t xml:space="preserve"> صادقی نشاط</t>
  </si>
  <si>
    <t>کامران</t>
  </si>
  <si>
    <t xml:space="preserve"> جمال پور</t>
  </si>
  <si>
    <t xml:space="preserve"> مالکی</t>
  </si>
  <si>
    <t xml:space="preserve"> محمودی تفریشی</t>
  </si>
  <si>
    <t xml:space="preserve"> دادستان</t>
  </si>
  <si>
    <t xml:space="preserve"> خیری</t>
  </si>
  <si>
    <t xml:space="preserve"> نانگیر</t>
  </si>
  <si>
    <t xml:space="preserve"> خان بابائی</t>
  </si>
  <si>
    <t xml:space="preserve"> خدایی</t>
  </si>
  <si>
    <t xml:space="preserve"> مطهری</t>
  </si>
  <si>
    <t xml:space="preserve"> ناجی</t>
  </si>
  <si>
    <t xml:space="preserve"> رزاقی</t>
  </si>
  <si>
    <t>نیرو</t>
  </si>
  <si>
    <t xml:space="preserve"> مقدم سلیمی</t>
  </si>
  <si>
    <t xml:space="preserve"> شادالویی</t>
  </si>
  <si>
    <t xml:space="preserve"> رجب پور</t>
  </si>
  <si>
    <t>سیدمهدی</t>
  </si>
  <si>
    <t xml:space="preserve"> کندزی</t>
  </si>
  <si>
    <t xml:space="preserve"> خراسانی</t>
  </si>
  <si>
    <t>عبدالصالح</t>
  </si>
  <si>
    <t xml:space="preserve"> میرصانع</t>
  </si>
  <si>
    <t>سیدمجتبی</t>
  </si>
  <si>
    <t xml:space="preserve"> آژوی</t>
  </si>
  <si>
    <t xml:space="preserve"> باقری نصرآبادی</t>
  </si>
  <si>
    <t>سید ابراهیم</t>
  </si>
  <si>
    <t xml:space="preserve"> ترابی</t>
  </si>
  <si>
    <t>حفیظ الله</t>
  </si>
  <si>
    <t xml:space="preserve"> حاج اکبری</t>
  </si>
  <si>
    <t>هوشنگ</t>
  </si>
  <si>
    <t xml:space="preserve"> بلاقت نیا</t>
  </si>
  <si>
    <t xml:space="preserve"> مکارچیان</t>
  </si>
  <si>
    <t xml:space="preserve"> وردی خانی</t>
  </si>
  <si>
    <t>قاسم الله</t>
  </si>
  <si>
    <t>محمدصمد</t>
  </si>
  <si>
    <t xml:space="preserve"> شیری</t>
  </si>
  <si>
    <t xml:space="preserve"> انزلی</t>
  </si>
  <si>
    <t xml:space="preserve"> ساسانی کلوری</t>
  </si>
  <si>
    <t xml:space="preserve"> سرخابی</t>
  </si>
  <si>
    <t xml:space="preserve"> امارم</t>
  </si>
  <si>
    <t xml:space="preserve"> قدیری بیان</t>
  </si>
  <si>
    <t xml:space="preserve"> بختیاری</t>
  </si>
  <si>
    <t>تیمور</t>
  </si>
  <si>
    <t>یحیی</t>
  </si>
  <si>
    <t xml:space="preserve"> خرمی</t>
  </si>
  <si>
    <t xml:space="preserve"> گرجی</t>
  </si>
  <si>
    <t xml:space="preserve"> دایی بابا</t>
  </si>
  <si>
    <t xml:space="preserve"> فرزانه</t>
  </si>
  <si>
    <t xml:space="preserve"> سنگتراش ها</t>
  </si>
  <si>
    <t xml:space="preserve"> تفرشی</t>
  </si>
  <si>
    <t>علی ابوالحسن</t>
  </si>
  <si>
    <t xml:space="preserve"> زواره ابراهیمی</t>
  </si>
  <si>
    <t xml:space="preserve"> مهدوی</t>
  </si>
  <si>
    <t xml:space="preserve"> نانکلی</t>
  </si>
  <si>
    <t xml:space="preserve"> گل آور فرد</t>
  </si>
  <si>
    <t xml:space="preserve">سید اسماعیل </t>
  </si>
  <si>
    <t xml:space="preserve"> حمزه</t>
  </si>
  <si>
    <t xml:space="preserve"> مقدس</t>
  </si>
  <si>
    <t xml:space="preserve"> دانش راد</t>
  </si>
  <si>
    <t>نوبخت</t>
  </si>
  <si>
    <t xml:space="preserve"> خندان قره شیران</t>
  </si>
  <si>
    <t xml:space="preserve"> ستانی</t>
  </si>
  <si>
    <t>عزت الله</t>
  </si>
  <si>
    <t>حسین علی</t>
  </si>
  <si>
    <t xml:space="preserve"> کلاه چیان</t>
  </si>
  <si>
    <t xml:space="preserve"> پور عظیمی</t>
  </si>
  <si>
    <t xml:space="preserve"> رمزی</t>
  </si>
  <si>
    <t xml:space="preserve"> مفید</t>
  </si>
  <si>
    <t>مختاری حسن آبادی</t>
  </si>
  <si>
    <t xml:space="preserve"> عیش آبادی</t>
  </si>
  <si>
    <t xml:space="preserve"> قاسم پور سرخه</t>
  </si>
  <si>
    <t xml:space="preserve"> ابری</t>
  </si>
  <si>
    <t xml:space="preserve"> فریدون خانی</t>
  </si>
  <si>
    <t xml:space="preserve"> رزاق نوری</t>
  </si>
  <si>
    <t xml:space="preserve"> کبریایی</t>
  </si>
  <si>
    <t xml:space="preserve"> دارایی</t>
  </si>
  <si>
    <t>آرامش</t>
  </si>
  <si>
    <t xml:space="preserve"> کمالی دوست آبادی</t>
  </si>
  <si>
    <t>عظیمی</t>
  </si>
  <si>
    <t xml:space="preserve">محمد علی </t>
  </si>
  <si>
    <t xml:space="preserve"> دلخوش</t>
  </si>
  <si>
    <t xml:space="preserve"> خلیق</t>
  </si>
  <si>
    <t>شاملو</t>
  </si>
  <si>
    <t xml:space="preserve">اسدالله </t>
  </si>
  <si>
    <t xml:space="preserve"> کریمی گرگانی</t>
  </si>
  <si>
    <t xml:space="preserve"> اسکندری</t>
  </si>
  <si>
    <t xml:space="preserve"> کوچک زاده سمی</t>
  </si>
  <si>
    <t xml:space="preserve"> ارژنگی</t>
  </si>
  <si>
    <t xml:space="preserve"> باجانی</t>
  </si>
  <si>
    <t xml:space="preserve"> تاج آبادی فراهانی</t>
  </si>
  <si>
    <t xml:space="preserve"> افتابی اسبقرانی</t>
  </si>
  <si>
    <t xml:space="preserve"> نعیمی</t>
  </si>
  <si>
    <t xml:space="preserve"> اصغر فرمانی</t>
  </si>
  <si>
    <t>حاج عبدالله مجید</t>
  </si>
  <si>
    <t>سید جمال</t>
  </si>
  <si>
    <t xml:space="preserve"> برزه کار</t>
  </si>
  <si>
    <t xml:space="preserve"> سپیده دم</t>
  </si>
  <si>
    <t xml:space="preserve"> پرور</t>
  </si>
  <si>
    <t>علی جان</t>
  </si>
  <si>
    <t xml:space="preserve"> مسیحی</t>
  </si>
  <si>
    <t xml:space="preserve"> صبوحی</t>
  </si>
  <si>
    <t xml:space="preserve"> کریملو</t>
  </si>
  <si>
    <t xml:space="preserve"> شاهین نژاد</t>
  </si>
  <si>
    <t xml:space="preserve"> خدمت</t>
  </si>
  <si>
    <t xml:space="preserve"> لشگری</t>
  </si>
  <si>
    <t>قادر</t>
  </si>
  <si>
    <t xml:space="preserve"> حاجبی</t>
  </si>
  <si>
    <t xml:space="preserve"> هنر</t>
  </si>
  <si>
    <t>امامعلی</t>
  </si>
  <si>
    <t xml:space="preserve"> زاهدی</t>
  </si>
  <si>
    <t xml:space="preserve"> توانای سرشک</t>
  </si>
  <si>
    <t xml:space="preserve"> باقر زاده طاهری</t>
  </si>
  <si>
    <t>بی بی شهر بانویی</t>
  </si>
  <si>
    <t xml:space="preserve"> حمدی</t>
  </si>
  <si>
    <t xml:space="preserve"> جوهری</t>
  </si>
  <si>
    <t xml:space="preserve"> اشتری ماهینی</t>
  </si>
  <si>
    <t xml:space="preserve"> رضانی یزدانی</t>
  </si>
  <si>
    <t xml:space="preserve"> متقی نسب</t>
  </si>
  <si>
    <t>صدر الله</t>
  </si>
  <si>
    <t xml:space="preserve"> قبادی سامانی</t>
  </si>
  <si>
    <t xml:space="preserve"> جهانگیری برق</t>
  </si>
  <si>
    <t xml:space="preserve"> باقر پور</t>
  </si>
  <si>
    <t>صدیف</t>
  </si>
  <si>
    <t xml:space="preserve"> ذوالفقاری</t>
  </si>
  <si>
    <t xml:space="preserve"> صمدی شجاع</t>
  </si>
  <si>
    <t>فرضعلی</t>
  </si>
  <si>
    <t xml:space="preserve">  دری</t>
  </si>
  <si>
    <t>پری</t>
  </si>
  <si>
    <t xml:space="preserve"> مظفر زاده</t>
  </si>
  <si>
    <t>عبدالمناف</t>
  </si>
  <si>
    <t xml:space="preserve"> خطیبی کیا</t>
  </si>
  <si>
    <t>مقصودی</t>
  </si>
  <si>
    <t xml:space="preserve">برجعلی </t>
  </si>
  <si>
    <t xml:space="preserve"> مغاری</t>
  </si>
  <si>
    <t xml:space="preserve"> ثقفی</t>
  </si>
  <si>
    <t>شهباز حسین</t>
  </si>
  <si>
    <t xml:space="preserve"> داود</t>
  </si>
  <si>
    <t xml:space="preserve"> نیروئی</t>
  </si>
  <si>
    <t xml:space="preserve"> حسین</t>
  </si>
  <si>
    <t>سیمیاری</t>
  </si>
  <si>
    <t>اسم چک شود</t>
  </si>
  <si>
    <t>یزدان</t>
  </si>
  <si>
    <t xml:space="preserve"> جدیری لک پور</t>
  </si>
  <si>
    <t xml:space="preserve"> خوشباش</t>
  </si>
  <si>
    <t xml:space="preserve"> اردلان</t>
  </si>
  <si>
    <t>پیروز</t>
  </si>
  <si>
    <t xml:space="preserve"> بدری</t>
  </si>
  <si>
    <t xml:space="preserve"> سوری</t>
  </si>
  <si>
    <t>حسین (میثم)</t>
  </si>
  <si>
    <t xml:space="preserve"> محجوبی</t>
  </si>
  <si>
    <t xml:space="preserve"> صمدی پندار</t>
  </si>
  <si>
    <t xml:space="preserve"> جعفری گرگانی</t>
  </si>
  <si>
    <t xml:space="preserve"> ترک جوکار</t>
  </si>
  <si>
    <t xml:space="preserve"> ایزدی</t>
  </si>
  <si>
    <t xml:space="preserve"> هادی</t>
  </si>
  <si>
    <t xml:space="preserve"> تاکستانی</t>
  </si>
  <si>
    <t>حاجی هاشم</t>
  </si>
  <si>
    <t>آرشی</t>
  </si>
  <si>
    <t xml:space="preserve">حاج رسول </t>
  </si>
  <si>
    <t xml:space="preserve"> گودرزی</t>
  </si>
  <si>
    <t xml:space="preserve"> آقا کثیری</t>
  </si>
  <si>
    <t xml:space="preserve"> طایفه سلطانخانی</t>
  </si>
  <si>
    <t xml:space="preserve"> ساجیان</t>
  </si>
  <si>
    <t xml:space="preserve"> کردلو</t>
  </si>
  <si>
    <t xml:space="preserve"> فتحعلی زاده</t>
  </si>
  <si>
    <t xml:space="preserve"> جلیل زاده</t>
  </si>
  <si>
    <t xml:space="preserve"> رفیعا</t>
  </si>
  <si>
    <t xml:space="preserve"> ابو حمزه</t>
  </si>
  <si>
    <t xml:space="preserve"> مهرآبادیان</t>
  </si>
  <si>
    <t>محمود دورانی</t>
  </si>
  <si>
    <t xml:space="preserve">آزاده </t>
  </si>
  <si>
    <t>امیربهزاد</t>
  </si>
  <si>
    <t xml:space="preserve"> محمودزاده نیکنام </t>
  </si>
  <si>
    <t xml:space="preserve"> اتشی ها</t>
  </si>
  <si>
    <t xml:space="preserve"> نجف پور</t>
  </si>
  <si>
    <t xml:space="preserve"> مشکاتی فراهانی</t>
  </si>
  <si>
    <t xml:space="preserve"> اقا جانی</t>
  </si>
  <si>
    <t>اسکندر</t>
  </si>
  <si>
    <t xml:space="preserve"> رنجبر تاری</t>
  </si>
  <si>
    <t>احمدرضا</t>
  </si>
  <si>
    <t xml:space="preserve"> کاشیهای جواد ابادیان</t>
  </si>
  <si>
    <t xml:space="preserve"> رضا خدابخش</t>
  </si>
  <si>
    <t xml:space="preserve"> راد پی</t>
  </si>
  <si>
    <t>ابوطالب</t>
  </si>
  <si>
    <t xml:space="preserve"> دیوسالار</t>
  </si>
  <si>
    <t xml:space="preserve"> حقیقت تقی دیزج</t>
  </si>
  <si>
    <t xml:space="preserve"> طباطبایی پور</t>
  </si>
  <si>
    <t xml:space="preserve">رحمت اله </t>
  </si>
  <si>
    <t xml:space="preserve"> ملک محمدی</t>
  </si>
  <si>
    <t xml:space="preserve"> فیروز آبادی</t>
  </si>
  <si>
    <t xml:space="preserve"> خیرآبادی</t>
  </si>
  <si>
    <t xml:space="preserve"> خوانساری</t>
  </si>
  <si>
    <t xml:space="preserve"> حقگویی</t>
  </si>
  <si>
    <t xml:space="preserve"> جورکشان</t>
  </si>
  <si>
    <t xml:space="preserve"> ابیازنی</t>
  </si>
  <si>
    <t xml:space="preserve"> آل بویه</t>
  </si>
  <si>
    <t xml:space="preserve"> یوسفی</t>
  </si>
  <si>
    <t xml:space="preserve"> جلالی قمی</t>
  </si>
  <si>
    <t xml:space="preserve"> پرتو</t>
  </si>
  <si>
    <t xml:space="preserve"> بغیری</t>
  </si>
  <si>
    <t xml:space="preserve"> عیوضی</t>
  </si>
  <si>
    <t xml:space="preserve"> صحبتی</t>
  </si>
  <si>
    <t xml:space="preserve"> ابوطالبی</t>
  </si>
  <si>
    <t xml:space="preserve"> چراغعلی</t>
  </si>
  <si>
    <t xml:space="preserve"> حسن خانی</t>
  </si>
  <si>
    <t xml:space="preserve"> درستی</t>
  </si>
  <si>
    <t xml:space="preserve"> صابری</t>
  </si>
  <si>
    <t xml:space="preserve"> ابراهیم قزوینی</t>
  </si>
  <si>
    <t xml:space="preserve"> ازاد منجیری</t>
  </si>
  <si>
    <t xml:space="preserve"> اصغر نژاد</t>
  </si>
  <si>
    <t xml:space="preserve"> دخت مقدم</t>
  </si>
  <si>
    <t xml:space="preserve"> جاجانی</t>
  </si>
  <si>
    <t xml:space="preserve"> فلاح تفتی</t>
  </si>
  <si>
    <t xml:space="preserve"> قیومی جزء</t>
  </si>
  <si>
    <t xml:space="preserve"> مصری</t>
  </si>
  <si>
    <t xml:space="preserve"> احمدی درمنی</t>
  </si>
  <si>
    <t xml:space="preserve"> حیدرهایی</t>
  </si>
  <si>
    <t xml:space="preserve"> رسولی</t>
  </si>
  <si>
    <t xml:space="preserve"> روحانی</t>
  </si>
  <si>
    <t>عباسی</t>
  </si>
  <si>
    <t xml:space="preserve"> کاسی سراهای قمی</t>
  </si>
  <si>
    <t xml:space="preserve"> هادی پور</t>
  </si>
  <si>
    <t xml:space="preserve"> هوشیار</t>
  </si>
  <si>
    <t xml:space="preserve"> تیغ نورد</t>
  </si>
  <si>
    <t xml:space="preserve"> عبدی نژاد</t>
  </si>
  <si>
    <t xml:space="preserve"> لک علی ابادی</t>
  </si>
  <si>
    <t>عین الله</t>
  </si>
  <si>
    <t xml:space="preserve"> مرادی زاده</t>
  </si>
  <si>
    <t>ماشالله</t>
  </si>
  <si>
    <t xml:space="preserve"> حسن خانزاده</t>
  </si>
  <si>
    <t xml:space="preserve"> خونبار</t>
  </si>
  <si>
    <t>گلستان</t>
  </si>
  <si>
    <t>صباغ</t>
  </si>
  <si>
    <t xml:space="preserve">کمال </t>
  </si>
  <si>
    <t xml:space="preserve"> مومنی نژاد</t>
  </si>
  <si>
    <t>کریم</t>
  </si>
  <si>
    <t xml:space="preserve"> رحمانیان</t>
  </si>
  <si>
    <t xml:space="preserve"> داوودی زاده</t>
  </si>
  <si>
    <t>رسولی فرد</t>
  </si>
  <si>
    <t xml:space="preserve">قدرت الله </t>
  </si>
  <si>
    <t>اینانلو</t>
  </si>
  <si>
    <t>محمد استاد حسن معماری</t>
  </si>
  <si>
    <t xml:space="preserve"> پرورده</t>
  </si>
  <si>
    <t xml:space="preserve"> اسماعیلی </t>
  </si>
  <si>
    <t xml:space="preserve"> معانی</t>
  </si>
  <si>
    <t xml:space="preserve"> حقیقت</t>
  </si>
  <si>
    <t>غفوری</t>
  </si>
  <si>
    <t xml:space="preserve"> شیرازی</t>
  </si>
  <si>
    <t>رصاف سهی</t>
  </si>
  <si>
    <t xml:space="preserve"> مسافری مقدم</t>
  </si>
  <si>
    <t xml:space="preserve"> طالبی پور</t>
  </si>
  <si>
    <t xml:space="preserve"> شعبانی تفتی</t>
  </si>
  <si>
    <t xml:space="preserve"> جوادی</t>
  </si>
  <si>
    <t xml:space="preserve"> ایلکی</t>
  </si>
  <si>
    <t xml:space="preserve"> مطهری خوانساری</t>
  </si>
  <si>
    <t xml:space="preserve"> نیکوفرد</t>
  </si>
  <si>
    <t xml:space="preserve"> دهقان دهنوی</t>
  </si>
  <si>
    <t xml:space="preserve"> حسینیه فراهانی</t>
  </si>
  <si>
    <t xml:space="preserve"> تنها </t>
  </si>
  <si>
    <t xml:space="preserve"> پرتو سعد</t>
  </si>
  <si>
    <t xml:space="preserve"> بوربور</t>
  </si>
  <si>
    <t xml:space="preserve"> یاوری</t>
  </si>
  <si>
    <t xml:space="preserve"> خورک</t>
  </si>
  <si>
    <t xml:space="preserve"> میرکاظمیان</t>
  </si>
  <si>
    <t xml:space="preserve"> محمدباقر</t>
  </si>
  <si>
    <t xml:space="preserve"> کازرانی فراهانی</t>
  </si>
  <si>
    <t xml:space="preserve"> غلامرضایی</t>
  </si>
  <si>
    <t xml:space="preserve"> عربی</t>
  </si>
  <si>
    <t xml:space="preserve"> صلح جو</t>
  </si>
  <si>
    <t xml:space="preserve"> امامی</t>
  </si>
  <si>
    <t>محمد  صادق</t>
  </si>
  <si>
    <t xml:space="preserve"> شریفی نژاد</t>
  </si>
  <si>
    <t xml:space="preserve"> شریفی  </t>
  </si>
  <si>
    <t xml:space="preserve"> جانفزا</t>
  </si>
  <si>
    <t xml:space="preserve"> علی حسینی</t>
  </si>
  <si>
    <t>خانبابایی</t>
  </si>
  <si>
    <t xml:space="preserve"> عیسی نژاد</t>
  </si>
  <si>
    <t>سلیم زاده</t>
  </si>
  <si>
    <t>آذر پی</t>
  </si>
  <si>
    <t xml:space="preserve"> یوسفی نوین</t>
  </si>
  <si>
    <t xml:space="preserve"> قادری</t>
  </si>
  <si>
    <t xml:space="preserve"> عرب </t>
  </si>
  <si>
    <t xml:space="preserve"> خاکبازپور</t>
  </si>
  <si>
    <t>عطایی</t>
  </si>
  <si>
    <t xml:space="preserve">ولی الله </t>
  </si>
  <si>
    <t xml:space="preserve"> رجبلو</t>
  </si>
  <si>
    <t>اصغرزاده</t>
  </si>
  <si>
    <t xml:space="preserve">نورالله </t>
  </si>
  <si>
    <t xml:space="preserve"> عزیزی براتی</t>
  </si>
  <si>
    <t>نبی الله</t>
  </si>
  <si>
    <t xml:space="preserve"> فرج اللهی</t>
  </si>
  <si>
    <t xml:space="preserve"> علیاری</t>
  </si>
  <si>
    <t xml:space="preserve"> عباس قلی</t>
  </si>
  <si>
    <t xml:space="preserve">  رصاف سهی</t>
  </si>
  <si>
    <t xml:space="preserve"> گلستان حبیبی</t>
  </si>
  <si>
    <t xml:space="preserve"> قصرالدشتی</t>
  </si>
  <si>
    <t xml:space="preserve"> مهرعلی</t>
  </si>
  <si>
    <t xml:space="preserve"> کوچکی</t>
  </si>
  <si>
    <t xml:space="preserve"> قاسم مسگر</t>
  </si>
  <si>
    <t>اسفندیاری</t>
  </si>
  <si>
    <t xml:space="preserve"> رنگ آمیز</t>
  </si>
  <si>
    <t xml:space="preserve"> ارسنجانی</t>
  </si>
  <si>
    <t xml:space="preserve"> اهنگران</t>
  </si>
  <si>
    <t xml:space="preserve"> رضایی </t>
  </si>
  <si>
    <t xml:space="preserve"> کلاهدوزی</t>
  </si>
  <si>
    <t xml:space="preserve"> اذری</t>
  </si>
  <si>
    <t>قدیانی</t>
  </si>
  <si>
    <t xml:space="preserve"> شکوهی تبریزی</t>
  </si>
  <si>
    <t xml:space="preserve"> منظم رازلیقی</t>
  </si>
  <si>
    <t xml:space="preserve"> حق لسان</t>
  </si>
  <si>
    <t xml:space="preserve"> میرآخوری</t>
  </si>
  <si>
    <t>نظرعلی</t>
  </si>
  <si>
    <t>فرزاد</t>
  </si>
  <si>
    <t xml:space="preserve"> نوده فراهانی</t>
  </si>
  <si>
    <t xml:space="preserve"> عالی نژاد</t>
  </si>
  <si>
    <t>الله وردی</t>
  </si>
  <si>
    <t>متین راسخ</t>
  </si>
  <si>
    <t xml:space="preserve"> حاجی بیگی</t>
  </si>
  <si>
    <t xml:space="preserve"> ضیائی</t>
  </si>
  <si>
    <t xml:space="preserve"> فتحیان</t>
  </si>
  <si>
    <t xml:space="preserve"> یدرنجی اقدم</t>
  </si>
  <si>
    <t xml:space="preserve"> کاووس همایونی</t>
  </si>
  <si>
    <t xml:space="preserve"> فروغی</t>
  </si>
  <si>
    <t xml:space="preserve"> بکشلو</t>
  </si>
  <si>
    <t xml:space="preserve"> دانا</t>
  </si>
  <si>
    <t>قیس</t>
  </si>
  <si>
    <t xml:space="preserve"> رضاخان</t>
  </si>
  <si>
    <t xml:space="preserve"> رضوی خالقی</t>
  </si>
  <si>
    <t xml:space="preserve"> مرانکی</t>
  </si>
  <si>
    <t>نظام الدین</t>
  </si>
  <si>
    <t xml:space="preserve"> آذرپندار</t>
  </si>
  <si>
    <t>اسرافیل</t>
  </si>
  <si>
    <t xml:space="preserve"> قلیچی</t>
  </si>
  <si>
    <t xml:space="preserve"> سیفی</t>
  </si>
  <si>
    <t xml:space="preserve"> نوبخت قره شیران</t>
  </si>
  <si>
    <t>طاهر</t>
  </si>
  <si>
    <t xml:space="preserve"> آقا علی اکبری</t>
  </si>
  <si>
    <t xml:space="preserve"> صفاریان نژاد</t>
  </si>
  <si>
    <t xml:space="preserve"> غلام نژاد</t>
  </si>
  <si>
    <t xml:space="preserve"> سازمند</t>
  </si>
  <si>
    <t xml:space="preserve"> جلیلی بال</t>
  </si>
  <si>
    <t xml:space="preserve"> خورسلیم</t>
  </si>
  <si>
    <t xml:space="preserve"> فرهادی</t>
  </si>
  <si>
    <t xml:space="preserve"> اند حسین</t>
  </si>
  <si>
    <t xml:space="preserve"> باغبانی</t>
  </si>
  <si>
    <t xml:space="preserve"> نجاتی</t>
  </si>
  <si>
    <t xml:space="preserve"> فتحعلی بیک</t>
  </si>
  <si>
    <t xml:space="preserve"> سبیلی</t>
  </si>
  <si>
    <t xml:space="preserve"> آرش مهر</t>
  </si>
  <si>
    <t xml:space="preserve"> عبدالرحیمی</t>
  </si>
  <si>
    <t xml:space="preserve"> توکلی پسند</t>
  </si>
  <si>
    <t xml:space="preserve"> احمدپور</t>
  </si>
  <si>
    <t xml:space="preserve"> امانی</t>
  </si>
  <si>
    <t xml:space="preserve"> حسینی کاشانی</t>
  </si>
  <si>
    <t xml:space="preserve"> غفارپور</t>
  </si>
  <si>
    <t xml:space="preserve"> میرزا جواد خان</t>
  </si>
  <si>
    <t xml:space="preserve"> شفیع زاده</t>
  </si>
  <si>
    <t>سید مرتضی</t>
  </si>
  <si>
    <t xml:space="preserve"> رحیم پور</t>
  </si>
  <si>
    <t>نصرت الله</t>
  </si>
  <si>
    <t xml:space="preserve"> صبری</t>
  </si>
  <si>
    <t>ستار</t>
  </si>
  <si>
    <t>یدالله</t>
  </si>
  <si>
    <t xml:space="preserve"> همایون</t>
  </si>
  <si>
    <t xml:space="preserve"> معینی جزنی</t>
  </si>
  <si>
    <t xml:space="preserve"> خضریان</t>
  </si>
  <si>
    <t xml:space="preserve"> قصابان خراسانی</t>
  </si>
  <si>
    <t xml:space="preserve"> نیک فر</t>
  </si>
  <si>
    <t xml:space="preserve"> فتاحی</t>
  </si>
  <si>
    <t xml:space="preserve"> نوریان داراندیشی</t>
  </si>
  <si>
    <t>سید علیرضا</t>
  </si>
  <si>
    <t xml:space="preserve"> نقی ئی</t>
  </si>
  <si>
    <t xml:space="preserve"> هوشمندی</t>
  </si>
  <si>
    <t>گل بابا</t>
  </si>
  <si>
    <t xml:space="preserve"> خلیلی</t>
  </si>
  <si>
    <t xml:space="preserve"> عامل کریمی پور</t>
  </si>
  <si>
    <t xml:space="preserve"> درتاج</t>
  </si>
  <si>
    <t xml:space="preserve"> مشهدی</t>
  </si>
  <si>
    <t xml:space="preserve"> عیسوی</t>
  </si>
  <si>
    <t xml:space="preserve"> علی قارداشی</t>
  </si>
  <si>
    <t xml:space="preserve"> مولائی</t>
  </si>
  <si>
    <t xml:space="preserve"> خدادوست</t>
  </si>
  <si>
    <t>حاجی اسماعیل</t>
  </si>
  <si>
    <t xml:space="preserve"> حسینی حیدری</t>
  </si>
  <si>
    <t>سید عبدالله</t>
  </si>
  <si>
    <t xml:space="preserve"> چشمه راد</t>
  </si>
  <si>
    <t xml:space="preserve"> صفری</t>
  </si>
  <si>
    <t xml:space="preserve"> غیاثی علویجه</t>
  </si>
  <si>
    <t xml:space="preserve"> عباسی نسیمی</t>
  </si>
  <si>
    <t>غلام حسن</t>
  </si>
  <si>
    <t xml:space="preserve"> مهدی</t>
  </si>
  <si>
    <t xml:space="preserve"> صدرائی</t>
  </si>
  <si>
    <t xml:space="preserve"> میرهادی</t>
  </si>
  <si>
    <t>سید مجید</t>
  </si>
  <si>
    <t xml:space="preserve"> دلشاد</t>
  </si>
  <si>
    <t xml:space="preserve"> امیرلو</t>
  </si>
  <si>
    <t xml:space="preserve"> پاره دوز خوشدل</t>
  </si>
  <si>
    <t xml:space="preserve"> یعقوبی</t>
  </si>
  <si>
    <t xml:space="preserve"> متقی</t>
  </si>
  <si>
    <t xml:space="preserve"> نادعلی</t>
  </si>
  <si>
    <t xml:space="preserve"> قابل</t>
  </si>
  <si>
    <t>عربعلی</t>
  </si>
  <si>
    <t xml:space="preserve"> افتخاری</t>
  </si>
  <si>
    <t xml:space="preserve"> فقیه میرزائی</t>
  </si>
  <si>
    <t xml:space="preserve"> یزدی سادیانی</t>
  </si>
  <si>
    <t xml:space="preserve"> ارشدی</t>
  </si>
  <si>
    <t xml:space="preserve"> اثنی عشری</t>
  </si>
  <si>
    <t xml:space="preserve"> آزادی</t>
  </si>
  <si>
    <t xml:space="preserve"> خاجی</t>
  </si>
  <si>
    <t xml:space="preserve"> آشتیانی</t>
  </si>
  <si>
    <t xml:space="preserve"> سری زاده</t>
  </si>
  <si>
    <t xml:space="preserve"> سبزه</t>
  </si>
  <si>
    <t xml:space="preserve"> جهان پناه</t>
  </si>
  <si>
    <t xml:space="preserve"> علمی</t>
  </si>
  <si>
    <t xml:space="preserve"> جان زاده قاضیانی</t>
  </si>
  <si>
    <t xml:space="preserve"> فتح اله نجار باشی</t>
  </si>
  <si>
    <t xml:space="preserve"> ترهنده</t>
  </si>
  <si>
    <t>اردشیر</t>
  </si>
  <si>
    <t xml:space="preserve"> نعلبندی</t>
  </si>
  <si>
    <t xml:space="preserve"> هدیه لو</t>
  </si>
  <si>
    <t xml:space="preserve">  سردرودی</t>
  </si>
  <si>
    <t xml:space="preserve"> آزادفرد</t>
  </si>
  <si>
    <t>اسدالله</t>
  </si>
  <si>
    <t xml:space="preserve"> قجری نراقی</t>
  </si>
  <si>
    <t xml:space="preserve"> میرزا علی</t>
  </si>
  <si>
    <t xml:space="preserve"> مصطفی زاده اصل</t>
  </si>
  <si>
    <t xml:space="preserve"> ارتگلی فراهانی</t>
  </si>
  <si>
    <t>صاحبعلی</t>
  </si>
  <si>
    <t xml:space="preserve"> کلاته</t>
  </si>
  <si>
    <t>بشیر</t>
  </si>
  <si>
    <t xml:space="preserve"> قنادان طوسی</t>
  </si>
  <si>
    <t xml:space="preserve"> آلیا</t>
  </si>
  <si>
    <t xml:space="preserve"> نراقی</t>
  </si>
  <si>
    <t>فضل الله</t>
  </si>
  <si>
    <t xml:space="preserve"> بهاء گیر</t>
  </si>
  <si>
    <t xml:space="preserve"> شریفی نویس</t>
  </si>
  <si>
    <t xml:space="preserve"> ترکیان</t>
  </si>
  <si>
    <t xml:space="preserve"> یوسف پور</t>
  </si>
  <si>
    <t xml:space="preserve"> خضرائی</t>
  </si>
  <si>
    <t xml:space="preserve"> اسمعیلی پور</t>
  </si>
  <si>
    <t xml:space="preserve"> اسماعیلی پور</t>
  </si>
  <si>
    <t xml:space="preserve"> قندهاری</t>
  </si>
  <si>
    <t xml:space="preserve"> آمره ای</t>
  </si>
  <si>
    <t>امیر مسعود</t>
  </si>
  <si>
    <t xml:space="preserve"> جنتی منظری</t>
  </si>
  <si>
    <t xml:space="preserve"> شجاعیان</t>
  </si>
  <si>
    <t xml:space="preserve"> وفائی</t>
  </si>
  <si>
    <t xml:space="preserve"> سمائی</t>
  </si>
  <si>
    <t xml:space="preserve"> شافع</t>
  </si>
  <si>
    <t>محمد کاظم</t>
  </si>
  <si>
    <t xml:space="preserve"> حبیب</t>
  </si>
  <si>
    <t xml:space="preserve"> مهدی زاده حسینی</t>
  </si>
  <si>
    <t>سید سعید</t>
  </si>
  <si>
    <t xml:space="preserve"> رستمی</t>
  </si>
  <si>
    <t xml:space="preserve"> سبکرو</t>
  </si>
  <si>
    <t xml:space="preserve"> طبائی</t>
  </si>
  <si>
    <t>سید رشید</t>
  </si>
  <si>
    <t xml:space="preserve"> امینی فرد</t>
  </si>
  <si>
    <t>روح الله</t>
  </si>
  <si>
    <t xml:space="preserve"> دژگانی</t>
  </si>
  <si>
    <t xml:space="preserve"> سعیدی</t>
  </si>
  <si>
    <t>مصیب</t>
  </si>
  <si>
    <t xml:space="preserve"> داسار</t>
  </si>
  <si>
    <t xml:space="preserve"> خوشی</t>
  </si>
  <si>
    <t>سید جلال</t>
  </si>
  <si>
    <t xml:space="preserve"> بادامچی</t>
  </si>
  <si>
    <t>محرم</t>
  </si>
  <si>
    <t xml:space="preserve"> رئیسی</t>
  </si>
  <si>
    <t>سیروس</t>
  </si>
  <si>
    <t xml:space="preserve"> انوری</t>
  </si>
  <si>
    <t xml:space="preserve"> سورانی برچلوئی</t>
  </si>
  <si>
    <t xml:space="preserve"> بدخشان</t>
  </si>
  <si>
    <t>عبدالله</t>
  </si>
  <si>
    <t xml:space="preserve"> حاتمی</t>
  </si>
  <si>
    <t xml:space="preserve"> آقاجانپور</t>
  </si>
  <si>
    <t xml:space="preserve"> قمی تفرشی</t>
  </si>
  <si>
    <t xml:space="preserve"> مهدوی نراقی</t>
  </si>
  <si>
    <t xml:space="preserve"> رام</t>
  </si>
  <si>
    <t xml:space="preserve"> درزی</t>
  </si>
  <si>
    <t xml:space="preserve"> فولادوند</t>
  </si>
  <si>
    <t xml:space="preserve"> زیاران</t>
  </si>
  <si>
    <t xml:space="preserve"> قربانخانی</t>
  </si>
  <si>
    <t xml:space="preserve"> بوذری</t>
  </si>
  <si>
    <t xml:space="preserve"> لطفی خوش اخلاق</t>
  </si>
  <si>
    <t>سید محسن</t>
  </si>
  <si>
    <t xml:space="preserve"> قهی تفرشی</t>
  </si>
  <si>
    <t xml:space="preserve"> جلاء</t>
  </si>
  <si>
    <t xml:space="preserve"> صادقی منش</t>
  </si>
  <si>
    <t xml:space="preserve"> سعادتخانی</t>
  </si>
  <si>
    <t xml:space="preserve"> عرب زاده</t>
  </si>
  <si>
    <t xml:space="preserve"> آذرخش</t>
  </si>
  <si>
    <t xml:space="preserve"> دانشمند</t>
  </si>
  <si>
    <t xml:space="preserve"> حاجوی</t>
  </si>
  <si>
    <t xml:space="preserve"> حسینی مزینانی</t>
  </si>
  <si>
    <t>سیدرضا</t>
  </si>
  <si>
    <t xml:space="preserve"> نجات ثابت</t>
  </si>
  <si>
    <t xml:space="preserve"> بیک محمدلو</t>
  </si>
  <si>
    <t xml:space="preserve"> عمادی</t>
  </si>
  <si>
    <t xml:space="preserve"> نیکوئیان</t>
  </si>
  <si>
    <t xml:space="preserve"> پورنعمان</t>
  </si>
  <si>
    <t xml:space="preserve"> بیگلری</t>
  </si>
  <si>
    <t xml:space="preserve"> الهی</t>
  </si>
  <si>
    <t xml:space="preserve"> هنرمند غیور</t>
  </si>
  <si>
    <t xml:space="preserve"> نادی بانی</t>
  </si>
  <si>
    <t xml:space="preserve"> رئیس وند</t>
  </si>
  <si>
    <t xml:space="preserve"> ابراهیمیان تبریزی</t>
  </si>
  <si>
    <t xml:space="preserve"> تقی پور</t>
  </si>
  <si>
    <t xml:space="preserve"> نبی زاده</t>
  </si>
  <si>
    <t xml:space="preserve"> احدی معز</t>
  </si>
  <si>
    <t xml:space="preserve"> ترابی نراقی</t>
  </si>
  <si>
    <t xml:space="preserve"> عبدالکریمی</t>
  </si>
  <si>
    <t>السید محمدبن</t>
  </si>
  <si>
    <t xml:space="preserve"> صادقیان الکربلائی</t>
  </si>
  <si>
    <t>جعفربن محمد جواد</t>
  </si>
  <si>
    <t xml:space="preserve"> بیدمشکی</t>
  </si>
  <si>
    <t xml:space="preserve"> آزاده</t>
  </si>
  <si>
    <t xml:space="preserve"> بهرامی</t>
  </si>
  <si>
    <t xml:space="preserve"> تن ساز</t>
  </si>
  <si>
    <t xml:space="preserve"> هوشیاری</t>
  </si>
  <si>
    <t>حدادی</t>
  </si>
  <si>
    <t xml:space="preserve"> ابوفاضلی</t>
  </si>
  <si>
    <t>حجت</t>
  </si>
  <si>
    <t>محمد رجب دامغانی</t>
  </si>
  <si>
    <t xml:space="preserve">هادی </t>
  </si>
  <si>
    <t xml:space="preserve"> رجب دامغانی</t>
  </si>
  <si>
    <t xml:space="preserve"> اسدزاده</t>
  </si>
  <si>
    <t xml:space="preserve"> حسین خانی</t>
  </si>
  <si>
    <t>رضائی</t>
  </si>
  <si>
    <t xml:space="preserve"> عنایتی</t>
  </si>
  <si>
    <t xml:space="preserve"> مشکینی</t>
  </si>
  <si>
    <t xml:space="preserve"> خمسه ای</t>
  </si>
  <si>
    <t xml:space="preserve"> اژدر میرزایی</t>
  </si>
  <si>
    <t xml:space="preserve">  جوان دوست</t>
  </si>
  <si>
    <t xml:space="preserve"> عرقلو</t>
  </si>
  <si>
    <t>آقاملا</t>
  </si>
  <si>
    <t xml:space="preserve"> قندیل</t>
  </si>
  <si>
    <t xml:space="preserve"> جواهری کاشانی</t>
  </si>
  <si>
    <t xml:space="preserve"> راد سعادت قلی</t>
  </si>
  <si>
    <t xml:space="preserve"> صادق علوی</t>
  </si>
  <si>
    <t xml:space="preserve"> آقابالازاده بیرنگ</t>
  </si>
  <si>
    <t xml:space="preserve"> رجبی رندانی</t>
  </si>
  <si>
    <t xml:space="preserve"> دادبخش</t>
  </si>
  <si>
    <t xml:space="preserve"> میرشاه ولد</t>
  </si>
  <si>
    <t>سید محمدعلی</t>
  </si>
  <si>
    <t xml:space="preserve"> نامی</t>
  </si>
  <si>
    <t xml:space="preserve"> آسیائی</t>
  </si>
  <si>
    <t xml:space="preserve"> شادکام</t>
  </si>
  <si>
    <t xml:space="preserve"> جهانی</t>
  </si>
  <si>
    <t>همایون</t>
  </si>
  <si>
    <t xml:space="preserve"> قدوسی</t>
  </si>
  <si>
    <t xml:space="preserve"> ناصری پور</t>
  </si>
  <si>
    <t xml:space="preserve"> شامانی</t>
  </si>
  <si>
    <t xml:space="preserve"> آقایاری</t>
  </si>
  <si>
    <t xml:space="preserve"> زارع تیموری</t>
  </si>
  <si>
    <t xml:space="preserve"> هدی</t>
  </si>
  <si>
    <t xml:space="preserve"> شوشتری</t>
  </si>
  <si>
    <t xml:space="preserve"> محدث خلخالی</t>
  </si>
  <si>
    <t xml:space="preserve"> دستخوش جوان</t>
  </si>
  <si>
    <t xml:space="preserve"> ریاحی فرد</t>
  </si>
  <si>
    <t>عبدالامیر</t>
  </si>
  <si>
    <t xml:space="preserve"> گرگان بیک</t>
  </si>
  <si>
    <t xml:space="preserve"> محمدپور مطلق</t>
  </si>
  <si>
    <t>بنی علی</t>
  </si>
  <si>
    <t xml:space="preserve"> مرتضائی قهرودی</t>
  </si>
  <si>
    <t xml:space="preserve"> نیک مرد</t>
  </si>
  <si>
    <t xml:space="preserve">حجت الله </t>
  </si>
  <si>
    <t xml:space="preserve"> جاریانی</t>
  </si>
  <si>
    <t>حامد</t>
  </si>
  <si>
    <t xml:space="preserve"> دوست</t>
  </si>
  <si>
    <t>جهان بخش</t>
  </si>
  <si>
    <t xml:space="preserve"> شاعری</t>
  </si>
  <si>
    <t>خدا ویسی</t>
  </si>
  <si>
    <t xml:space="preserve"> حسن ولی</t>
  </si>
  <si>
    <t xml:space="preserve"> خوئی</t>
  </si>
  <si>
    <t xml:space="preserve"> ایرانشاهی</t>
  </si>
  <si>
    <t xml:space="preserve"> خدادادی</t>
  </si>
  <si>
    <t>بهجت</t>
  </si>
  <si>
    <t>سیفی</t>
  </si>
  <si>
    <t xml:space="preserve">آیت الله </t>
  </si>
  <si>
    <t>امین</t>
  </si>
  <si>
    <t xml:space="preserve"> خادمی</t>
  </si>
  <si>
    <t xml:space="preserve"> ذاکری</t>
  </si>
  <si>
    <t xml:space="preserve"> نیکوئی</t>
  </si>
  <si>
    <t xml:space="preserve"> شامبولی</t>
  </si>
  <si>
    <t xml:space="preserve"> مهین بابایی</t>
  </si>
  <si>
    <t xml:space="preserve"> هنرمند</t>
  </si>
  <si>
    <t xml:space="preserve"> نویدی</t>
  </si>
  <si>
    <t xml:space="preserve"> خوش طینت</t>
  </si>
  <si>
    <t>صادقی</t>
  </si>
  <si>
    <t xml:space="preserve">خرم </t>
  </si>
  <si>
    <t xml:space="preserve"> شادلو</t>
  </si>
  <si>
    <t>معتمدی</t>
  </si>
  <si>
    <t xml:space="preserve">حشمت الله </t>
  </si>
  <si>
    <t xml:space="preserve"> کرم الدین</t>
  </si>
  <si>
    <t xml:space="preserve"> قضاتلو</t>
  </si>
  <si>
    <t xml:space="preserve"> فریدون ملکی</t>
  </si>
  <si>
    <t xml:space="preserve"> طهماسبی</t>
  </si>
  <si>
    <t xml:space="preserve"> سویزی</t>
  </si>
  <si>
    <t xml:space="preserve"> سلیمیان</t>
  </si>
  <si>
    <t xml:space="preserve"> ابراهیم زاده</t>
  </si>
  <si>
    <t>حسام الدین</t>
  </si>
  <si>
    <t xml:space="preserve"> محمدپور</t>
  </si>
  <si>
    <t xml:space="preserve"> کوهستانی</t>
  </si>
  <si>
    <t xml:space="preserve"> کاظمی آهویی</t>
  </si>
  <si>
    <t xml:space="preserve"> شاهواری</t>
  </si>
  <si>
    <t>محمد هادی</t>
  </si>
  <si>
    <t>تهرانی</t>
  </si>
  <si>
    <t>محمدجعفر</t>
  </si>
  <si>
    <t xml:space="preserve"> الیاسی</t>
  </si>
  <si>
    <t xml:space="preserve"> مظفری</t>
  </si>
  <si>
    <t xml:space="preserve"> رجب فردی</t>
  </si>
  <si>
    <t xml:space="preserve">محمد داود </t>
  </si>
  <si>
    <t xml:space="preserve"> اکبری نژاد</t>
  </si>
  <si>
    <t xml:space="preserve">محب الله </t>
  </si>
  <si>
    <t xml:space="preserve"> میر شریفی</t>
  </si>
  <si>
    <t xml:space="preserve"> جعفرزاده مقدم</t>
  </si>
  <si>
    <t xml:space="preserve"> نعمت الهی</t>
  </si>
  <si>
    <t xml:space="preserve">فضل الله </t>
  </si>
  <si>
    <t xml:space="preserve"> درویش ملا</t>
  </si>
  <si>
    <t xml:space="preserve"> کیانی </t>
  </si>
  <si>
    <t>علی منصور</t>
  </si>
  <si>
    <t xml:space="preserve"> پلوئی</t>
  </si>
  <si>
    <t xml:space="preserve"> کرمعلی</t>
  </si>
  <si>
    <t xml:space="preserve"> موسیوند</t>
  </si>
  <si>
    <t xml:space="preserve"> خوش اخلاق</t>
  </si>
  <si>
    <t xml:space="preserve"> گندمی</t>
  </si>
  <si>
    <t xml:space="preserve"> برادران</t>
  </si>
  <si>
    <t xml:space="preserve"> نظری نیا</t>
  </si>
  <si>
    <t>عبدالهاشم</t>
  </si>
  <si>
    <t>مداح</t>
  </si>
  <si>
    <t xml:space="preserve">عبدالله </t>
  </si>
  <si>
    <t xml:space="preserve"> شهرکی</t>
  </si>
  <si>
    <t xml:space="preserve"> غیاثود</t>
  </si>
  <si>
    <t xml:space="preserve"> محمود نسب</t>
  </si>
  <si>
    <t xml:space="preserve"> کلانتر</t>
  </si>
  <si>
    <t>صبرعلی</t>
  </si>
  <si>
    <t xml:space="preserve"> صمیمی</t>
  </si>
  <si>
    <t xml:space="preserve">  نوروزی</t>
  </si>
  <si>
    <t>سید گل حسین</t>
  </si>
  <si>
    <t xml:space="preserve"> قلنجی</t>
  </si>
  <si>
    <t xml:space="preserve"> نظام الدینی</t>
  </si>
  <si>
    <t>سید عباس</t>
  </si>
  <si>
    <t xml:space="preserve"> موسوی جاوید</t>
  </si>
  <si>
    <t>سید رضا</t>
  </si>
  <si>
    <t xml:space="preserve"> هاشمیان</t>
  </si>
  <si>
    <t>سید جواد</t>
  </si>
  <si>
    <t>شریلو</t>
  </si>
  <si>
    <t xml:space="preserve">سیاوش </t>
  </si>
  <si>
    <t>سهیل</t>
  </si>
  <si>
    <t xml:space="preserve"> واشقانی فراهانی</t>
  </si>
  <si>
    <t>امیری</t>
  </si>
  <si>
    <t xml:space="preserve"> اعرابی</t>
  </si>
  <si>
    <t xml:space="preserve"> قاسم پور</t>
  </si>
  <si>
    <t xml:space="preserve"> عبدی</t>
  </si>
  <si>
    <t>درویشعلی</t>
  </si>
  <si>
    <t>غلامی</t>
  </si>
  <si>
    <t xml:space="preserve"> فتحی پور</t>
  </si>
  <si>
    <t xml:space="preserve"> جمال آبادی</t>
  </si>
  <si>
    <t>سید ماشالله</t>
  </si>
  <si>
    <t>توکلی راد</t>
  </si>
  <si>
    <t xml:space="preserve"> قوام جعفری </t>
  </si>
  <si>
    <t xml:space="preserve"> جعفر قلی</t>
  </si>
  <si>
    <t xml:space="preserve"> فدائی تنها</t>
  </si>
  <si>
    <t xml:space="preserve"> اکبرپور</t>
  </si>
  <si>
    <t xml:space="preserve"> نصیریان</t>
  </si>
  <si>
    <t xml:space="preserve">مهران </t>
  </si>
  <si>
    <t xml:space="preserve"> کبیر زاده</t>
  </si>
  <si>
    <t xml:space="preserve"> باتوانی</t>
  </si>
  <si>
    <t xml:space="preserve"> منوری</t>
  </si>
  <si>
    <t xml:space="preserve"> روبیاتی</t>
  </si>
  <si>
    <t xml:space="preserve"> سید افیونی</t>
  </si>
  <si>
    <t xml:space="preserve"> دهقانی</t>
  </si>
  <si>
    <t xml:space="preserve"> خدابخشی</t>
  </si>
  <si>
    <t>محمدصادق</t>
  </si>
  <si>
    <t xml:space="preserve"> نوین پور</t>
  </si>
  <si>
    <t xml:space="preserve"> صفایی</t>
  </si>
  <si>
    <t xml:space="preserve"> زادگان</t>
  </si>
  <si>
    <t xml:space="preserve"> علوی سخا </t>
  </si>
  <si>
    <t xml:space="preserve"> رجب نژاد</t>
  </si>
  <si>
    <t>زارع بجستانی</t>
  </si>
  <si>
    <t>1404/11/17</t>
  </si>
  <si>
    <t>1404/11/</t>
  </si>
  <si>
    <t>ظهیری مهرآبادی</t>
  </si>
  <si>
    <t>امامی</t>
  </si>
  <si>
    <t>قبادی</t>
  </si>
  <si>
    <t>4 مکرر</t>
  </si>
  <si>
    <t>حمید زغم</t>
  </si>
  <si>
    <t xml:space="preserve"> خسروی نژاد</t>
  </si>
  <si>
    <t>سید اقبال</t>
  </si>
  <si>
    <t xml:space="preserve"> فرهمند فر</t>
  </si>
  <si>
    <t xml:space="preserve"> وفادار</t>
  </si>
  <si>
    <t>اسماعیل زاده</t>
  </si>
  <si>
    <t>غفاری</t>
  </si>
  <si>
    <t>پرورده</t>
  </si>
  <si>
    <t xml:space="preserve"> مکرر23</t>
  </si>
  <si>
    <t>ساربان نژاد</t>
  </si>
  <si>
    <t xml:space="preserve"> ربیعی کهرودی</t>
  </si>
  <si>
    <t xml:space="preserve">تورج </t>
  </si>
  <si>
    <t>حق پرست</t>
  </si>
  <si>
    <t xml:space="preserve"> حاج علی لالانی</t>
  </si>
  <si>
    <t xml:space="preserve">محمد  </t>
  </si>
  <si>
    <t>بابایی لواسانی</t>
  </si>
  <si>
    <t xml:space="preserve"> آرونی کاشی</t>
  </si>
  <si>
    <t>حسنی پور</t>
  </si>
  <si>
    <t>سنگ باید ابزار بخورد</t>
  </si>
  <si>
    <t xml:space="preserve"> فاضلی</t>
  </si>
  <si>
    <t xml:space="preserve"> مزنگی شاه آبادی</t>
  </si>
  <si>
    <t>فتاح</t>
  </si>
  <si>
    <t xml:space="preserve"> نعلبندلو</t>
  </si>
  <si>
    <t>آرونی</t>
  </si>
  <si>
    <t xml:space="preserve"> حسینی زواره ای</t>
  </si>
  <si>
    <t>محمودآبادی</t>
  </si>
  <si>
    <t xml:space="preserve"> علی بیگی نبی</t>
  </si>
  <si>
    <t>مشهدی حسین</t>
  </si>
  <si>
    <t>تاجیک</t>
  </si>
  <si>
    <t>حضرتقلی</t>
  </si>
  <si>
    <t xml:space="preserve"> سید حلاج</t>
  </si>
  <si>
    <t xml:space="preserve"> نجفی پور</t>
  </si>
  <si>
    <t>فصیحی نیا</t>
  </si>
  <si>
    <t>رستگار</t>
  </si>
  <si>
    <t xml:space="preserve"> گچ چی ممقانی</t>
  </si>
  <si>
    <t xml:space="preserve"> آجر پز</t>
  </si>
  <si>
    <t>ولاشجردی</t>
  </si>
  <si>
    <t xml:space="preserve"> عرفانیان مقدم</t>
  </si>
  <si>
    <t>کورش</t>
  </si>
  <si>
    <t xml:space="preserve"> سلیمانی ده کردی</t>
  </si>
  <si>
    <t xml:space="preserve"> منظوری ثمرین</t>
  </si>
  <si>
    <t xml:space="preserve">سید سعید </t>
  </si>
  <si>
    <t xml:space="preserve"> دریا بارلاهی</t>
  </si>
  <si>
    <t>زرین پور</t>
  </si>
  <si>
    <t>باید پیمانکار سنگ مرمر تهیه بکند</t>
  </si>
  <si>
    <t xml:space="preserve"> زارع کاریزی</t>
  </si>
  <si>
    <t>کرمی</t>
  </si>
  <si>
    <t xml:space="preserve"> جون بخش نجف آبادی</t>
  </si>
  <si>
    <t xml:space="preserve"> چهر زنی1404/09/05 کریستال</t>
  </si>
  <si>
    <t xml:space="preserve"> پرویزی دلیر</t>
  </si>
  <si>
    <t>حاجی سلطانی</t>
  </si>
  <si>
    <t>طرقوزآبادی</t>
  </si>
  <si>
    <t>فرد</t>
  </si>
  <si>
    <t xml:space="preserve"> باجلانی</t>
  </si>
  <si>
    <t xml:space="preserve"> سیافی</t>
  </si>
  <si>
    <t xml:space="preserve"> حبیب الله</t>
  </si>
  <si>
    <t>پ</t>
  </si>
  <si>
    <t>حمیدی</t>
  </si>
  <si>
    <t xml:space="preserve"> عباسی مقانکی</t>
  </si>
  <si>
    <t xml:space="preserve"> قارلقی</t>
  </si>
  <si>
    <t>28 مکرر</t>
  </si>
  <si>
    <t>سد سعید</t>
  </si>
  <si>
    <t xml:space="preserve"> صالحی نصر</t>
  </si>
  <si>
    <t>چ</t>
  </si>
  <si>
    <t>24م</t>
  </si>
  <si>
    <t xml:space="preserve"> الجنانی</t>
  </si>
  <si>
    <t xml:space="preserve"> </t>
  </si>
  <si>
    <t xml:space="preserve"> محبی خراطی</t>
  </si>
  <si>
    <t>پورامینی</t>
  </si>
  <si>
    <t xml:space="preserve"> م14</t>
  </si>
  <si>
    <t>حصاری</t>
  </si>
  <si>
    <t xml:space="preserve"> عباسی چشمه کش</t>
  </si>
  <si>
    <t xml:space="preserve"> عبدائی</t>
  </si>
  <si>
    <t>مریم</t>
  </si>
  <si>
    <t>عبدالله پور برمکی</t>
  </si>
  <si>
    <t>نعمتی</t>
  </si>
  <si>
    <t>شمس فلاح</t>
  </si>
  <si>
    <t>کایگانی</t>
  </si>
  <si>
    <t xml:space="preserve">مریم </t>
  </si>
  <si>
    <t xml:space="preserve"> حاجی حسنی </t>
  </si>
  <si>
    <t>هدایت</t>
  </si>
  <si>
    <t>پناهی</t>
  </si>
  <si>
    <t xml:space="preserve"> مهاجری اطرابی</t>
  </si>
  <si>
    <t>گمنام</t>
  </si>
  <si>
    <t>اوسطی</t>
  </si>
  <si>
    <t>آزمون نیا</t>
  </si>
  <si>
    <t>حمید نژاد</t>
  </si>
  <si>
    <t>واحدی</t>
  </si>
  <si>
    <t>فراهانی فرد</t>
  </si>
  <si>
    <t>2 مکرر</t>
  </si>
  <si>
    <t>غیبی</t>
  </si>
  <si>
    <t xml:space="preserve"> نوشانی </t>
  </si>
  <si>
    <t xml:space="preserve"> مکرر1</t>
  </si>
  <si>
    <t xml:space="preserve"> سرائی</t>
  </si>
  <si>
    <t xml:space="preserve"> تهلوی </t>
  </si>
  <si>
    <t xml:space="preserve">مکرر1 </t>
  </si>
  <si>
    <t xml:space="preserve"> اکباتانی نژاد</t>
  </si>
  <si>
    <t xml:space="preserve"> امیدی</t>
  </si>
  <si>
    <t xml:space="preserve"> احمدی </t>
  </si>
  <si>
    <t xml:space="preserve"> میر هادی </t>
  </si>
  <si>
    <t>سید علی  رضا</t>
  </si>
  <si>
    <t>سید عیسی</t>
  </si>
  <si>
    <t xml:space="preserve"> درویشی </t>
  </si>
  <si>
    <t>داود محبی</t>
  </si>
  <si>
    <t>دولت ابادی فراهانی</t>
  </si>
  <si>
    <t>پنبه کار</t>
  </si>
  <si>
    <t>فهرست کامل شد</t>
  </si>
  <si>
    <t>علوی</t>
  </si>
  <si>
    <t>چک</t>
  </si>
  <si>
    <t>خانواده گفته اند دست نخورد</t>
  </si>
  <si>
    <t xml:space="preserve"> مختاری ماربینی</t>
  </si>
  <si>
    <t>محمد قلی خانی</t>
  </si>
  <si>
    <t>باید اصلاح شود</t>
  </si>
  <si>
    <t>یوسفی</t>
  </si>
  <si>
    <t>مکرمی جزء</t>
  </si>
  <si>
    <t>ابری</t>
  </si>
  <si>
    <t>رضایی پور</t>
  </si>
  <si>
    <t>آزاد دل</t>
  </si>
  <si>
    <t>چراغی ولوجردی</t>
  </si>
  <si>
    <t>فریدون خانی</t>
  </si>
  <si>
    <t>ناصری</t>
  </si>
  <si>
    <t>صفری</t>
  </si>
  <si>
    <t>کاووسی</t>
  </si>
  <si>
    <t>فقید</t>
  </si>
  <si>
    <t>قاسم پور سرخه</t>
  </si>
  <si>
    <t>عیش آبادی</t>
  </si>
  <si>
    <t>اخلاقی</t>
  </si>
  <si>
    <t>افشار</t>
  </si>
  <si>
    <t>صدرالله</t>
  </si>
  <si>
    <t>متقی نسب</t>
  </si>
  <si>
    <t>فتح علی</t>
  </si>
  <si>
    <t>علی عباد</t>
  </si>
  <si>
    <t>حاج محمود</t>
  </si>
  <si>
    <t>بازو زاده</t>
  </si>
  <si>
    <t xml:space="preserve">توحیدی سیسی </t>
  </si>
  <si>
    <t>خدمتی</t>
  </si>
  <si>
    <t>خدامی خسرو شاهی</t>
  </si>
  <si>
    <t>بیک محمدی</t>
  </si>
  <si>
    <t>بشیری</t>
  </si>
  <si>
    <t>منصفی</t>
  </si>
  <si>
    <t>کاردان</t>
  </si>
  <si>
    <t>پیراسته خمامی</t>
  </si>
  <si>
    <t>بیگی ینگی کند</t>
  </si>
  <si>
    <t>اردستانی</t>
  </si>
  <si>
    <t>قاضی</t>
  </si>
  <si>
    <t>ابوالفضل فتحی</t>
  </si>
  <si>
    <t>فرخی اردبیلی</t>
  </si>
  <si>
    <t>کمالی دولت آبادی</t>
  </si>
  <si>
    <t>12 مکرر</t>
  </si>
  <si>
    <t>نعمت الله</t>
  </si>
  <si>
    <t>ایرج</t>
  </si>
  <si>
    <t>الله وردی خانی</t>
  </si>
  <si>
    <t>غلامی زنگلانی</t>
  </si>
  <si>
    <t>رجب پور</t>
  </si>
  <si>
    <t>زارعی</t>
  </si>
  <si>
    <t>حاج اکبری</t>
  </si>
  <si>
    <t>قیصری فرد</t>
  </si>
  <si>
    <t>دهقان منشادی</t>
  </si>
  <si>
    <t>کندزی</t>
  </si>
  <si>
    <t>نوردی نامیله</t>
  </si>
  <si>
    <t>مکارچیان</t>
  </si>
  <si>
    <t>مقدم جو</t>
  </si>
  <si>
    <t>خلیق</t>
  </si>
  <si>
    <t>موسوی صدیق</t>
  </si>
  <si>
    <t xml:space="preserve">رضایی </t>
  </si>
  <si>
    <t>سید ایوب</t>
  </si>
  <si>
    <t>سید بهزاد</t>
  </si>
  <si>
    <t>شاه پور</t>
  </si>
  <si>
    <t>کلهر</t>
  </si>
  <si>
    <t>فهیم مظفر</t>
  </si>
  <si>
    <t>محرمی</t>
  </si>
  <si>
    <t>تعقلی</t>
  </si>
  <si>
    <t>اصلاحی</t>
  </si>
  <si>
    <t>ترکاشوند</t>
  </si>
  <si>
    <t>شبانی</t>
  </si>
  <si>
    <t>حیات بخش</t>
  </si>
  <si>
    <t>اختراعی</t>
  </si>
  <si>
    <t>دریاباری</t>
  </si>
  <si>
    <t>زالی</t>
  </si>
  <si>
    <t>کلاچاهی ثابت</t>
  </si>
  <si>
    <t>شیخ سفلی</t>
  </si>
  <si>
    <t>قرائی</t>
  </si>
  <si>
    <t>ابوئی مهریزی</t>
  </si>
  <si>
    <t>لیالستانی</t>
  </si>
  <si>
    <t>مجدی</t>
  </si>
  <si>
    <t>شمس آبادی</t>
  </si>
  <si>
    <t>فرزان</t>
  </si>
  <si>
    <t>برادران قوامی</t>
  </si>
  <si>
    <t>یوسفی امین</t>
  </si>
  <si>
    <t>پویان</t>
  </si>
  <si>
    <t>معصومی رستمی</t>
  </si>
  <si>
    <t>اربابی شمس</t>
  </si>
  <si>
    <t>عباسی بهارانچی</t>
  </si>
  <si>
    <t>پور سلطان</t>
  </si>
  <si>
    <t>انوشیروانی</t>
  </si>
  <si>
    <t>قدیمی</t>
  </si>
  <si>
    <t>نظری کل شکنانی</t>
  </si>
  <si>
    <t>راضی</t>
  </si>
  <si>
    <t>خسروی</t>
  </si>
  <si>
    <t>خاکی اب کنار</t>
  </si>
  <si>
    <t>عابدنی اشلقی</t>
  </si>
  <si>
    <t>اتکرامی</t>
  </si>
  <si>
    <t>ملاهادی</t>
  </si>
  <si>
    <t>63 مکرر</t>
  </si>
  <si>
    <t>62 مکرر</t>
  </si>
  <si>
    <t>شاهرخ</t>
  </si>
  <si>
    <t>کهتری</t>
  </si>
  <si>
    <t>میرمالک</t>
  </si>
  <si>
    <t>کرم علی</t>
  </si>
  <si>
    <t>عباسیان</t>
  </si>
  <si>
    <t>رمضانیان</t>
  </si>
  <si>
    <t>همراهیان</t>
  </si>
  <si>
    <t>نظری تشریفی</t>
  </si>
  <si>
    <t>مشتاقی</t>
  </si>
  <si>
    <t>چهاردوری</t>
  </si>
  <si>
    <t>درویش</t>
  </si>
  <si>
    <t>شهابی شهر میرزایی</t>
  </si>
  <si>
    <t>علی کمال</t>
  </si>
  <si>
    <t>طهماسبی ساری قیر</t>
  </si>
  <si>
    <t>سادات</t>
  </si>
  <si>
    <t>کجوری</t>
  </si>
  <si>
    <t>عابدینی</t>
  </si>
  <si>
    <t>14 مکرر</t>
  </si>
  <si>
    <t>صفت الله</t>
  </si>
  <si>
    <t>قره چلویی</t>
  </si>
  <si>
    <t>شادمانی</t>
  </si>
  <si>
    <t>اقایاری</t>
  </si>
  <si>
    <t>برچلویی</t>
  </si>
  <si>
    <t>اشعاری</t>
  </si>
  <si>
    <t>عیسی آبادی برچلویی</t>
  </si>
  <si>
    <t>زاهد</t>
  </si>
  <si>
    <t>مهرمحمدی</t>
  </si>
  <si>
    <t>بابالویی</t>
  </si>
  <si>
    <t>1404/09/04سیرجان</t>
  </si>
  <si>
    <t>میزایی</t>
  </si>
  <si>
    <t>کمال الدین</t>
  </si>
  <si>
    <t>طایفه حاجی اکبر خامنه</t>
  </si>
  <si>
    <t>علاالدین</t>
  </si>
  <si>
    <t>خیر علی</t>
  </si>
  <si>
    <t>زنجانی کرامتی</t>
  </si>
  <si>
    <t>خیاط زاده</t>
  </si>
  <si>
    <t>ادبی فر</t>
  </si>
  <si>
    <t>بدلی</t>
  </si>
  <si>
    <t>بروجردی</t>
  </si>
  <si>
    <t>علی نژاد آق بولاغ</t>
  </si>
  <si>
    <t>روانستان</t>
  </si>
  <si>
    <t>حائری نجفی</t>
  </si>
  <si>
    <t>رنجبر</t>
  </si>
  <si>
    <t>رادفر</t>
  </si>
  <si>
    <t>قاصدیان</t>
  </si>
  <si>
    <t>آبادی</t>
  </si>
  <si>
    <t>بهبودی</t>
  </si>
  <si>
    <t xml:space="preserve">عروج علی </t>
  </si>
  <si>
    <t>سلمان ماهینی</t>
  </si>
  <si>
    <t>حسینی رحمت آباد</t>
  </si>
  <si>
    <t>اصحاب علی</t>
  </si>
  <si>
    <t>میرسیاهی</t>
  </si>
  <si>
    <t>پیشوایی</t>
  </si>
  <si>
    <t>رضا مرغوب کار</t>
  </si>
  <si>
    <t>شیخ علی زاده جاهد</t>
  </si>
  <si>
    <t>افرازی</t>
  </si>
  <si>
    <t>طباطبایی آرانی</t>
  </si>
  <si>
    <t>مصیب زاده</t>
  </si>
  <si>
    <t>بناءگری</t>
  </si>
  <si>
    <t>قدیانی مهرآبادی</t>
  </si>
  <si>
    <t>اصغری</t>
  </si>
  <si>
    <t>امیر منصور</t>
  </si>
  <si>
    <t>کاشانی ادیب</t>
  </si>
  <si>
    <t xml:space="preserve">روزبه </t>
  </si>
  <si>
    <t>مهدیلو</t>
  </si>
  <si>
    <t>فاطمی</t>
  </si>
  <si>
    <t>صفری دولابی</t>
  </si>
  <si>
    <t>ادیبی</t>
  </si>
  <si>
    <t xml:space="preserve">سید کاظم </t>
  </si>
  <si>
    <t>خیرآبادی</t>
  </si>
  <si>
    <t>ارسلان</t>
  </si>
  <si>
    <t>اوجانی</t>
  </si>
  <si>
    <t xml:space="preserve">بر روی سنگ دو آدرس خورده است </t>
  </si>
  <si>
    <t>مروی</t>
  </si>
  <si>
    <t>یزدی منش</t>
  </si>
  <si>
    <t>سید جعفر</t>
  </si>
  <si>
    <t xml:space="preserve">  ذاکری زاده</t>
  </si>
  <si>
    <t>امیرناصر</t>
  </si>
  <si>
    <t>عامی مطلق</t>
  </si>
  <si>
    <t xml:space="preserve"> بیگدلی (کیوان)</t>
  </si>
  <si>
    <t>نصابی</t>
  </si>
  <si>
    <t>1404/11/14 عکس زنی</t>
  </si>
  <si>
    <t xml:space="preserve"> پائیزی</t>
  </si>
  <si>
    <t>چک شود چه کسی سنگ را ساخته است</t>
  </si>
  <si>
    <t>اسامعیل</t>
  </si>
  <si>
    <t>برزگری</t>
  </si>
  <si>
    <t>فهیم نیا</t>
  </si>
  <si>
    <t>کارگاه مرمرت قطعه 29 سنگ مرمر پیگیری از احد زاده</t>
  </si>
  <si>
    <t>به درخواست خانواده سنگ کرستال سفید نسب شود</t>
  </si>
  <si>
    <t>هاشمیان</t>
  </si>
  <si>
    <t>به درخواست خانواده باید سنگ بزرگتر ساخته شود</t>
  </si>
  <si>
    <t>رضایی</t>
  </si>
  <si>
    <t>باقری</t>
  </si>
  <si>
    <t>نمازی</t>
  </si>
  <si>
    <t>بهچری</t>
  </si>
  <si>
    <t>خداداد</t>
  </si>
  <si>
    <t>رستم آبادی</t>
  </si>
  <si>
    <t>خوش قدم</t>
  </si>
  <si>
    <t>زادی</t>
  </si>
  <si>
    <t>سید فرهاد</t>
  </si>
  <si>
    <t>مولوی</t>
  </si>
  <si>
    <t>بازبندی</t>
  </si>
  <si>
    <t>شمس علی</t>
  </si>
  <si>
    <t>علی محمد زاده</t>
  </si>
  <si>
    <t>در کارگاه مرمت است باید چک شود از احدزاد پیگیری شود</t>
  </si>
  <si>
    <t xml:space="preserve"> نکونام قدیری</t>
  </si>
  <si>
    <t xml:space="preserve"> عبدالاحدی</t>
  </si>
  <si>
    <t xml:space="preserve"> حکم آبادی</t>
  </si>
  <si>
    <t>تکلیمی</t>
  </si>
  <si>
    <t xml:space="preserve"> کریمی قهی</t>
  </si>
  <si>
    <t xml:space="preserve"> بیدخوری</t>
  </si>
  <si>
    <t>1404/11/14 سنگ باید بزرگ ساخته شود</t>
  </si>
  <si>
    <t xml:space="preserve"> آبنیکی</t>
  </si>
  <si>
    <t>میریونسی</t>
  </si>
  <si>
    <t xml:space="preserve">امرالله </t>
  </si>
  <si>
    <t xml:space="preserve">احسان الله </t>
  </si>
  <si>
    <t>بابائی</t>
  </si>
  <si>
    <t>حسام</t>
  </si>
  <si>
    <t>طاهریان</t>
  </si>
  <si>
    <t>سیروس الدین</t>
  </si>
  <si>
    <t>آطاهریان</t>
  </si>
  <si>
    <t>نشده</t>
  </si>
  <si>
    <t>حسن (منصور)</t>
  </si>
  <si>
    <t xml:space="preserve"> ارباب زاده</t>
  </si>
  <si>
    <t>نیازی ندارد</t>
  </si>
  <si>
    <t>حیدر نژاد</t>
  </si>
  <si>
    <t>سرهنگ خانلری</t>
  </si>
  <si>
    <t xml:space="preserve">محی الدین </t>
  </si>
  <si>
    <t>خانی فرسنگی</t>
  </si>
  <si>
    <t>سید فرشچیان</t>
  </si>
  <si>
    <t>رحمانی گرجی</t>
  </si>
  <si>
    <t>کشاورز صفی</t>
  </si>
  <si>
    <t>حسنی کازاری</t>
  </si>
  <si>
    <t>احمد زاده ساری</t>
  </si>
  <si>
    <t>در عکس زنی میباشد</t>
  </si>
  <si>
    <t>آقا بابائی</t>
  </si>
  <si>
    <t>تصویر شهید برای سنگ جدید بهرام زاده دارد</t>
  </si>
  <si>
    <t>درانی</t>
  </si>
  <si>
    <t>حاج علی حسن</t>
  </si>
  <si>
    <t>دباغی</t>
  </si>
  <si>
    <t>ذوالفقاری</t>
  </si>
  <si>
    <t>بقائی</t>
  </si>
  <si>
    <t>مرادعلی</t>
  </si>
  <si>
    <t>نوع سنگ از احد زلده پیگیری شود اگر کریستال بود ساخته شود</t>
  </si>
  <si>
    <t>سید موسی</t>
  </si>
  <si>
    <t>خالدی</t>
  </si>
  <si>
    <t>ولی بیکی</t>
  </si>
  <si>
    <t xml:space="preserve">پرویز </t>
  </si>
  <si>
    <t>جفائیه</t>
  </si>
  <si>
    <t>یحیی پور</t>
  </si>
  <si>
    <t>ابراهیمیان</t>
  </si>
  <si>
    <t>نفری قلعه</t>
  </si>
  <si>
    <t>حسنلوئی</t>
  </si>
  <si>
    <t>حسین زاده مقدم</t>
  </si>
  <si>
    <t>بدر نژاد</t>
  </si>
  <si>
    <t>روحانی دو گاهه</t>
  </si>
  <si>
    <t>ملکی</t>
  </si>
  <si>
    <t>صالح کندری</t>
  </si>
  <si>
    <t>سنگ خاص بوده از مدیر بهسازی پیگیری شود</t>
  </si>
  <si>
    <t>سعیدی</t>
  </si>
  <si>
    <t>سنگ حتما سفید باشد درخواست خانواده</t>
  </si>
  <si>
    <t>وکیلی</t>
  </si>
  <si>
    <t>رحمت الله</t>
  </si>
  <si>
    <t>سیدی فضل الهی</t>
  </si>
  <si>
    <t>شیخی</t>
  </si>
  <si>
    <t>میرزا علی زارع</t>
  </si>
  <si>
    <t>پروین</t>
  </si>
  <si>
    <t>گنجی</t>
  </si>
  <si>
    <t xml:space="preserve">عباسعلی </t>
  </si>
  <si>
    <t xml:space="preserve"> تنهائی</t>
  </si>
  <si>
    <t>زهرا</t>
  </si>
  <si>
    <t>صمدپور آق قلعه</t>
  </si>
  <si>
    <t>میرحسینی</t>
  </si>
  <si>
    <t>نیازی عرب</t>
  </si>
  <si>
    <t>خدائی</t>
  </si>
  <si>
    <t>موسوی خلخالی</t>
  </si>
  <si>
    <t>آجرلو</t>
  </si>
  <si>
    <t xml:space="preserve"> عقیل محتشم</t>
  </si>
  <si>
    <t>انتظاری</t>
  </si>
  <si>
    <t>نیکوبیان قدمی</t>
  </si>
  <si>
    <t>رنجبر ممقانی</t>
  </si>
  <si>
    <t>خادمی</t>
  </si>
  <si>
    <t>شادفر</t>
  </si>
  <si>
    <t>واشقانی فرهانی</t>
  </si>
  <si>
    <t>حبیب الله زاده</t>
  </si>
  <si>
    <t>نیکوئی</t>
  </si>
  <si>
    <t>حسینی قلعه نوئی</t>
  </si>
  <si>
    <t>اکبری</t>
  </si>
  <si>
    <t>غلام رضائی</t>
  </si>
  <si>
    <t>نوشادی پری</t>
  </si>
  <si>
    <t>احمدی</t>
  </si>
  <si>
    <t>یونس</t>
  </si>
  <si>
    <t>دهقانیان</t>
  </si>
  <si>
    <t>سیاولی شراهی</t>
  </si>
  <si>
    <t>فرخنده خال</t>
  </si>
  <si>
    <t>عروجی</t>
  </si>
  <si>
    <t xml:space="preserve"> حمیدی بنام</t>
  </si>
  <si>
    <t>افراسیابی</t>
  </si>
  <si>
    <t>سرائی</t>
  </si>
  <si>
    <t>رمضان</t>
  </si>
  <si>
    <t>مصیبی</t>
  </si>
  <si>
    <t>بی بی جانی</t>
  </si>
  <si>
    <t>ملاوردی</t>
  </si>
  <si>
    <t>نوروزعلی</t>
  </si>
  <si>
    <t>تمدنی حق جو</t>
  </si>
  <si>
    <t>نامجوی</t>
  </si>
  <si>
    <t>قادری</t>
  </si>
  <si>
    <t>کنشلو</t>
  </si>
  <si>
    <t>شفیعی نیک آبادی</t>
  </si>
  <si>
    <t>خراسانی</t>
  </si>
  <si>
    <t>راه انجام</t>
  </si>
  <si>
    <t>امینی</t>
  </si>
  <si>
    <t>پرتو</t>
  </si>
  <si>
    <t>ابوالفضل العباس</t>
  </si>
  <si>
    <t>بذر افشان</t>
  </si>
  <si>
    <t>ویمتاژ</t>
  </si>
  <si>
    <t>شوکت پور تراب</t>
  </si>
  <si>
    <t>ناصح غفوری</t>
  </si>
  <si>
    <t>فرهادی راد مقدم</t>
  </si>
  <si>
    <t>سلمانی</t>
  </si>
  <si>
    <t>مولا قلی</t>
  </si>
  <si>
    <t>آموزگار</t>
  </si>
  <si>
    <t>حسن ( بهزاد )</t>
  </si>
  <si>
    <t>خمارلو</t>
  </si>
  <si>
    <t xml:space="preserve">نشده در صورت نیاز تعویض </t>
  </si>
  <si>
    <t>پورسان</t>
  </si>
  <si>
    <t>بیجار گروسی</t>
  </si>
  <si>
    <t>میر احمدی</t>
  </si>
  <si>
    <t>امانی</t>
  </si>
  <si>
    <t>لرستانی</t>
  </si>
  <si>
    <t>یاسری نژاد</t>
  </si>
  <si>
    <t>سنگ نیاز به عکس دارد</t>
  </si>
  <si>
    <t>امیر محسن</t>
  </si>
  <si>
    <t>سر آوند</t>
  </si>
  <si>
    <t>علیقلی</t>
  </si>
  <si>
    <t>رشیدی</t>
  </si>
  <si>
    <t>هوشنگی</t>
  </si>
  <si>
    <t>حشمت اله</t>
  </si>
  <si>
    <t>ایراندوست</t>
  </si>
  <si>
    <t>میرزائی کندری</t>
  </si>
  <si>
    <t>صاحبی شریف آبادی</t>
  </si>
  <si>
    <t>حسین زاده</t>
  </si>
  <si>
    <t>خلجی</t>
  </si>
  <si>
    <t>دلبری</t>
  </si>
  <si>
    <t>عبدالحسن</t>
  </si>
  <si>
    <t>صبوری</t>
  </si>
  <si>
    <t>تین نژاد</t>
  </si>
  <si>
    <t>یعقوبی</t>
  </si>
  <si>
    <t>پور هاشمی</t>
  </si>
  <si>
    <t>جواهری</t>
  </si>
  <si>
    <t>نادری</t>
  </si>
  <si>
    <t>شبانی قهرودی</t>
  </si>
  <si>
    <t>وهابی برزی</t>
  </si>
  <si>
    <t>عبدالمجید</t>
  </si>
  <si>
    <t>گلدار</t>
  </si>
  <si>
    <t>حاج نورالله</t>
  </si>
  <si>
    <t>فولادوند</t>
  </si>
  <si>
    <t>فریبرز</t>
  </si>
  <si>
    <t>ملا صالحی</t>
  </si>
  <si>
    <t>حاجونی</t>
  </si>
  <si>
    <t>نگهدار تهرانی</t>
  </si>
  <si>
    <t>کشوری پسنده</t>
  </si>
  <si>
    <t>میرزا محمد</t>
  </si>
  <si>
    <r>
      <t>1404/09/04</t>
    </r>
    <r>
      <rPr>
        <sz val="14"/>
        <color indexed="8"/>
        <rFont val="B Zar"/>
        <charset val="178"/>
      </rPr>
      <t>سیرجان</t>
    </r>
  </si>
  <si>
    <t>علیان</t>
  </si>
  <si>
    <t>فخار</t>
  </si>
  <si>
    <t>صانعی</t>
  </si>
  <si>
    <t>کاشیها</t>
  </si>
  <si>
    <t>مطبوع صالح</t>
  </si>
  <si>
    <t>تقی زاده</t>
  </si>
  <si>
    <t>مطهری نژاد</t>
  </si>
  <si>
    <t>معصومی</t>
  </si>
  <si>
    <t>اربابی</t>
  </si>
  <si>
    <t>عبدالکریم</t>
  </si>
  <si>
    <t>دستانک</t>
  </si>
  <si>
    <t>نصیری</t>
  </si>
  <si>
    <t>علی نواز</t>
  </si>
  <si>
    <t>پاهکیده</t>
  </si>
  <si>
    <t>کمال</t>
  </si>
  <si>
    <t>زارع فرد</t>
  </si>
  <si>
    <t>قره داغی</t>
  </si>
  <si>
    <t>عرفانی</t>
  </si>
  <si>
    <t>صدق آمیز</t>
  </si>
  <si>
    <t>زینعلی</t>
  </si>
  <si>
    <t>پارسیان</t>
  </si>
  <si>
    <t>سجادی</t>
  </si>
  <si>
    <t>ذاتی</t>
  </si>
  <si>
    <t>براتعلی</t>
  </si>
  <si>
    <t>رغبتی</t>
  </si>
  <si>
    <t>آرنک</t>
  </si>
  <si>
    <t>رمضانی</t>
  </si>
  <si>
    <t>قنبر</t>
  </si>
  <si>
    <t>ابریشمی</t>
  </si>
  <si>
    <t>میرزائی فرد</t>
  </si>
  <si>
    <t>نشده در صورت نیاز تعویض شود</t>
  </si>
  <si>
    <t>لک</t>
  </si>
  <si>
    <t>قمی نژاد</t>
  </si>
  <si>
    <t>عبدالرحمن</t>
  </si>
  <si>
    <t>شهید</t>
  </si>
  <si>
    <t>حاج هدایت اله</t>
  </si>
  <si>
    <t>مرتضی زاده</t>
  </si>
  <si>
    <t>شرکتی</t>
  </si>
  <si>
    <t>آقا پناهی</t>
  </si>
  <si>
    <t>عاشقلو</t>
  </si>
  <si>
    <t>جباری</t>
  </si>
  <si>
    <t>نیلی</t>
  </si>
  <si>
    <t>اعرابی</t>
  </si>
  <si>
    <t>بتول</t>
  </si>
  <si>
    <t xml:space="preserve">حاج عباس </t>
  </si>
  <si>
    <t>کشانی</t>
  </si>
  <si>
    <t>احمدی اصل</t>
  </si>
  <si>
    <t>همدانی</t>
  </si>
  <si>
    <t>خزروان هفشجانی</t>
  </si>
  <si>
    <t xml:space="preserve">فرزام </t>
  </si>
  <si>
    <t xml:space="preserve">آقا محمدی </t>
  </si>
  <si>
    <t>وجگویی</t>
  </si>
  <si>
    <t>66م</t>
  </si>
  <si>
    <t>سلطنت</t>
  </si>
  <si>
    <t xml:space="preserve"> محمودی آق قلعه</t>
  </si>
  <si>
    <t>مریخ زر</t>
  </si>
  <si>
    <t>جعفری آذر دابانلو</t>
  </si>
  <si>
    <t>نظامی</t>
  </si>
  <si>
    <t>آقا صادقی</t>
  </si>
  <si>
    <t>عرب بنی اسد</t>
  </si>
  <si>
    <t xml:space="preserve">ماجد </t>
  </si>
  <si>
    <t>گچی</t>
  </si>
  <si>
    <t xml:space="preserve">قربان علی </t>
  </si>
  <si>
    <t>محمدی نصیر</t>
  </si>
  <si>
    <t>مطلوبی گیوج</t>
  </si>
  <si>
    <t>نیکوئیان</t>
  </si>
  <si>
    <t>عابدین زاده</t>
  </si>
  <si>
    <t>صفاریان رضایی</t>
  </si>
  <si>
    <t>آشوری زنجانی</t>
  </si>
  <si>
    <t>نصیری آق قلعه</t>
  </si>
  <si>
    <t>یادآور واحد</t>
  </si>
  <si>
    <t xml:space="preserve">محمد اسماعیل </t>
  </si>
  <si>
    <t>رشیدی مهرآبادی</t>
  </si>
  <si>
    <t>کمال ابادی</t>
  </si>
  <si>
    <t>جلالی فریزهندی</t>
  </si>
  <si>
    <t>بابالوئی</t>
  </si>
  <si>
    <t>جاودان اینانلو</t>
  </si>
  <si>
    <t>چلاوی</t>
  </si>
  <si>
    <t>منصوری</t>
  </si>
  <si>
    <t>سید خلیلی</t>
  </si>
  <si>
    <t>مهرابی</t>
  </si>
  <si>
    <t>شعبان پور</t>
  </si>
  <si>
    <t>قنبر پور</t>
  </si>
  <si>
    <t>دانش</t>
  </si>
  <si>
    <t>منافی</t>
  </si>
  <si>
    <t>حاج مهدی</t>
  </si>
  <si>
    <t>علم دار</t>
  </si>
  <si>
    <t>خدایی خاتونی</t>
  </si>
  <si>
    <t>دانشفر</t>
  </si>
  <si>
    <t>غیمی</t>
  </si>
  <si>
    <t>غلامرضا زاده</t>
  </si>
  <si>
    <t>توکلی خالدی</t>
  </si>
  <si>
    <t>قاسمی خاوه</t>
  </si>
  <si>
    <t>اصغری بجین آبادی</t>
  </si>
  <si>
    <t>سید اسدالله</t>
  </si>
  <si>
    <t>حاج سید مرتضی</t>
  </si>
  <si>
    <t>افضلی</t>
  </si>
  <si>
    <t>ابراهیمی جعفری</t>
  </si>
  <si>
    <t>ایت اللهی</t>
  </si>
  <si>
    <t>خواص تار</t>
  </si>
  <si>
    <t>جلالی پور</t>
  </si>
  <si>
    <t>هندوانچی</t>
  </si>
  <si>
    <t>صادقی اقدم</t>
  </si>
  <si>
    <t>عرفانیان</t>
  </si>
  <si>
    <t>نعمتی جم</t>
  </si>
  <si>
    <t>علی دوست</t>
  </si>
  <si>
    <t>حسینیان</t>
  </si>
  <si>
    <t>فرهاد علی</t>
  </si>
  <si>
    <t>سید آقا</t>
  </si>
  <si>
    <t>فتوحی بافقی</t>
  </si>
  <si>
    <t>سید حسینی</t>
  </si>
  <si>
    <t>مضاهری پور کلهرودی</t>
  </si>
  <si>
    <t>خادم الشریعت</t>
  </si>
  <si>
    <t>تکللی</t>
  </si>
  <si>
    <t>خان ابادی</t>
  </si>
  <si>
    <t>قلعه قوند</t>
  </si>
  <si>
    <t xml:space="preserve">ابراهیمی </t>
  </si>
  <si>
    <t>گورکانی</t>
  </si>
  <si>
    <t>حاجی محمود زاده ممقانی</t>
  </si>
  <si>
    <t>صلاحی</t>
  </si>
  <si>
    <t>امین الله</t>
  </si>
  <si>
    <t>عزیز</t>
  </si>
  <si>
    <t>مسعود (حسین)</t>
  </si>
  <si>
    <t>حسن (چنگیز)</t>
  </si>
  <si>
    <t>اقدسی</t>
  </si>
  <si>
    <t>کریمی خانگاه</t>
  </si>
  <si>
    <t>روحانیان</t>
  </si>
  <si>
    <t>محمودی نژاد</t>
  </si>
  <si>
    <t>شجاعی</t>
  </si>
  <si>
    <t>نورانی</t>
  </si>
  <si>
    <t>دلاورگلابه</t>
  </si>
  <si>
    <t>سید ایرج</t>
  </si>
  <si>
    <t>حاج فرید</t>
  </si>
  <si>
    <t>سید صدرالدین (محمد)</t>
  </si>
  <si>
    <t>داستان پور</t>
  </si>
  <si>
    <t>میر محمد حسین اصفهانی</t>
  </si>
  <si>
    <t>مبینی</t>
  </si>
  <si>
    <t>شاه مرزا لو</t>
  </si>
  <si>
    <t>درستکار</t>
  </si>
  <si>
    <t>چاووشی</t>
  </si>
  <si>
    <t>علامیر زره ناس</t>
  </si>
  <si>
    <t>رضایی نیکو</t>
  </si>
  <si>
    <t>شیرغلامی</t>
  </si>
  <si>
    <t>ساعتچی فرد</t>
  </si>
  <si>
    <t>عامری طور زنی</t>
  </si>
  <si>
    <t>حاج خیر الله</t>
  </si>
  <si>
    <t>مرحومه</t>
  </si>
  <si>
    <t>سیف الله</t>
  </si>
  <si>
    <t>علی شمس</t>
  </si>
  <si>
    <t>حبیب الله</t>
  </si>
  <si>
    <t>وقفی خیری</t>
  </si>
  <si>
    <t>پسندیده</t>
  </si>
  <si>
    <t>بیگی</t>
  </si>
  <si>
    <t>سیار چمنی</t>
  </si>
  <si>
    <t>محمد خانی</t>
  </si>
  <si>
    <t>مسگر</t>
  </si>
  <si>
    <t>شیبانی</t>
  </si>
  <si>
    <t>کلامی</t>
  </si>
  <si>
    <t>صفائی</t>
  </si>
  <si>
    <t>عباسی مقدم</t>
  </si>
  <si>
    <t>موهبت</t>
  </si>
  <si>
    <t>گرامی</t>
  </si>
  <si>
    <t>سرپرست</t>
  </si>
  <si>
    <t>ابراهیم زاده</t>
  </si>
  <si>
    <t>حشمتی</t>
  </si>
  <si>
    <r>
      <t xml:space="preserve"> در صورت لزوم تعویض گردد</t>
    </r>
    <r>
      <rPr>
        <b/>
        <sz val="10"/>
        <color indexed="10"/>
        <rFont val="B Zar"/>
        <charset val="178"/>
      </rPr>
      <t xml:space="preserve"> بازدید</t>
    </r>
  </si>
  <si>
    <t>تبرائی</t>
  </si>
  <si>
    <t>کلانکی</t>
  </si>
  <si>
    <t>غفوری افشاری</t>
  </si>
  <si>
    <t>رضاخان</t>
  </si>
  <si>
    <t>ملاکاظمی</t>
  </si>
  <si>
    <t>تیموری فر</t>
  </si>
  <si>
    <t>بهروز صنعتی</t>
  </si>
  <si>
    <t>مولایی</t>
  </si>
  <si>
    <t>فولاد</t>
  </si>
  <si>
    <t>پورعلی</t>
  </si>
  <si>
    <t>قستانی</t>
  </si>
  <si>
    <t>علی لویلوی اوغانی</t>
  </si>
  <si>
    <t>تشکری</t>
  </si>
  <si>
    <t>فدایی</t>
  </si>
  <si>
    <t>پورافتخاری</t>
  </si>
  <si>
    <t>انصاری منش</t>
  </si>
  <si>
    <t>توسط برادر خزایی رسیدگی شود مرمر</t>
  </si>
  <si>
    <t xml:space="preserve">ابراهیم علی </t>
  </si>
  <si>
    <t>شیرین آبادی</t>
  </si>
  <si>
    <t xml:space="preserve"> صدر نژاد</t>
  </si>
  <si>
    <t>سید امین</t>
  </si>
  <si>
    <t>پاکند</t>
  </si>
  <si>
    <t>ساسانی قمصری</t>
  </si>
  <si>
    <t xml:space="preserve"> زارعی اقدم</t>
  </si>
  <si>
    <t>صفائی آشتیانی</t>
  </si>
  <si>
    <t xml:space="preserve"> حقی  بنفشه ورق</t>
  </si>
  <si>
    <t xml:space="preserve"> چشم آبداده</t>
  </si>
  <si>
    <t>شهرابی فراهانی</t>
  </si>
  <si>
    <t xml:space="preserve"> آرونی</t>
  </si>
  <si>
    <t>مرادی نسب</t>
  </si>
  <si>
    <t xml:space="preserve"> امیری چیمه </t>
  </si>
  <si>
    <t>نیازی گلپایگانی</t>
  </si>
  <si>
    <t>در واحد سنگ چک شود که ایا موجود هست یا خیر</t>
  </si>
  <si>
    <t>نورزادگان</t>
  </si>
  <si>
    <t>سنگ باید چهردار باشد</t>
  </si>
  <si>
    <t>سید زارع</t>
  </si>
  <si>
    <t>شهنه</t>
  </si>
  <si>
    <t>غلامی ابقاء</t>
  </si>
  <si>
    <t>مغاری</t>
  </si>
  <si>
    <t xml:space="preserve"> سررشته کچل اباد</t>
  </si>
  <si>
    <t>سید محمد رضا</t>
  </si>
  <si>
    <t>میرهاشمیان</t>
  </si>
  <si>
    <t>صفارزادگان</t>
  </si>
  <si>
    <t xml:space="preserve"> امامیه</t>
  </si>
  <si>
    <t xml:space="preserve"> مکرر33</t>
  </si>
  <si>
    <t>سرو</t>
  </si>
  <si>
    <t>سید نصرالله</t>
  </si>
  <si>
    <t xml:space="preserve"> شاه ملکی</t>
  </si>
  <si>
    <t>روی سنگ شماره 15 خورده است</t>
  </si>
  <si>
    <t>رسولی زنجانی</t>
  </si>
  <si>
    <t>آگاه</t>
  </si>
  <si>
    <t>نجف</t>
  </si>
  <si>
    <t>پاکزاد مقدم</t>
  </si>
  <si>
    <t xml:space="preserve"> محمود آبادی</t>
  </si>
  <si>
    <t>سید ابوالحسن</t>
  </si>
  <si>
    <t>میر محمدی</t>
  </si>
  <si>
    <t>سید علی محمد</t>
  </si>
  <si>
    <t>موسوی جوردی</t>
  </si>
  <si>
    <t>کمانی</t>
  </si>
  <si>
    <t>جهانگیر</t>
  </si>
  <si>
    <t>عبدالباقی</t>
  </si>
  <si>
    <t>توسط علوی تصمیم گیری شود</t>
  </si>
  <si>
    <t>تصمیم گیری با علوی</t>
  </si>
  <si>
    <t>بهشتی راد</t>
  </si>
  <si>
    <t>حسین (داریوش)</t>
  </si>
  <si>
    <t>صفری رودبار</t>
  </si>
  <si>
    <t>چوپانی</t>
  </si>
  <si>
    <t>یعقوب علی پور</t>
  </si>
  <si>
    <t>الهی</t>
  </si>
  <si>
    <t xml:space="preserve"> افشه</t>
  </si>
  <si>
    <t>احمدی شهرابی</t>
  </si>
  <si>
    <t>درجزینی</t>
  </si>
  <si>
    <t>مظفری</t>
  </si>
  <si>
    <t xml:space="preserve"> عابدی دانالو</t>
  </si>
  <si>
    <t>شهریاری</t>
  </si>
  <si>
    <t>میرمحکم</t>
  </si>
  <si>
    <t xml:space="preserve"> جباری مقدم پور</t>
  </si>
  <si>
    <t xml:space="preserve"> جعفری قشلاق</t>
  </si>
  <si>
    <t xml:space="preserve"> عرب خالقی</t>
  </si>
  <si>
    <t>اشکندری</t>
  </si>
  <si>
    <t>بهزاد مهدی</t>
  </si>
  <si>
    <t>پیامی</t>
  </si>
  <si>
    <t>امیر احمدی</t>
  </si>
  <si>
    <t>عطائی</t>
  </si>
  <si>
    <t>نقدی</t>
  </si>
  <si>
    <t xml:space="preserve"> غیاثی فرد</t>
  </si>
  <si>
    <t>امیر بیک اصفهانی</t>
  </si>
  <si>
    <t xml:space="preserve"> آقائی</t>
  </si>
  <si>
    <t xml:space="preserve"> قبادی بیک وند</t>
  </si>
  <si>
    <t>دولت آبادی</t>
  </si>
  <si>
    <t>دارستانی فراهانی</t>
  </si>
  <si>
    <t xml:space="preserve"> رضا علی</t>
  </si>
  <si>
    <t xml:space="preserve"> قلانی</t>
  </si>
  <si>
    <t>علی  رضا</t>
  </si>
  <si>
    <t>شاه حاتمی</t>
  </si>
  <si>
    <t>سید مشالله</t>
  </si>
  <si>
    <t>سید آقا مدنی</t>
  </si>
  <si>
    <t>سید حبیب</t>
  </si>
  <si>
    <t>مهرپور اسکو آبادی</t>
  </si>
  <si>
    <t>صادق فرد کوهساره</t>
  </si>
  <si>
    <t>رضائی اعلم</t>
  </si>
  <si>
    <t>میرزاخانی</t>
  </si>
  <si>
    <t>قربانی اردستانی</t>
  </si>
  <si>
    <t xml:space="preserve"> حاج محمد جعفر تهرانی</t>
  </si>
  <si>
    <t>سعادتی</t>
  </si>
  <si>
    <t xml:space="preserve"> احمد ایزدی</t>
  </si>
  <si>
    <t xml:space="preserve"> رستگاری ترامشلو</t>
  </si>
  <si>
    <t xml:space="preserve"> حسن زاده</t>
  </si>
  <si>
    <t xml:space="preserve"> مجیدی آهوئی</t>
  </si>
  <si>
    <t xml:space="preserve"> علی اکبری</t>
  </si>
  <si>
    <t xml:space="preserve"> زارع شحنه</t>
  </si>
  <si>
    <t xml:space="preserve"> شهرابی فراهانی</t>
  </si>
  <si>
    <t>نجفی شاه کوئی</t>
  </si>
  <si>
    <t xml:space="preserve"> شهیدی پور</t>
  </si>
  <si>
    <t>سید حسن شبر</t>
  </si>
  <si>
    <t>ترامشلو</t>
  </si>
  <si>
    <t xml:space="preserve">حبیب </t>
  </si>
  <si>
    <t xml:space="preserve"> مطلب پور علیشاهی</t>
  </si>
  <si>
    <t xml:space="preserve">حبیب الله </t>
  </si>
  <si>
    <t>آقاهادی</t>
  </si>
  <si>
    <t xml:space="preserve"> بدائی سیاه پوش</t>
  </si>
  <si>
    <t xml:space="preserve"> دوست آبادی</t>
  </si>
  <si>
    <t xml:space="preserve"> میرزائی  ازندریانی</t>
  </si>
  <si>
    <t>سالمی</t>
  </si>
  <si>
    <t>داودی</t>
  </si>
  <si>
    <t>تارخی</t>
  </si>
  <si>
    <t>احسانی</t>
  </si>
  <si>
    <t>7 مکرر</t>
  </si>
  <si>
    <t>ربیعی</t>
  </si>
  <si>
    <t>عینعلی</t>
  </si>
  <si>
    <t>ربابه</t>
  </si>
  <si>
    <t>خادم اسابقی</t>
  </si>
  <si>
    <t>سید بابا</t>
  </si>
  <si>
    <t>جلا</t>
  </si>
  <si>
    <t>علوی آل هاشم خلاخالی</t>
  </si>
  <si>
    <t>ترازی</t>
  </si>
  <si>
    <t>عزت اله</t>
  </si>
  <si>
    <t>جمشیدی ها</t>
  </si>
  <si>
    <t>گودرز تلح جوردی</t>
  </si>
  <si>
    <t>سعید الله</t>
  </si>
  <si>
    <t>خضرایی نیایی الله داد</t>
  </si>
  <si>
    <t>وج گونی</t>
  </si>
  <si>
    <t>محسنی سربندی</t>
  </si>
  <si>
    <t xml:space="preserve">سید مهدی </t>
  </si>
  <si>
    <t xml:space="preserve">رحیم </t>
  </si>
  <si>
    <t>مختار تجویدی</t>
  </si>
  <si>
    <t>ترانه</t>
  </si>
  <si>
    <t>مشایخی</t>
  </si>
  <si>
    <t>حاجی محمودزاده ممقانی</t>
  </si>
  <si>
    <t>وایگانی</t>
  </si>
  <si>
    <t>زارعی بنه کهل</t>
  </si>
  <si>
    <t xml:space="preserve">رسول </t>
  </si>
  <si>
    <t>خالقی پور</t>
  </si>
  <si>
    <t>محمدی خلص</t>
  </si>
  <si>
    <t xml:space="preserve">محمدمهدی </t>
  </si>
  <si>
    <t>مطهری خوانساری</t>
  </si>
  <si>
    <t xml:space="preserve">جابر </t>
  </si>
  <si>
    <t>نجفی مقدم</t>
  </si>
  <si>
    <t>مالکی</t>
  </si>
  <si>
    <t>بادفر</t>
  </si>
  <si>
    <t xml:space="preserve">زین العابدین </t>
  </si>
  <si>
    <t>قمی</t>
  </si>
  <si>
    <t>ورزدار</t>
  </si>
  <si>
    <t>جعفری قشلاق چایی</t>
  </si>
  <si>
    <t xml:space="preserve">جلال </t>
  </si>
  <si>
    <t>سید مومنی</t>
  </si>
  <si>
    <t>شهیدزاده</t>
  </si>
  <si>
    <t>قنبری</t>
  </si>
  <si>
    <t>یا سعید زند کریم خانی</t>
  </si>
  <si>
    <t xml:space="preserve">محمدباقر </t>
  </si>
  <si>
    <t>نجات ثابت</t>
  </si>
  <si>
    <t>امیراحمدی</t>
  </si>
  <si>
    <t>جوادی اصل</t>
  </si>
  <si>
    <t>کشاورز صیفئی</t>
  </si>
  <si>
    <t>عبدالعلیان</t>
  </si>
  <si>
    <t>یگانه</t>
  </si>
  <si>
    <t xml:space="preserve">فرض الله </t>
  </si>
  <si>
    <t xml:space="preserve">حاجی اسماعیل </t>
  </si>
  <si>
    <t>کلاته</t>
  </si>
  <si>
    <t>غیائی فرد</t>
  </si>
  <si>
    <t>موسوی افخم</t>
  </si>
  <si>
    <t>عمویی</t>
  </si>
  <si>
    <t>معظم رازلیقی</t>
  </si>
  <si>
    <t>اقبال</t>
  </si>
  <si>
    <t>استرکی</t>
  </si>
  <si>
    <t>جلالی قمی</t>
  </si>
  <si>
    <t>مجتبی زاده</t>
  </si>
  <si>
    <t>شیری آقباش</t>
  </si>
  <si>
    <t xml:space="preserve">امیرحسین </t>
  </si>
  <si>
    <t>جلودارزاده</t>
  </si>
  <si>
    <t xml:space="preserve">اکبر </t>
  </si>
  <si>
    <t xml:space="preserve">احمدرضا </t>
  </si>
  <si>
    <t>شاطری</t>
  </si>
  <si>
    <t xml:space="preserve"> آذر پندار</t>
  </si>
  <si>
    <t xml:space="preserve">نصرت اله </t>
  </si>
  <si>
    <t>رحیم پور</t>
  </si>
  <si>
    <t>فتحیان</t>
  </si>
  <si>
    <t>سرنامی</t>
  </si>
  <si>
    <t>طاهری</t>
  </si>
  <si>
    <t>عباسیان فرخان</t>
  </si>
  <si>
    <t xml:space="preserve">محبعلی </t>
  </si>
  <si>
    <t>الله وردی ضیایی</t>
  </si>
  <si>
    <t xml:space="preserve">رئوف </t>
  </si>
  <si>
    <t>عباسی نسیمی</t>
  </si>
  <si>
    <t>اسماعیلی پور</t>
  </si>
  <si>
    <t xml:space="preserve">فتاح </t>
  </si>
  <si>
    <t>یعقوب خانی قیاسوند</t>
  </si>
  <si>
    <t>سلطان محمدی</t>
  </si>
  <si>
    <t>قلنجی</t>
  </si>
  <si>
    <t>فتحعلی بیک</t>
  </si>
  <si>
    <t>فروغی</t>
  </si>
  <si>
    <t>جانپناه</t>
  </si>
  <si>
    <t xml:space="preserve">قیس </t>
  </si>
  <si>
    <t>دانا</t>
  </si>
  <si>
    <t xml:space="preserve">ابولفضل </t>
  </si>
  <si>
    <t xml:space="preserve">رجبعلی </t>
  </si>
  <si>
    <t>بکشلو</t>
  </si>
  <si>
    <t xml:space="preserve">احمد  </t>
  </si>
  <si>
    <t>زندکریمخانی</t>
  </si>
  <si>
    <t>قاسم م</t>
  </si>
  <si>
    <t>داداشی نژاد</t>
  </si>
  <si>
    <t xml:space="preserve">محمد باقر </t>
  </si>
  <si>
    <t>رضا خان نجاد</t>
  </si>
  <si>
    <t>سید حسن (امیر)</t>
  </si>
  <si>
    <t>سید طاهر</t>
  </si>
  <si>
    <t>آرش مهر</t>
  </si>
  <si>
    <t>اسم اشتباه خورده است</t>
  </si>
  <si>
    <t>آدرس مزار چک شود</t>
  </si>
  <si>
    <t>فرج الهی</t>
  </si>
  <si>
    <t>حاج هاشم</t>
  </si>
  <si>
    <t>آمار ترمیم سنگ‌ها</t>
  </si>
  <si>
    <t>آمار تعویض سنگ‌ها</t>
  </si>
  <si>
    <t>جمع کل آسیب دیدها</t>
  </si>
  <si>
    <t>درصد آسیب دیدگی به نسبت کل قطعه</t>
  </si>
  <si>
    <t>درصدآسیب قطعه</t>
  </si>
  <si>
    <t xml:space="preserve"> کل سنگ قطعه</t>
  </si>
  <si>
    <t>تعداد</t>
  </si>
  <si>
    <t>خوش طینت</t>
  </si>
  <si>
    <t>حقیقی</t>
  </si>
  <si>
    <t>جوادی نژاد</t>
  </si>
  <si>
    <t>اطاعتی</t>
  </si>
  <si>
    <t>افغان خواه کاشانی</t>
  </si>
  <si>
    <t>کمالوند</t>
  </si>
  <si>
    <t>5 مکرر</t>
  </si>
  <si>
    <t>کاویانی</t>
  </si>
  <si>
    <t>75 مکرر</t>
  </si>
  <si>
    <t>عبدلی ظفرقندی</t>
  </si>
  <si>
    <t xml:space="preserve">دهقانی </t>
  </si>
  <si>
    <t xml:space="preserve">شهریار </t>
  </si>
  <si>
    <t>کرم زاده</t>
  </si>
  <si>
    <t>صمدی</t>
  </si>
  <si>
    <t>شاه حسینی</t>
  </si>
  <si>
    <t xml:space="preserve">عبدلی  </t>
  </si>
  <si>
    <t>بیطرفان</t>
  </si>
  <si>
    <t xml:space="preserve"> نوروی زاده</t>
  </si>
  <si>
    <t>کتیبه شهید نیز ترمیم شد</t>
  </si>
  <si>
    <t>اقبال ثانی</t>
  </si>
  <si>
    <t>خدابخشی</t>
  </si>
  <si>
    <t xml:space="preserve"> آقا هادی</t>
  </si>
  <si>
    <t>عبدالمجیدی</t>
  </si>
  <si>
    <t>علی(مرهداد)</t>
  </si>
  <si>
    <t>پورمند</t>
  </si>
  <si>
    <t>جلالی‌پور</t>
  </si>
  <si>
    <t>مرتضازاده</t>
  </si>
  <si>
    <t xml:space="preserve">*** </t>
  </si>
  <si>
    <t>گمنام شهید</t>
  </si>
  <si>
    <t xml:space="preserve"> محمدرضا</t>
  </si>
  <si>
    <t>دیانت‌پور</t>
  </si>
  <si>
    <t>هشمتی</t>
  </si>
  <si>
    <t>عیسی زاده زارع</t>
  </si>
  <si>
    <t>مرزدار</t>
  </si>
  <si>
    <t xml:space="preserve">مطهری  </t>
  </si>
  <si>
    <t>کلانی</t>
  </si>
  <si>
    <t>صفایی</t>
  </si>
  <si>
    <t>پاکی</t>
  </si>
  <si>
    <t>جمالی خیبر</t>
  </si>
  <si>
    <t>نوازنده</t>
  </si>
  <si>
    <t>علی‌نواز</t>
  </si>
  <si>
    <t>جابری</t>
  </si>
  <si>
    <t>توانگیر ریزی</t>
  </si>
  <si>
    <t>هادیان</t>
  </si>
  <si>
    <t>مطلبی علی‌آبادی</t>
  </si>
  <si>
    <t>پورمهدی</t>
  </si>
  <si>
    <t>بنی‌اسد</t>
  </si>
  <si>
    <t>عزیزآبادی فراهانی</t>
  </si>
  <si>
    <t>محمودی‌نژاد</t>
  </si>
  <si>
    <t>هندوانه‌چی</t>
  </si>
  <si>
    <t>قیاسوند</t>
  </si>
  <si>
    <t>علیدوست</t>
  </si>
  <si>
    <t>گزنی</t>
  </si>
  <si>
    <t>8 مکرر</t>
  </si>
  <si>
    <t xml:space="preserve"> غلامرضا</t>
  </si>
  <si>
    <t xml:space="preserve"> حاج حسن</t>
  </si>
  <si>
    <t xml:space="preserve"> سعید</t>
  </si>
  <si>
    <t xml:space="preserve"> بابک</t>
  </si>
  <si>
    <t xml:space="preserve"> علی‌اصغر</t>
  </si>
  <si>
    <t xml:space="preserve">  عباس</t>
  </si>
  <si>
    <t xml:space="preserve"> علیرضا</t>
  </si>
  <si>
    <t xml:space="preserve"> مرتضی</t>
  </si>
  <si>
    <t xml:space="preserve"> عباس</t>
  </si>
  <si>
    <t xml:space="preserve"> غلامحسین</t>
  </si>
  <si>
    <t xml:space="preserve"> حاج احمد</t>
  </si>
  <si>
    <t xml:space="preserve"> علی‌اکبر</t>
  </si>
  <si>
    <t xml:space="preserve"> سید رسول</t>
  </si>
  <si>
    <t xml:space="preserve"> ابوالفضل</t>
  </si>
  <si>
    <t xml:space="preserve"> فرنگیس</t>
  </si>
  <si>
    <t xml:space="preserve"> محرم</t>
  </si>
  <si>
    <t xml:space="preserve"> محمد</t>
  </si>
  <si>
    <t xml:space="preserve"> مجتبی</t>
  </si>
  <si>
    <t xml:space="preserve"> منوچهر</t>
  </si>
  <si>
    <t xml:space="preserve"> فرهاد</t>
  </si>
  <si>
    <t xml:space="preserve"> سید حمزه</t>
  </si>
  <si>
    <t xml:space="preserve"> مجید</t>
  </si>
  <si>
    <t xml:space="preserve"> علی</t>
  </si>
  <si>
    <t xml:space="preserve"> عبدالمجید</t>
  </si>
  <si>
    <t xml:space="preserve"> سید مصطفی</t>
  </si>
  <si>
    <r>
      <t xml:space="preserve"> </t>
    </r>
    <r>
      <rPr>
        <sz val="10.5"/>
        <color indexed="8"/>
        <rFont val="B Zar"/>
        <charset val="178"/>
      </rPr>
      <t xml:space="preserve"> امیرمحمد</t>
    </r>
  </si>
  <si>
    <r>
      <rPr>
        <sz val="12"/>
        <color indexed="8"/>
        <rFont val="B Zar"/>
        <charset val="178"/>
      </rPr>
      <t xml:space="preserve"> </t>
    </r>
    <r>
      <rPr>
        <sz val="10.5"/>
        <color indexed="8"/>
        <rFont val="B Zar"/>
        <charset val="178"/>
      </rPr>
      <t xml:space="preserve"> قدرت‌الله</t>
    </r>
  </si>
  <si>
    <r>
      <rPr>
        <sz val="12"/>
        <color indexed="8"/>
        <rFont val="B Zar"/>
        <charset val="178"/>
      </rPr>
      <t xml:space="preserve"> </t>
    </r>
    <r>
      <rPr>
        <sz val="10.5"/>
        <color indexed="8"/>
        <rFont val="B Zar"/>
        <charset val="178"/>
      </rPr>
      <t xml:space="preserve"> عباس</t>
    </r>
  </si>
  <si>
    <r>
      <rPr>
        <sz val="12"/>
        <color indexed="8"/>
        <rFont val="B Zar"/>
        <charset val="178"/>
      </rPr>
      <t xml:space="preserve"> </t>
    </r>
    <r>
      <rPr>
        <sz val="10.5"/>
        <color indexed="8"/>
        <rFont val="B Zar"/>
        <charset val="178"/>
      </rPr>
      <t xml:space="preserve"> حسین</t>
    </r>
  </si>
  <si>
    <r>
      <rPr>
        <sz val="12"/>
        <color indexed="8"/>
        <rFont val="B Zar"/>
        <charset val="178"/>
      </rPr>
      <t xml:space="preserve"> </t>
    </r>
    <r>
      <rPr>
        <sz val="10.5"/>
        <color indexed="8"/>
        <rFont val="B Zar"/>
        <charset val="178"/>
      </rPr>
      <t xml:space="preserve"> سهراب</t>
    </r>
  </si>
  <si>
    <r>
      <rPr>
        <sz val="12"/>
        <color indexed="8"/>
        <rFont val="B Zar"/>
        <charset val="178"/>
      </rPr>
      <t xml:space="preserve"> </t>
    </r>
    <r>
      <rPr>
        <sz val="10.5"/>
        <color indexed="8"/>
        <rFont val="B Zar"/>
        <charset val="178"/>
      </rPr>
      <t xml:space="preserve"> احمد</t>
    </r>
  </si>
  <si>
    <r>
      <rPr>
        <sz val="12"/>
        <color indexed="8"/>
        <rFont val="B Zar"/>
        <charset val="178"/>
      </rPr>
      <t xml:space="preserve"> </t>
    </r>
    <r>
      <rPr>
        <sz val="10.5"/>
        <color indexed="8"/>
        <rFont val="B Zar"/>
        <charset val="178"/>
      </rPr>
      <t xml:space="preserve"> غلامرضا</t>
    </r>
  </si>
  <si>
    <r>
      <rPr>
        <sz val="12"/>
        <color indexed="8"/>
        <rFont val="B Zar"/>
        <charset val="178"/>
      </rPr>
      <t xml:space="preserve"> </t>
    </r>
    <r>
      <rPr>
        <sz val="10.5"/>
        <color indexed="8"/>
        <rFont val="B Zar"/>
        <charset val="178"/>
      </rPr>
      <t xml:space="preserve"> نورالله</t>
    </r>
  </si>
  <si>
    <r>
      <rPr>
        <sz val="12"/>
        <color indexed="8"/>
        <rFont val="B Zar"/>
        <charset val="178"/>
      </rPr>
      <t xml:space="preserve"> </t>
    </r>
    <r>
      <rPr>
        <sz val="10.5"/>
        <color indexed="8"/>
        <rFont val="B Zar"/>
        <charset val="178"/>
      </rPr>
      <t xml:space="preserve"> مصطفی</t>
    </r>
  </si>
  <si>
    <r>
      <rPr>
        <sz val="12"/>
        <color indexed="8"/>
        <rFont val="B Zar"/>
        <charset val="178"/>
      </rPr>
      <t xml:space="preserve"> </t>
    </r>
    <r>
      <rPr>
        <sz val="10.5"/>
        <color indexed="8"/>
        <rFont val="B Zar"/>
        <charset val="178"/>
      </rPr>
      <t xml:space="preserve"> محمدحسین</t>
    </r>
  </si>
  <si>
    <r>
      <rPr>
        <sz val="12"/>
        <color indexed="8"/>
        <rFont val="B Zar"/>
        <charset val="178"/>
      </rPr>
      <t xml:space="preserve"> </t>
    </r>
    <r>
      <rPr>
        <sz val="10.5"/>
        <color indexed="8"/>
        <rFont val="B Zar"/>
        <charset val="178"/>
      </rPr>
      <t xml:space="preserve"> عزیز</t>
    </r>
  </si>
  <si>
    <r>
      <rPr>
        <sz val="12"/>
        <color indexed="8"/>
        <rFont val="B Zar"/>
        <charset val="178"/>
      </rPr>
      <t xml:space="preserve"> </t>
    </r>
    <r>
      <rPr>
        <sz val="10.5"/>
        <color indexed="8"/>
        <rFont val="B Zar"/>
        <charset val="178"/>
      </rPr>
      <t xml:space="preserve"> علیرضا</t>
    </r>
  </si>
  <si>
    <r>
      <rPr>
        <sz val="12"/>
        <color indexed="8"/>
        <rFont val="B Zar"/>
        <charset val="178"/>
      </rPr>
      <t xml:space="preserve"> </t>
    </r>
    <r>
      <rPr>
        <sz val="10.5"/>
        <color indexed="8"/>
        <rFont val="B Zar"/>
        <charset val="178"/>
      </rPr>
      <t xml:space="preserve"> حمیدرضا</t>
    </r>
  </si>
  <si>
    <r>
      <rPr>
        <sz val="12"/>
        <color indexed="8"/>
        <rFont val="B Zar"/>
        <charset val="178"/>
      </rPr>
      <t xml:space="preserve"> </t>
    </r>
    <r>
      <rPr>
        <sz val="10.5"/>
        <color indexed="8"/>
        <rFont val="B Zar"/>
        <charset val="178"/>
      </rPr>
      <t xml:space="preserve"> سیدعلی</t>
    </r>
  </si>
  <si>
    <r>
      <rPr>
        <sz val="12"/>
        <color indexed="8"/>
        <rFont val="B Zar"/>
        <charset val="178"/>
      </rPr>
      <t xml:space="preserve"> </t>
    </r>
    <r>
      <rPr>
        <sz val="10.5"/>
        <color indexed="8"/>
        <rFont val="B Zar"/>
        <charset val="178"/>
      </rPr>
      <t xml:space="preserve"> رحیم</t>
    </r>
  </si>
  <si>
    <r>
      <rPr>
        <sz val="12"/>
        <color indexed="8"/>
        <rFont val="B Zar"/>
        <charset val="178"/>
      </rPr>
      <t xml:space="preserve"> </t>
    </r>
    <r>
      <rPr>
        <sz val="10.5"/>
        <color indexed="8"/>
        <rFont val="B Zar"/>
        <charset val="178"/>
      </rPr>
      <t xml:space="preserve"> مجید</t>
    </r>
  </si>
  <si>
    <r>
      <rPr>
        <sz val="12"/>
        <color indexed="8"/>
        <rFont val="B Zar"/>
        <charset val="178"/>
      </rPr>
      <t xml:space="preserve"> </t>
    </r>
    <r>
      <rPr>
        <sz val="10.5"/>
        <color indexed="8"/>
        <rFont val="B Zar"/>
        <charset val="178"/>
      </rPr>
      <t xml:space="preserve"> ولی‌الله</t>
    </r>
  </si>
  <si>
    <r>
      <rPr>
        <sz val="12"/>
        <color indexed="8"/>
        <rFont val="B Zar"/>
        <charset val="178"/>
      </rPr>
      <t xml:space="preserve"> </t>
    </r>
    <r>
      <rPr>
        <sz val="10.5"/>
        <color indexed="8"/>
        <rFont val="B Zar"/>
        <charset val="178"/>
      </rPr>
      <t xml:space="preserve"> محمد</t>
    </r>
  </si>
  <si>
    <r>
      <rPr>
        <sz val="12"/>
        <color indexed="8"/>
        <rFont val="B Zar"/>
        <charset val="178"/>
      </rPr>
      <t xml:space="preserve"> </t>
    </r>
    <r>
      <rPr>
        <sz val="10.5"/>
        <color indexed="8"/>
        <rFont val="B Zar"/>
        <charset val="178"/>
      </rPr>
      <t xml:space="preserve"> ابراهیم</t>
    </r>
  </si>
  <si>
    <r>
      <rPr>
        <sz val="12"/>
        <color indexed="8"/>
        <rFont val="B Zar"/>
        <charset val="178"/>
      </rPr>
      <t xml:space="preserve"> </t>
    </r>
    <r>
      <rPr>
        <sz val="10.5"/>
        <color indexed="8"/>
        <rFont val="B Zar"/>
        <charset val="178"/>
      </rPr>
      <t xml:space="preserve"> حبیب‌الله</t>
    </r>
  </si>
  <si>
    <t>سرمسیلی سهرابی</t>
  </si>
  <si>
    <t>عیوضی</t>
  </si>
  <si>
    <t>فرهادی کوهپایی</t>
  </si>
  <si>
    <t>عبدی</t>
  </si>
  <si>
    <t xml:space="preserve"> تاج آبادی</t>
  </si>
  <si>
    <t xml:space="preserve"> افرادی</t>
  </si>
  <si>
    <t xml:space="preserve"> عبدالعظیمی</t>
  </si>
  <si>
    <t xml:space="preserve"> کامیابی</t>
  </si>
  <si>
    <t xml:space="preserve"> کارگری</t>
  </si>
  <si>
    <t xml:space="preserve"> دین محمدی</t>
  </si>
  <si>
    <t xml:space="preserve"> طبایی</t>
  </si>
  <si>
    <t xml:space="preserve"> نوعی</t>
  </si>
  <si>
    <t>ضرغام</t>
  </si>
  <si>
    <t xml:space="preserve"> مرتضوی</t>
  </si>
  <si>
    <t>صالح</t>
  </si>
  <si>
    <t>صدراله</t>
  </si>
  <si>
    <t xml:space="preserve"> وهابی</t>
  </si>
  <si>
    <t>سید ناصر</t>
  </si>
  <si>
    <t xml:space="preserve"> سجادی</t>
  </si>
  <si>
    <t xml:space="preserve"> میر نظامی</t>
  </si>
  <si>
    <t xml:space="preserve"> قاضی</t>
  </si>
  <si>
    <t xml:space="preserve"> صدرعاملی</t>
  </si>
  <si>
    <t>سید ابوالفضل</t>
  </si>
  <si>
    <t xml:space="preserve"> مرتضی دهقانی</t>
  </si>
  <si>
    <t>سهراب</t>
  </si>
  <si>
    <t>وضعیت سنگ چک</t>
  </si>
  <si>
    <t>ادرس روی سنگ 16/11/29 خورده</t>
  </si>
  <si>
    <t>طالبی حقگو</t>
  </si>
  <si>
    <t>(فریدون) خامه</t>
  </si>
  <si>
    <t>4 م</t>
  </si>
  <si>
    <t xml:space="preserve"> م114</t>
  </si>
  <si>
    <t>حسینی ماهینی</t>
  </si>
  <si>
    <t>اختیاری بزرگ</t>
  </si>
  <si>
    <t>بابا سنگانی</t>
  </si>
  <si>
    <t>بهرام موسوی</t>
  </si>
  <si>
    <t>طهانی</t>
  </si>
  <si>
    <t>صبحی</t>
  </si>
  <si>
    <t>بکماز</t>
  </si>
  <si>
    <t>قبه</t>
  </si>
  <si>
    <t>خدادادی</t>
  </si>
  <si>
    <t>پور علی</t>
  </si>
  <si>
    <t>سالاوند</t>
  </si>
  <si>
    <t>ابوعطا</t>
  </si>
  <si>
    <t>الحیدری</t>
  </si>
  <si>
    <t>علی(کامران)</t>
  </si>
  <si>
    <t>طوافی</t>
  </si>
  <si>
    <t>پوراسد مهربانی</t>
  </si>
  <si>
    <t>ابراهیم پور زندی</t>
  </si>
  <si>
    <t>صداقت</t>
  </si>
  <si>
    <t>1404/09/04 مونث  کریستال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</si>
</sst>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3" x14ac:knownFonts="1">
    <font>
      <sz val="11"/>
      <color theme="1"/>
      <name val="Calibri"/>
      <family val="2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8"/>
      <name val="Calibri"/>
      <family val="2"/>
    </font>
    <font>
      <sz val="8"/>
      <name val="Calibri"/>
      <family val="2"/>
    </font>
    <font>
      <sz val="14"/>
      <color indexed="8"/>
      <name val="B Zar"/>
      <charset val="178"/>
    </font>
    <font>
      <b/>
      <sz val="10"/>
      <color indexed="10"/>
      <name val="B Zar"/>
      <charset val="178"/>
    </font>
    <font>
      <b/>
      <sz val="11"/>
      <name val="B Zar"/>
      <charset val="178"/>
    </font>
    <font>
      <sz val="12"/>
      <color indexed="8"/>
      <name val="B Zar"/>
      <charset val="178"/>
    </font>
    <font>
      <sz val="10.5"/>
      <color indexed="8"/>
      <name val="B Zar"/>
      <charset val="178"/>
    </font>
    <font>
      <sz val="11"/>
      <color theme="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1"/>
      <name val="Calibri"/>
      <family val="2"/>
      <charset val="178"/>
      <scheme val="minor"/>
    </font>
    <font>
      <b/>
      <sz val="11"/>
      <color theme="1"/>
      <name val="Calibri"/>
      <family val="2"/>
      <scheme val="minor"/>
    </font>
    <font>
      <sz val="11"/>
      <color theme="1"/>
      <name val="B Nazanin"/>
      <charset val="178"/>
    </font>
    <font>
      <sz val="11"/>
      <color rgb="FF000000"/>
      <name val="B Nazanin"/>
      <charset val="178"/>
    </font>
    <font>
      <sz val="12"/>
      <color theme="1"/>
      <name val="B Nazanin"/>
      <charset val="178"/>
    </font>
    <font>
      <sz val="11"/>
      <color rgb="FFFF0000"/>
      <name val="B Nazanin"/>
      <charset val="178"/>
    </font>
    <font>
      <b/>
      <sz val="11"/>
      <color theme="1"/>
      <name val="B Nazanin"/>
      <charset val="178"/>
    </font>
    <font>
      <b/>
      <sz val="12"/>
      <color theme="1"/>
      <name val="B Nazanin"/>
      <charset val="178"/>
    </font>
    <font>
      <b/>
      <sz val="11"/>
      <color rgb="FF000000"/>
      <name val="B Nazanin"/>
      <charset val="178"/>
    </font>
    <font>
      <sz val="9"/>
      <color theme="1"/>
      <name val="Calibri"/>
      <family val="2"/>
      <scheme val="minor"/>
    </font>
    <font>
      <sz val="11"/>
      <color theme="1"/>
      <name val="B Zar"/>
      <charset val="178"/>
    </font>
    <font>
      <b/>
      <sz val="11"/>
      <color theme="1"/>
      <name val="B Zar"/>
      <charset val="178"/>
    </font>
    <font>
      <sz val="12"/>
      <color theme="1"/>
      <name val="B Zar"/>
      <charset val="178"/>
    </font>
    <font>
      <sz val="14"/>
      <color theme="0"/>
      <name val="B Zar"/>
      <charset val="178"/>
    </font>
    <font>
      <sz val="11"/>
      <color theme="0"/>
      <name val="B Zar"/>
      <charset val="178"/>
    </font>
    <font>
      <sz val="11"/>
      <name val="Calibri"/>
      <family val="2"/>
      <scheme val="minor"/>
    </font>
    <font>
      <sz val="11"/>
      <color theme="0"/>
      <name val="B Titr"/>
      <charset val="178"/>
    </font>
    <font>
      <b/>
      <sz val="16"/>
      <color theme="1"/>
      <name val="B Nazanin"/>
      <charset val="178"/>
    </font>
    <font>
      <sz val="16"/>
      <color theme="1"/>
      <name val="B Nazanin"/>
      <charset val="178"/>
    </font>
    <font>
      <b/>
      <sz val="16"/>
      <color theme="0"/>
      <name val="B Nazanin"/>
      <charset val="178"/>
    </font>
    <font>
      <sz val="10.5"/>
      <color theme="1"/>
      <name val="B Zar"/>
      <charset val="178"/>
    </font>
  </fonts>
  <fills count="2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1" tint="4.9989318521683403E-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4" tint="-0.49998474074526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4" tint="0.79998168889431442"/>
        <bgColor indexed="64"/>
      </patternFill>
    </fill>
  </fills>
  <borders count="3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</borders>
  <cellStyleXfs count="2">
    <xf numFmtId="0" fontId="0" fillId="0" borderId="0"/>
    <xf numFmtId="0" fontId="12" fillId="0" borderId="0"/>
  </cellStyleXfs>
  <cellXfs count="239">
    <xf numFmtId="0" fontId="0" fillId="0" borderId="0" xfId="0"/>
    <xf numFmtId="0" fontId="14" fillId="0" borderId="1" xfId="0" applyFont="1" applyBorder="1" applyAlignment="1">
      <alignment horizontal="center" vertical="center"/>
    </xf>
    <xf numFmtId="0" fontId="15" fillId="0" borderId="1" xfId="0" applyFont="1" applyBorder="1" applyAlignment="1">
      <alignment horizontal="center" vertical="center" wrapText="1" readingOrder="2"/>
    </xf>
    <xf numFmtId="0" fontId="14" fillId="0" borderId="2" xfId="0" applyFont="1" applyBorder="1" applyAlignment="1">
      <alignment horizontal="center" vertical="center"/>
    </xf>
    <xf numFmtId="0" fontId="15" fillId="0" borderId="3" xfId="0" applyFont="1" applyBorder="1" applyAlignment="1">
      <alignment horizontal="center" vertical="center"/>
    </xf>
    <xf numFmtId="0" fontId="15" fillId="0" borderId="2" xfId="0" applyFont="1" applyBorder="1" applyAlignment="1">
      <alignment horizontal="center" vertical="center" readingOrder="2"/>
    </xf>
    <xf numFmtId="0" fontId="14" fillId="0" borderId="4" xfId="0" applyFont="1" applyBorder="1" applyAlignment="1">
      <alignment horizontal="center" vertical="center"/>
    </xf>
    <xf numFmtId="0" fontId="16" fillId="2" borderId="1" xfId="0" applyFont="1" applyFill="1" applyBorder="1" applyAlignment="1">
      <alignment horizontal="center" vertical="center"/>
    </xf>
    <xf numFmtId="0" fontId="16" fillId="2" borderId="2" xfId="0" applyFont="1" applyFill="1" applyBorder="1" applyAlignment="1">
      <alignment horizontal="center" vertical="center"/>
    </xf>
    <xf numFmtId="0" fontId="16" fillId="2" borderId="4" xfId="0" applyFont="1" applyFill="1" applyBorder="1" applyAlignment="1">
      <alignment horizontal="center" vertical="center"/>
    </xf>
    <xf numFmtId="0" fontId="17" fillId="0" borderId="2" xfId="0" applyFont="1" applyBorder="1" applyAlignment="1">
      <alignment horizontal="center" vertical="center" readingOrder="2"/>
    </xf>
    <xf numFmtId="0" fontId="16" fillId="2" borderId="5" xfId="0" applyFont="1" applyFill="1" applyBorder="1" applyAlignment="1">
      <alignment horizontal="center" vertical="center"/>
    </xf>
    <xf numFmtId="0" fontId="16" fillId="2" borderId="6" xfId="0" applyFont="1" applyFill="1" applyBorder="1" applyAlignment="1">
      <alignment horizontal="center" vertical="center"/>
    </xf>
    <xf numFmtId="0" fontId="16" fillId="2" borderId="7" xfId="0" applyFont="1" applyFill="1" applyBorder="1" applyAlignment="1">
      <alignment horizontal="center" vertical="center"/>
    </xf>
    <xf numFmtId="0" fontId="14" fillId="0" borderId="8" xfId="0" applyFont="1" applyBorder="1" applyAlignment="1">
      <alignment horizontal="center" vertical="center"/>
    </xf>
    <xf numFmtId="0" fontId="16" fillId="2" borderId="8" xfId="0" applyFont="1" applyFill="1" applyBorder="1" applyAlignment="1">
      <alignment horizontal="center" vertical="center"/>
    </xf>
    <xf numFmtId="0" fontId="16" fillId="2" borderId="9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6" fillId="2" borderId="10" xfId="0" applyFont="1" applyFill="1" applyBorder="1" applyAlignment="1">
      <alignment horizontal="center" vertical="center"/>
    </xf>
    <xf numFmtId="0" fontId="16" fillId="2" borderId="11" xfId="0" applyFont="1" applyFill="1" applyBorder="1" applyAlignment="1">
      <alignment horizontal="center" vertical="center"/>
    </xf>
    <xf numFmtId="0" fontId="16" fillId="2" borderId="12" xfId="0" applyFont="1" applyFill="1" applyBorder="1" applyAlignment="1">
      <alignment horizontal="center" vertical="center"/>
    </xf>
    <xf numFmtId="0" fontId="16" fillId="2" borderId="13" xfId="0" applyFont="1" applyFill="1" applyBorder="1" applyAlignment="1">
      <alignment horizontal="center" vertical="center"/>
    </xf>
    <xf numFmtId="0" fontId="16" fillId="0" borderId="1" xfId="0" applyFont="1" applyBorder="1" applyAlignment="1">
      <alignment horizontal="center" vertical="center"/>
    </xf>
    <xf numFmtId="0" fontId="16" fillId="0" borderId="0" xfId="0" applyFont="1" applyAlignment="1">
      <alignment horizontal="center" vertical="center"/>
    </xf>
    <xf numFmtId="0" fontId="16" fillId="3" borderId="1" xfId="0" applyFont="1" applyFill="1" applyBorder="1" applyAlignment="1">
      <alignment horizontal="center" vertical="center"/>
    </xf>
    <xf numFmtId="0" fontId="18" fillId="0" borderId="14" xfId="0" applyFont="1" applyBorder="1" applyAlignment="1">
      <alignment horizontal="center" vertical="center" wrapText="1"/>
    </xf>
    <xf numFmtId="0" fontId="18" fillId="0" borderId="15" xfId="0" applyFont="1" applyBorder="1" applyAlignment="1">
      <alignment horizontal="center" vertical="center" wrapText="1"/>
    </xf>
    <xf numFmtId="0" fontId="19" fillId="0" borderId="1" xfId="0" applyFont="1" applyBorder="1" applyAlignment="1">
      <alignment horizontal="center" vertical="center"/>
    </xf>
    <xf numFmtId="0" fontId="14" fillId="4" borderId="8" xfId="0" applyFont="1" applyFill="1" applyBorder="1" applyAlignment="1">
      <alignment horizontal="center" vertical="center"/>
    </xf>
    <xf numFmtId="0" fontId="16" fillId="4" borderId="8" xfId="0" applyFont="1" applyFill="1" applyBorder="1" applyAlignment="1">
      <alignment horizontal="center" vertical="center"/>
    </xf>
    <xf numFmtId="0" fontId="16" fillId="4" borderId="9" xfId="0" applyFont="1" applyFill="1" applyBorder="1" applyAlignment="1">
      <alignment horizontal="center" vertical="center"/>
    </xf>
    <xf numFmtId="0" fontId="16" fillId="4" borderId="12" xfId="0" applyFont="1" applyFill="1" applyBorder="1" applyAlignment="1">
      <alignment horizontal="center" vertical="center"/>
    </xf>
    <xf numFmtId="0" fontId="14" fillId="3" borderId="8" xfId="0" applyFont="1" applyFill="1" applyBorder="1" applyAlignment="1">
      <alignment horizontal="center" vertical="center"/>
    </xf>
    <xf numFmtId="0" fontId="16" fillId="3" borderId="8" xfId="0" applyFont="1" applyFill="1" applyBorder="1" applyAlignment="1">
      <alignment horizontal="center" vertical="center"/>
    </xf>
    <xf numFmtId="0" fontId="16" fillId="3" borderId="9" xfId="0" applyFont="1" applyFill="1" applyBorder="1" applyAlignment="1">
      <alignment horizontal="center" vertical="center"/>
    </xf>
    <xf numFmtId="0" fontId="16" fillId="3" borderId="12" xfId="0" applyFont="1" applyFill="1" applyBorder="1" applyAlignment="1">
      <alignment horizontal="center" vertical="center"/>
    </xf>
    <xf numFmtId="0" fontId="20" fillId="0" borderId="1" xfId="0" applyFont="1" applyBorder="1" applyAlignment="1">
      <alignment horizontal="center" vertical="center" wrapText="1" readingOrder="2"/>
    </xf>
    <xf numFmtId="0" fontId="14" fillId="0" borderId="12" xfId="0" applyFont="1" applyBorder="1" applyAlignment="1">
      <alignment horizontal="center" vertical="center"/>
    </xf>
    <xf numFmtId="0" fontId="18" fillId="0" borderId="16" xfId="0" applyFont="1" applyBorder="1" applyAlignment="1">
      <alignment horizontal="center" vertical="center" wrapText="1"/>
    </xf>
    <xf numFmtId="0" fontId="18" fillId="0" borderId="17" xfId="0" applyFont="1" applyBorder="1" applyAlignment="1">
      <alignment horizontal="center" vertical="center" wrapText="1"/>
    </xf>
    <xf numFmtId="0" fontId="18" fillId="4" borderId="17" xfId="0" applyFont="1" applyFill="1" applyBorder="1" applyAlignment="1">
      <alignment horizontal="center" vertical="center" wrapText="1"/>
    </xf>
    <xf numFmtId="0" fontId="18" fillId="3" borderId="17" xfId="0" applyFont="1" applyFill="1" applyBorder="1" applyAlignment="1">
      <alignment horizontal="center" vertical="center" wrapText="1"/>
    </xf>
    <xf numFmtId="0" fontId="0" fillId="0" borderId="0" xfId="0" applyAlignment="1">
      <alignment wrapText="1"/>
    </xf>
    <xf numFmtId="0" fontId="14" fillId="0" borderId="5" xfId="1" applyFont="1" applyBorder="1" applyAlignment="1">
      <alignment horizontal="center" vertical="center" wrapText="1"/>
    </xf>
    <xf numFmtId="0" fontId="14" fillId="0" borderId="6" xfId="1" applyFont="1" applyBorder="1" applyAlignment="1">
      <alignment horizontal="center" vertical="center" wrapText="1"/>
    </xf>
    <xf numFmtId="0" fontId="14" fillId="0" borderId="2" xfId="1" applyFont="1" applyBorder="1" applyAlignment="1">
      <alignment horizontal="center" vertical="center" wrapText="1"/>
    </xf>
    <xf numFmtId="0" fontId="14" fillId="0" borderId="1" xfId="1" applyFont="1" applyBorder="1" applyAlignment="1">
      <alignment horizontal="center" vertical="center" wrapText="1"/>
    </xf>
    <xf numFmtId="0" fontId="14" fillId="5" borderId="2" xfId="1" applyFont="1" applyFill="1" applyBorder="1" applyAlignment="1">
      <alignment horizontal="center" vertical="center" wrapText="1"/>
    </xf>
    <xf numFmtId="0" fontId="14" fillId="2" borderId="1" xfId="1" applyFont="1" applyFill="1" applyBorder="1" applyAlignment="1">
      <alignment horizontal="center" vertical="center" wrapText="1"/>
    </xf>
    <xf numFmtId="0" fontId="16" fillId="2" borderId="2" xfId="0" applyFont="1" applyFill="1" applyBorder="1" applyAlignment="1">
      <alignment horizontal="center" vertical="center" wrapText="1"/>
    </xf>
    <xf numFmtId="0" fontId="16" fillId="2" borderId="1" xfId="0" applyFont="1" applyFill="1" applyBorder="1" applyAlignment="1">
      <alignment horizontal="center" vertical="center" wrapText="1"/>
    </xf>
    <xf numFmtId="0" fontId="16" fillId="5" borderId="2" xfId="0" applyFont="1" applyFill="1" applyBorder="1" applyAlignment="1">
      <alignment horizontal="center" vertical="center" wrapText="1"/>
    </xf>
    <xf numFmtId="0" fontId="0" fillId="0" borderId="0" xfId="0" applyBorder="1" applyAlignment="1">
      <alignment wrapText="1"/>
    </xf>
    <xf numFmtId="0" fontId="19" fillId="2" borderId="1" xfId="0" applyFont="1" applyFill="1" applyBorder="1" applyAlignment="1">
      <alignment horizontal="center" vertical="center" wrapText="1"/>
    </xf>
    <xf numFmtId="0" fontId="0" fillId="2" borderId="0" xfId="0" applyFill="1" applyBorder="1" applyAlignment="1">
      <alignment wrapText="1"/>
    </xf>
    <xf numFmtId="0" fontId="0" fillId="2" borderId="0" xfId="0" applyFill="1" applyAlignment="1">
      <alignment wrapText="1"/>
    </xf>
    <xf numFmtId="0" fontId="18" fillId="4" borderId="18" xfId="0" applyFont="1" applyFill="1" applyBorder="1" applyAlignment="1">
      <alignment horizontal="center" vertical="center" wrapText="1"/>
    </xf>
    <xf numFmtId="0" fontId="18" fillId="3" borderId="18" xfId="0" applyFont="1" applyFill="1" applyBorder="1" applyAlignment="1">
      <alignment horizontal="center" vertical="center" wrapText="1"/>
    </xf>
    <xf numFmtId="0" fontId="18" fillId="4" borderId="19" xfId="0" applyFont="1" applyFill="1" applyBorder="1" applyAlignment="1">
      <alignment horizontal="center" vertical="center" wrapText="1"/>
    </xf>
    <xf numFmtId="0" fontId="18" fillId="3" borderId="19" xfId="0" applyFont="1" applyFill="1" applyBorder="1" applyAlignment="1">
      <alignment horizontal="center" vertical="center" wrapText="1"/>
    </xf>
    <xf numFmtId="0" fontId="18" fillId="2" borderId="0" xfId="0" applyFont="1" applyFill="1" applyBorder="1" applyAlignment="1">
      <alignment horizontal="center" vertical="center" wrapText="1"/>
    </xf>
    <xf numFmtId="0" fontId="16" fillId="2" borderId="11" xfId="0" applyFont="1" applyFill="1" applyBorder="1" applyAlignment="1">
      <alignment horizontal="center" vertical="center" wrapText="1"/>
    </xf>
    <xf numFmtId="0" fontId="14" fillId="0" borderId="20" xfId="1" applyFont="1" applyBorder="1" applyAlignment="1">
      <alignment horizontal="center" vertical="center" wrapText="1"/>
    </xf>
    <xf numFmtId="0" fontId="0" fillId="0" borderId="1" xfId="0" applyBorder="1" applyAlignment="1">
      <alignment wrapText="1"/>
    </xf>
    <xf numFmtId="0" fontId="18" fillId="4" borderId="1" xfId="0" applyFont="1" applyFill="1" applyBorder="1" applyAlignment="1">
      <alignment horizontal="center" vertical="center" wrapText="1"/>
    </xf>
    <xf numFmtId="0" fontId="18" fillId="3" borderId="1" xfId="0" applyFont="1" applyFill="1" applyBorder="1" applyAlignment="1">
      <alignment horizontal="center" vertical="center" wrapText="1"/>
    </xf>
    <xf numFmtId="0" fontId="14" fillId="0" borderId="6" xfId="0" applyFont="1" applyBorder="1" applyAlignment="1">
      <alignment horizontal="center" vertical="center" wrapText="1"/>
    </xf>
    <xf numFmtId="0" fontId="14" fillId="0" borderId="1" xfId="0" applyFont="1" applyBorder="1" applyAlignment="1">
      <alignment horizontal="center" vertical="center" wrapText="1"/>
    </xf>
    <xf numFmtId="0" fontId="14" fillId="2" borderId="1" xfId="0" applyFont="1" applyFill="1" applyBorder="1" applyAlignment="1">
      <alignment horizontal="center" vertical="center" wrapText="1"/>
    </xf>
    <xf numFmtId="0" fontId="14" fillId="5" borderId="1" xfId="0" applyFont="1" applyFill="1" applyBorder="1" applyAlignment="1">
      <alignment horizontal="center" vertical="center" wrapText="1"/>
    </xf>
    <xf numFmtId="0" fontId="13" fillId="0" borderId="0" xfId="0" applyFont="1" applyAlignment="1">
      <alignment wrapText="1"/>
    </xf>
    <xf numFmtId="0" fontId="14" fillId="0" borderId="11" xfId="0" applyFont="1" applyBorder="1" applyAlignment="1">
      <alignment horizontal="center" vertical="center" wrapText="1"/>
    </xf>
    <xf numFmtId="0" fontId="14" fillId="0" borderId="20" xfId="0" applyFont="1" applyBorder="1" applyAlignment="1">
      <alignment horizontal="center" vertical="center" wrapText="1"/>
    </xf>
    <xf numFmtId="0" fontId="13" fillId="0" borderId="1" xfId="0" applyFont="1" applyBorder="1" applyAlignment="1">
      <alignment wrapText="1"/>
    </xf>
    <xf numFmtId="0" fontId="14" fillId="0" borderId="21" xfId="0" applyFont="1" applyBorder="1" applyAlignment="1">
      <alignment horizontal="center" vertical="center" wrapText="1"/>
    </xf>
    <xf numFmtId="0" fontId="15" fillId="0" borderId="6" xfId="0" applyFont="1" applyBorder="1" applyAlignment="1">
      <alignment horizontal="center" vertical="center" wrapText="1"/>
    </xf>
    <xf numFmtId="0" fontId="15" fillId="0" borderId="6" xfId="0" applyFont="1" applyBorder="1" applyAlignment="1">
      <alignment horizontal="center" vertical="center" wrapText="1" readingOrder="2"/>
    </xf>
    <xf numFmtId="0" fontId="15" fillId="0" borderId="1" xfId="0" applyFont="1" applyBorder="1" applyAlignment="1">
      <alignment horizontal="center" vertical="center" wrapText="1"/>
    </xf>
    <xf numFmtId="0" fontId="14" fillId="6" borderId="1" xfId="0" applyFont="1" applyFill="1" applyBorder="1" applyAlignment="1">
      <alignment horizontal="center" vertical="center" wrapText="1"/>
    </xf>
    <xf numFmtId="0" fontId="15" fillId="2" borderId="1" xfId="0" applyFont="1" applyFill="1" applyBorder="1" applyAlignment="1">
      <alignment horizontal="center" vertical="center" wrapText="1" readingOrder="2"/>
    </xf>
    <xf numFmtId="0" fontId="15" fillId="5" borderId="1" xfId="0" applyFont="1" applyFill="1" applyBorder="1" applyAlignment="1">
      <alignment horizontal="center" vertical="center" wrapText="1" readingOrder="2"/>
    </xf>
    <xf numFmtId="0" fontId="16" fillId="6" borderId="1" xfId="0" applyFont="1" applyFill="1" applyBorder="1" applyAlignment="1">
      <alignment horizontal="center" vertical="center" wrapText="1"/>
    </xf>
    <xf numFmtId="0" fontId="18" fillId="0" borderId="22" xfId="0" applyFont="1" applyBorder="1" applyAlignment="1">
      <alignment horizontal="center" vertical="center" wrapText="1"/>
    </xf>
    <xf numFmtId="0" fontId="18" fillId="0" borderId="23" xfId="0" applyFont="1" applyBorder="1" applyAlignment="1">
      <alignment horizontal="center" vertical="center" wrapText="1"/>
    </xf>
    <xf numFmtId="0" fontId="14" fillId="0" borderId="1" xfId="0" applyFont="1" applyFill="1" applyBorder="1" applyAlignment="1">
      <alignment horizontal="center" vertical="center" wrapText="1"/>
    </xf>
    <xf numFmtId="0" fontId="21" fillId="0" borderId="0" xfId="0" applyFont="1" applyAlignment="1">
      <alignment horizontal="center" vertical="center" wrapText="1"/>
    </xf>
    <xf numFmtId="0" fontId="16" fillId="5" borderId="1" xfId="0" applyFont="1" applyFill="1" applyBorder="1" applyAlignment="1">
      <alignment horizontal="center" vertical="center" wrapText="1"/>
    </xf>
    <xf numFmtId="0" fontId="0" fillId="0" borderId="11" xfId="0" applyBorder="1" applyAlignment="1">
      <alignment wrapText="1"/>
    </xf>
    <xf numFmtId="0" fontId="13" fillId="2" borderId="0" xfId="0" applyFont="1" applyFill="1" applyBorder="1" applyAlignment="1">
      <alignment wrapText="1"/>
    </xf>
    <xf numFmtId="0" fontId="19" fillId="2" borderId="0" xfId="0" applyFont="1" applyFill="1" applyBorder="1" applyAlignment="1">
      <alignment horizontal="center" vertical="center" wrapText="1"/>
    </xf>
    <xf numFmtId="0" fontId="13" fillId="0" borderId="0" xfId="0" applyFont="1" applyBorder="1" applyAlignment="1">
      <alignment wrapText="1"/>
    </xf>
    <xf numFmtId="0" fontId="18" fillId="0" borderId="24" xfId="0" applyFont="1" applyBorder="1" applyAlignment="1">
      <alignment horizontal="center" vertical="center" wrapText="1"/>
    </xf>
    <xf numFmtId="0" fontId="18" fillId="0" borderId="25" xfId="0" applyFont="1" applyBorder="1" applyAlignment="1">
      <alignment horizontal="center" vertical="center" wrapText="1"/>
    </xf>
    <xf numFmtId="0" fontId="18" fillId="0" borderId="26" xfId="0" applyFont="1" applyBorder="1" applyAlignment="1">
      <alignment horizontal="center" vertical="center" wrapText="1"/>
    </xf>
    <xf numFmtId="0" fontId="18" fillId="0" borderId="27" xfId="0" applyFont="1" applyBorder="1" applyAlignment="1">
      <alignment horizontal="center" vertical="center" wrapText="1"/>
    </xf>
    <xf numFmtId="0" fontId="15" fillId="0" borderId="11" xfId="0" applyFont="1" applyBorder="1" applyAlignment="1">
      <alignment horizontal="center" vertical="center" wrapText="1" readingOrder="2"/>
    </xf>
    <xf numFmtId="0" fontId="0" fillId="2" borderId="0" xfId="0" applyFill="1" applyAlignment="1">
      <alignment horizontal="center" vertical="center" wrapText="1"/>
    </xf>
    <xf numFmtId="0" fontId="14" fillId="2" borderId="11" xfId="0" applyFont="1" applyFill="1" applyBorder="1" applyAlignment="1">
      <alignment horizontal="center" vertical="center" wrapText="1"/>
    </xf>
    <xf numFmtId="0" fontId="15" fillId="7" borderId="1" xfId="0" applyFont="1" applyFill="1" applyBorder="1" applyAlignment="1">
      <alignment horizontal="center" vertical="center" wrapText="1" readingOrder="2"/>
    </xf>
    <xf numFmtId="0" fontId="14" fillId="0" borderId="1" xfId="0" applyFont="1" applyBorder="1" applyAlignment="1">
      <alignment horizontal="center" vertical="center" wrapText="1" readingOrder="2"/>
    </xf>
    <xf numFmtId="0" fontId="13" fillId="5" borderId="0" xfId="0" applyFont="1" applyFill="1" applyAlignment="1">
      <alignment horizontal="center" vertical="center" wrapText="1"/>
    </xf>
    <xf numFmtId="0" fontId="0" fillId="5" borderId="0" xfId="0" applyFill="1" applyAlignment="1">
      <alignment horizontal="center" vertical="center" wrapText="1"/>
    </xf>
    <xf numFmtId="0" fontId="16" fillId="2" borderId="10" xfId="0" applyFont="1" applyFill="1" applyBorder="1" applyAlignment="1">
      <alignment horizontal="center" vertical="center" wrapText="1"/>
    </xf>
    <xf numFmtId="0" fontId="15" fillId="0" borderId="20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22" fillId="0" borderId="22" xfId="0" applyFont="1" applyBorder="1" applyAlignment="1">
      <alignment horizontal="center" vertical="center" wrapText="1"/>
    </xf>
    <xf numFmtId="0" fontId="23" fillId="0" borderId="16" xfId="0" applyFont="1" applyBorder="1" applyAlignment="1">
      <alignment horizontal="center" vertical="center" wrapText="1"/>
    </xf>
    <xf numFmtId="0" fontId="23" fillId="0" borderId="14" xfId="0" applyFont="1" applyBorder="1" applyAlignment="1">
      <alignment horizontal="center" vertical="center" wrapText="1"/>
    </xf>
    <xf numFmtId="0" fontId="23" fillId="0" borderId="17" xfId="0" applyFont="1" applyBorder="1" applyAlignment="1">
      <alignment horizontal="center" vertical="center" wrapText="1"/>
    </xf>
    <xf numFmtId="0" fontId="23" fillId="4" borderId="17" xfId="0" applyFont="1" applyFill="1" applyBorder="1" applyAlignment="1">
      <alignment horizontal="center" vertical="center" wrapText="1"/>
    </xf>
    <xf numFmtId="0" fontId="23" fillId="3" borderId="17" xfId="0" applyFont="1" applyFill="1" applyBorder="1" applyAlignment="1">
      <alignment horizontal="center" vertical="center" wrapText="1"/>
    </xf>
    <xf numFmtId="0" fontId="23" fillId="0" borderId="15" xfId="0" applyFont="1" applyBorder="1" applyAlignment="1">
      <alignment horizontal="center" vertical="center" wrapText="1"/>
    </xf>
    <xf numFmtId="0" fontId="22" fillId="0" borderId="0" xfId="0" applyFont="1" applyAlignment="1">
      <alignment horizontal="center" vertical="center" wrapText="1"/>
    </xf>
    <xf numFmtId="0" fontId="24" fillId="2" borderId="2" xfId="0" applyFont="1" applyFill="1" applyBorder="1" applyAlignment="1">
      <alignment horizontal="center" vertical="center"/>
    </xf>
    <xf numFmtId="0" fontId="22" fillId="0" borderId="1" xfId="0" applyFont="1" applyBorder="1" applyAlignment="1">
      <alignment horizontal="center" vertical="center"/>
    </xf>
    <xf numFmtId="0" fontId="22" fillId="0" borderId="8" xfId="0" applyFont="1" applyBorder="1" applyAlignment="1">
      <alignment horizontal="center" vertical="center"/>
    </xf>
    <xf numFmtId="0" fontId="22" fillId="4" borderId="8" xfId="0" applyFont="1" applyFill="1" applyBorder="1" applyAlignment="1">
      <alignment horizontal="center" vertical="center"/>
    </xf>
    <xf numFmtId="0" fontId="22" fillId="3" borderId="8" xfId="0" applyFont="1" applyFill="1" applyBorder="1" applyAlignment="1">
      <alignment horizontal="center" vertical="center"/>
    </xf>
    <xf numFmtId="0" fontId="22" fillId="0" borderId="4" xfId="0" applyFont="1" applyBorder="1" applyAlignment="1">
      <alignment horizontal="center" vertical="center"/>
    </xf>
    <xf numFmtId="0" fontId="22" fillId="0" borderId="0" xfId="0" applyFont="1" applyAlignment="1">
      <alignment horizontal="center" vertical="center"/>
    </xf>
    <xf numFmtId="0" fontId="22" fillId="4" borderId="1" xfId="0" applyFont="1" applyFill="1" applyBorder="1" applyAlignment="1">
      <alignment horizontal="center" vertical="center"/>
    </xf>
    <xf numFmtId="0" fontId="22" fillId="3" borderId="1" xfId="0" applyFont="1" applyFill="1" applyBorder="1" applyAlignment="1">
      <alignment horizontal="center" vertical="center"/>
    </xf>
    <xf numFmtId="0" fontId="22" fillId="4" borderId="0" xfId="0" applyFont="1" applyFill="1" applyAlignment="1">
      <alignment horizontal="center" vertical="center"/>
    </xf>
    <xf numFmtId="0" fontId="22" fillId="3" borderId="0" xfId="0" applyFont="1" applyFill="1" applyAlignment="1">
      <alignment horizontal="center" vertical="center"/>
    </xf>
    <xf numFmtId="0" fontId="23" fillId="0" borderId="21" xfId="0" applyFont="1" applyBorder="1" applyAlignment="1">
      <alignment horizontal="center" vertical="center" wrapText="1"/>
    </xf>
    <xf numFmtId="0" fontId="22" fillId="0" borderId="0" xfId="0" applyFont="1" applyAlignment="1">
      <alignment wrapText="1"/>
    </xf>
    <xf numFmtId="0" fontId="23" fillId="0" borderId="6" xfId="0" applyFont="1" applyBorder="1" applyAlignment="1">
      <alignment horizontal="center" vertical="center" wrapText="1"/>
    </xf>
    <xf numFmtId="0" fontId="22" fillId="0" borderId="6" xfId="0" applyFont="1" applyBorder="1" applyAlignment="1">
      <alignment horizontal="center" vertical="center" wrapText="1"/>
    </xf>
    <xf numFmtId="0" fontId="22" fillId="0" borderId="9" xfId="0" applyFont="1" applyBorder="1" applyAlignment="1">
      <alignment horizontal="center" vertical="center" wrapText="1"/>
    </xf>
    <xf numFmtId="0" fontId="22" fillId="4" borderId="9" xfId="0" applyFont="1" applyFill="1" applyBorder="1" applyAlignment="1">
      <alignment horizontal="center" vertical="center" wrapText="1"/>
    </xf>
    <xf numFmtId="0" fontId="22" fillId="3" borderId="8" xfId="0" applyFont="1" applyFill="1" applyBorder="1" applyAlignment="1">
      <alignment horizontal="center" vertical="center" wrapText="1"/>
    </xf>
    <xf numFmtId="0" fontId="22" fillId="0" borderId="1" xfId="0" applyFont="1" applyBorder="1" applyAlignment="1">
      <alignment horizontal="center" vertical="center" wrapText="1"/>
    </xf>
    <xf numFmtId="0" fontId="22" fillId="0" borderId="8" xfId="0" applyFont="1" applyBorder="1" applyAlignment="1">
      <alignment horizontal="center" vertical="center" wrapText="1"/>
    </xf>
    <xf numFmtId="0" fontId="22" fillId="4" borderId="8" xfId="0" applyFont="1" applyFill="1" applyBorder="1" applyAlignment="1">
      <alignment horizontal="center" vertical="center" wrapText="1"/>
    </xf>
    <xf numFmtId="0" fontId="22" fillId="0" borderId="1" xfId="0" applyFont="1" applyFill="1" applyBorder="1" applyAlignment="1">
      <alignment horizontal="center" vertical="center" wrapText="1"/>
    </xf>
    <xf numFmtId="0" fontId="22" fillId="0" borderId="9" xfId="0" applyFont="1" applyFill="1" applyBorder="1" applyAlignment="1">
      <alignment horizontal="center" vertical="center" wrapText="1"/>
    </xf>
    <xf numFmtId="0" fontId="22" fillId="0" borderId="8" xfId="0" applyFont="1" applyFill="1" applyBorder="1" applyAlignment="1">
      <alignment horizontal="center" vertical="center" wrapText="1"/>
    </xf>
    <xf numFmtId="0" fontId="22" fillId="0" borderId="1" xfId="0" applyFont="1" applyBorder="1" applyAlignment="1">
      <alignment wrapText="1"/>
    </xf>
    <xf numFmtId="0" fontId="24" fillId="3" borderId="9" xfId="0" applyFont="1" applyFill="1" applyBorder="1" applyAlignment="1">
      <alignment horizontal="center" vertical="center" wrapText="1"/>
    </xf>
    <xf numFmtId="0" fontId="24" fillId="3" borderId="8" xfId="0" applyFont="1" applyFill="1" applyBorder="1" applyAlignment="1">
      <alignment horizontal="center" vertical="center" wrapText="1"/>
    </xf>
    <xf numFmtId="0" fontId="22" fillId="2" borderId="1" xfId="0" applyFont="1" applyFill="1" applyBorder="1" applyAlignment="1">
      <alignment horizontal="center" vertical="center" wrapText="1"/>
    </xf>
    <xf numFmtId="0" fontId="22" fillId="4" borderId="1" xfId="0" applyFont="1" applyFill="1" applyBorder="1" applyAlignment="1">
      <alignment horizontal="center" vertical="center" wrapText="1"/>
    </xf>
    <xf numFmtId="0" fontId="24" fillId="3" borderId="1" xfId="0" applyFont="1" applyFill="1" applyBorder="1" applyAlignment="1">
      <alignment horizontal="center" vertical="center" wrapText="1"/>
    </xf>
    <xf numFmtId="0" fontId="22" fillId="4" borderId="1" xfId="0" applyFont="1" applyFill="1" applyBorder="1" applyAlignment="1">
      <alignment wrapText="1"/>
    </xf>
    <xf numFmtId="0" fontId="22" fillId="3" borderId="1" xfId="0" applyFont="1" applyFill="1" applyBorder="1" applyAlignment="1">
      <alignment wrapText="1"/>
    </xf>
    <xf numFmtId="0" fontId="22" fillId="0" borderId="2" xfId="0" applyFont="1" applyBorder="1" applyAlignment="1">
      <alignment horizontal="center" vertical="center" wrapText="1"/>
    </xf>
    <xf numFmtId="0" fontId="22" fillId="3" borderId="1" xfId="0" applyFont="1" applyFill="1" applyBorder="1" applyAlignment="1">
      <alignment horizontal="center" vertical="center" wrapText="1"/>
    </xf>
    <xf numFmtId="0" fontId="22" fillId="4" borderId="0" xfId="0" applyFont="1" applyFill="1" applyAlignment="1">
      <alignment wrapText="1"/>
    </xf>
    <xf numFmtId="0" fontId="22" fillId="3" borderId="0" xfId="0" applyFont="1" applyFill="1" applyAlignment="1">
      <alignment horizontal="center" vertical="center" wrapText="1"/>
    </xf>
    <xf numFmtId="0" fontId="22" fillId="8" borderId="1" xfId="0" applyFont="1" applyFill="1" applyBorder="1" applyAlignment="1">
      <alignment horizontal="center" vertical="center" wrapText="1"/>
    </xf>
    <xf numFmtId="0" fontId="22" fillId="5" borderId="1" xfId="0" applyFont="1" applyFill="1" applyBorder="1" applyAlignment="1">
      <alignment horizontal="center" vertical="center" wrapText="1"/>
    </xf>
    <xf numFmtId="0" fontId="22" fillId="5" borderId="6" xfId="0" applyFont="1" applyFill="1" applyBorder="1" applyAlignment="1">
      <alignment horizontal="center" vertical="center" wrapText="1"/>
    </xf>
    <xf numFmtId="0" fontId="25" fillId="5" borderId="1" xfId="0" applyFont="1" applyFill="1" applyBorder="1" applyAlignment="1">
      <alignment horizontal="center" vertical="center" wrapText="1"/>
    </xf>
    <xf numFmtId="0" fontId="24" fillId="2" borderId="1" xfId="0" applyFont="1" applyFill="1" applyBorder="1" applyAlignment="1">
      <alignment horizontal="center" vertical="center" wrapText="1"/>
    </xf>
    <xf numFmtId="0" fontId="24" fillId="2" borderId="6" xfId="0" applyFont="1" applyFill="1" applyBorder="1" applyAlignment="1">
      <alignment horizontal="center" vertical="center" wrapText="1"/>
    </xf>
    <xf numFmtId="0" fontId="22" fillId="0" borderId="11" xfId="0" applyFont="1" applyBorder="1" applyAlignment="1">
      <alignment horizontal="center" vertical="center" wrapText="1"/>
    </xf>
    <xf numFmtId="0" fontId="24" fillId="2" borderId="11" xfId="0" applyFont="1" applyFill="1" applyBorder="1" applyAlignment="1">
      <alignment horizontal="center" vertical="center" wrapText="1"/>
    </xf>
    <xf numFmtId="0" fontId="23" fillId="4" borderId="18" xfId="0" applyFont="1" applyFill="1" applyBorder="1" applyAlignment="1">
      <alignment horizontal="center" vertical="center" wrapText="1"/>
    </xf>
    <xf numFmtId="0" fontId="23" fillId="3" borderId="18" xfId="0" applyFont="1" applyFill="1" applyBorder="1" applyAlignment="1">
      <alignment horizontal="center" vertical="center" wrapText="1"/>
    </xf>
    <xf numFmtId="0" fontId="16" fillId="4" borderId="2" xfId="0" applyFont="1" applyFill="1" applyBorder="1" applyAlignment="1">
      <alignment horizontal="center" vertical="center"/>
    </xf>
    <xf numFmtId="0" fontId="16" fillId="3" borderId="2" xfId="0" applyFont="1" applyFill="1" applyBorder="1" applyAlignment="1">
      <alignment horizontal="center" vertical="center"/>
    </xf>
    <xf numFmtId="0" fontId="26" fillId="9" borderId="1" xfId="0" applyFont="1" applyFill="1" applyBorder="1" applyAlignment="1">
      <alignment horizontal="center" vertical="center"/>
    </xf>
    <xf numFmtId="0" fontId="22" fillId="2" borderId="0" xfId="0" applyFont="1" applyFill="1" applyAlignment="1">
      <alignment horizontal="center" vertical="center"/>
    </xf>
    <xf numFmtId="0" fontId="26" fillId="10" borderId="1" xfId="0" applyFont="1" applyFill="1" applyBorder="1" applyAlignment="1">
      <alignment horizontal="center" vertical="center" wrapText="1"/>
    </xf>
    <xf numFmtId="0" fontId="22" fillId="2" borderId="0" xfId="0" applyFont="1" applyFill="1" applyAlignment="1">
      <alignment wrapText="1"/>
    </xf>
    <xf numFmtId="0" fontId="22" fillId="2" borderId="0" xfId="0" applyFont="1" applyFill="1" applyAlignment="1">
      <alignment horizontal="center" vertical="center" wrapText="1"/>
    </xf>
    <xf numFmtId="0" fontId="22" fillId="5" borderId="0" xfId="0" applyFont="1" applyFill="1" applyAlignment="1">
      <alignment horizontal="center" vertical="center" wrapText="1"/>
    </xf>
    <xf numFmtId="0" fontId="22" fillId="5" borderId="0" xfId="0" applyFont="1" applyFill="1" applyAlignment="1">
      <alignment horizontal="center" vertical="center"/>
    </xf>
    <xf numFmtId="0" fontId="18" fillId="2" borderId="1" xfId="0" applyFont="1" applyFill="1" applyBorder="1" applyAlignment="1">
      <alignment horizontal="center" vertical="center" wrapText="1"/>
    </xf>
    <xf numFmtId="0" fontId="11" fillId="10" borderId="1" xfId="0" applyFont="1" applyFill="1" applyBorder="1" applyAlignment="1">
      <alignment horizontal="center" vertical="center" wrapText="1"/>
    </xf>
    <xf numFmtId="0" fontId="7" fillId="5" borderId="0" xfId="0" applyFont="1" applyFill="1" applyAlignment="1">
      <alignment horizontal="center" vertical="center" wrapText="1"/>
    </xf>
    <xf numFmtId="0" fontId="0" fillId="0" borderId="0" xfId="0" applyBorder="1" applyAlignment="1">
      <alignment horizontal="center" vertical="center" wrapText="1"/>
    </xf>
    <xf numFmtId="0" fontId="23" fillId="4" borderId="1" xfId="0" applyFont="1" applyFill="1" applyBorder="1" applyAlignment="1">
      <alignment horizontal="center" vertical="center" wrapText="1"/>
    </xf>
    <xf numFmtId="0" fontId="23" fillId="3" borderId="1" xfId="0" applyFont="1" applyFill="1" applyBorder="1" applyAlignment="1">
      <alignment horizontal="center" vertical="center" wrapText="1"/>
    </xf>
    <xf numFmtId="0" fontId="27" fillId="5" borderId="0" xfId="0" applyFont="1" applyFill="1" applyAlignment="1">
      <alignment horizontal="center" vertical="center" wrapText="1"/>
    </xf>
    <xf numFmtId="0" fontId="15" fillId="0" borderId="28" xfId="0" applyFont="1" applyFill="1" applyBorder="1" applyAlignment="1">
      <alignment horizontal="center" vertical="center" wrapText="1"/>
    </xf>
    <xf numFmtId="0" fontId="0" fillId="0" borderId="6" xfId="0" applyBorder="1" applyAlignment="1">
      <alignment wrapText="1"/>
    </xf>
    <xf numFmtId="0" fontId="15" fillId="2" borderId="0" xfId="0" applyFont="1" applyFill="1" applyBorder="1" applyAlignment="1">
      <alignment horizontal="center" vertical="center" wrapText="1"/>
    </xf>
    <xf numFmtId="0" fontId="18" fillId="2" borderId="23" xfId="0" applyFont="1" applyFill="1" applyBorder="1" applyAlignment="1">
      <alignment horizontal="center" vertical="center" wrapText="1"/>
    </xf>
    <xf numFmtId="0" fontId="15" fillId="2" borderId="1" xfId="0" applyFont="1" applyFill="1" applyBorder="1" applyAlignment="1">
      <alignment horizontal="center" vertical="center" wrapText="1"/>
    </xf>
    <xf numFmtId="0" fontId="15" fillId="2" borderId="29" xfId="0" applyFont="1" applyFill="1" applyBorder="1" applyAlignment="1">
      <alignment horizontal="center" vertical="center" wrapText="1"/>
    </xf>
    <xf numFmtId="0" fontId="15" fillId="2" borderId="30" xfId="0" applyFont="1" applyFill="1" applyBorder="1" applyAlignment="1">
      <alignment horizontal="center" vertical="center" wrapText="1"/>
    </xf>
    <xf numFmtId="0" fontId="15" fillId="2" borderId="28" xfId="0" applyFont="1" applyFill="1" applyBorder="1" applyAlignment="1">
      <alignment horizontal="center" vertical="center" wrapText="1"/>
    </xf>
    <xf numFmtId="0" fontId="19" fillId="2" borderId="6" xfId="0" applyFont="1" applyFill="1" applyBorder="1" applyAlignment="1">
      <alignment horizontal="center" vertical="center" wrapText="1"/>
    </xf>
    <xf numFmtId="0" fontId="18" fillId="4" borderId="11" xfId="0" applyFont="1" applyFill="1" applyBorder="1" applyAlignment="1">
      <alignment horizontal="center" vertical="center" wrapText="1"/>
    </xf>
    <xf numFmtId="0" fontId="14" fillId="2" borderId="2" xfId="1" applyFont="1" applyFill="1" applyBorder="1" applyAlignment="1">
      <alignment horizontal="center" vertical="center" wrapText="1"/>
    </xf>
    <xf numFmtId="0" fontId="28" fillId="10" borderId="9" xfId="0" applyFont="1" applyFill="1" applyBorder="1" applyAlignment="1">
      <alignment horizontal="center" vertical="center" wrapText="1"/>
    </xf>
    <xf numFmtId="0" fontId="28" fillId="10" borderId="5" xfId="0" applyFont="1" applyFill="1" applyBorder="1" applyAlignment="1">
      <alignment horizontal="center" vertical="center" wrapText="1"/>
    </xf>
    <xf numFmtId="0" fontId="15" fillId="5" borderId="30" xfId="0" applyFont="1" applyFill="1" applyBorder="1" applyAlignment="1">
      <alignment horizontal="center" vertical="center" wrapText="1"/>
    </xf>
    <xf numFmtId="0" fontId="14" fillId="5" borderId="1" xfId="1" applyFont="1" applyFill="1" applyBorder="1" applyAlignment="1">
      <alignment horizontal="center" vertical="center" wrapText="1"/>
    </xf>
    <xf numFmtId="0" fontId="14" fillId="5" borderId="6" xfId="1" applyFont="1" applyFill="1" applyBorder="1" applyAlignment="1">
      <alignment horizontal="center" vertical="center" wrapText="1"/>
    </xf>
    <xf numFmtId="0" fontId="18" fillId="5" borderId="17" xfId="0" applyFont="1" applyFill="1" applyBorder="1" applyAlignment="1">
      <alignment horizontal="center" vertical="center" wrapText="1"/>
    </xf>
    <xf numFmtId="0" fontId="15" fillId="5" borderId="28" xfId="0" applyFont="1" applyFill="1" applyBorder="1" applyAlignment="1">
      <alignment horizontal="center" vertical="center" wrapText="1"/>
    </xf>
    <xf numFmtId="0" fontId="16" fillId="5" borderId="10" xfId="0" applyFont="1" applyFill="1" applyBorder="1" applyAlignment="1">
      <alignment horizontal="center" vertical="center" wrapText="1"/>
    </xf>
    <xf numFmtId="0" fontId="16" fillId="5" borderId="11" xfId="0" applyFont="1" applyFill="1" applyBorder="1" applyAlignment="1">
      <alignment horizontal="center" vertical="center" wrapText="1"/>
    </xf>
    <xf numFmtId="0" fontId="18" fillId="5" borderId="1" xfId="0" applyFont="1" applyFill="1" applyBorder="1" applyAlignment="1">
      <alignment horizontal="center" vertical="center" wrapText="1"/>
    </xf>
    <xf numFmtId="0" fontId="0" fillId="11" borderId="0" xfId="0" applyFill="1" applyAlignment="1">
      <alignment wrapText="1"/>
    </xf>
    <xf numFmtId="0" fontId="10" fillId="2" borderId="0" xfId="0" applyFont="1" applyFill="1" applyAlignment="1">
      <alignment wrapText="1"/>
    </xf>
    <xf numFmtId="0" fontId="14" fillId="2" borderId="6" xfId="1" applyFont="1" applyFill="1" applyBorder="1" applyAlignment="1">
      <alignment horizontal="center" vertical="center" wrapText="1"/>
    </xf>
    <xf numFmtId="0" fontId="16" fillId="2" borderId="5" xfId="0" applyFont="1" applyFill="1" applyBorder="1" applyAlignment="1">
      <alignment horizontal="center" vertical="center" wrapText="1"/>
    </xf>
    <xf numFmtId="0" fontId="16" fillId="2" borderId="6" xfId="0" applyFont="1" applyFill="1" applyBorder="1" applyAlignment="1">
      <alignment horizontal="center" vertical="center" wrapText="1"/>
    </xf>
    <xf numFmtId="0" fontId="22" fillId="0" borderId="1" xfId="0" applyFont="1" applyBorder="1" applyAlignment="1">
      <alignment horizontal="center" vertical="center" wrapText="1" readingOrder="2"/>
    </xf>
    <xf numFmtId="0" fontId="15" fillId="0" borderId="1" xfId="0" applyFont="1" applyBorder="1" applyAlignment="1">
      <alignment horizontal="center" vertical="center"/>
    </xf>
    <xf numFmtId="0" fontId="22" fillId="0" borderId="31" xfId="0" applyFont="1" applyBorder="1" applyAlignment="1">
      <alignment horizontal="center" vertical="center" wrapText="1"/>
    </xf>
    <xf numFmtId="0" fontId="23" fillId="0" borderId="25" xfId="0" applyFont="1" applyBorder="1" applyAlignment="1">
      <alignment horizontal="center" vertical="center" wrapText="1"/>
    </xf>
    <xf numFmtId="0" fontId="23" fillId="0" borderId="26" xfId="0" applyFont="1" applyBorder="1" applyAlignment="1">
      <alignment horizontal="center" vertical="center" wrapText="1"/>
    </xf>
    <xf numFmtId="0" fontId="23" fillId="0" borderId="18" xfId="0" applyFont="1" applyBorder="1" applyAlignment="1">
      <alignment horizontal="center" vertical="center" wrapText="1"/>
    </xf>
    <xf numFmtId="0" fontId="23" fillId="0" borderId="27" xfId="0" applyFont="1" applyBorder="1" applyAlignment="1">
      <alignment horizontal="center" vertical="center" wrapText="1"/>
    </xf>
    <xf numFmtId="0" fontId="16" fillId="4" borderId="1" xfId="0" applyFont="1" applyFill="1" applyBorder="1" applyAlignment="1">
      <alignment horizontal="center" vertical="center"/>
    </xf>
    <xf numFmtId="0" fontId="16" fillId="6" borderId="1" xfId="0" applyFont="1" applyFill="1" applyBorder="1" applyAlignment="1">
      <alignment horizontal="center" vertical="center"/>
    </xf>
    <xf numFmtId="0" fontId="19" fillId="12" borderId="1" xfId="0" applyFont="1" applyFill="1" applyBorder="1" applyAlignment="1">
      <alignment horizontal="center" vertical="center" readingOrder="2"/>
    </xf>
    <xf numFmtId="0" fontId="16" fillId="0" borderId="0" xfId="0" applyFont="1" applyAlignment="1">
      <alignment horizontal="center" vertical="center" readingOrder="2"/>
    </xf>
    <xf numFmtId="0" fontId="19" fillId="13" borderId="1" xfId="0" applyFont="1" applyFill="1" applyBorder="1" applyAlignment="1">
      <alignment horizontal="center" vertical="center" readingOrder="2"/>
    </xf>
    <xf numFmtId="0" fontId="19" fillId="14" borderId="1" xfId="0" applyFont="1" applyFill="1" applyBorder="1" applyAlignment="1">
      <alignment horizontal="center" vertical="center" readingOrder="2"/>
    </xf>
    <xf numFmtId="0" fontId="19" fillId="15" borderId="1" xfId="0" applyFont="1" applyFill="1" applyBorder="1" applyAlignment="1">
      <alignment horizontal="center" vertical="center" readingOrder="2"/>
    </xf>
    <xf numFmtId="0" fontId="19" fillId="16" borderId="1" xfId="0" applyFont="1" applyFill="1" applyBorder="1" applyAlignment="1">
      <alignment horizontal="center" vertical="center" readingOrder="2"/>
    </xf>
    <xf numFmtId="0" fontId="19" fillId="3" borderId="1" xfId="0" applyFont="1" applyFill="1" applyBorder="1" applyAlignment="1">
      <alignment horizontal="center" vertical="center" readingOrder="2"/>
    </xf>
    <xf numFmtId="0" fontId="19" fillId="17" borderId="1" xfId="0" applyFont="1" applyFill="1" applyBorder="1" applyAlignment="1">
      <alignment horizontal="center" vertical="center" wrapText="1" readingOrder="2"/>
    </xf>
    <xf numFmtId="0" fontId="29" fillId="18" borderId="1" xfId="0" applyFont="1" applyFill="1" applyBorder="1" applyAlignment="1">
      <alignment horizontal="center" vertical="center" readingOrder="2"/>
    </xf>
    <xf numFmtId="0" fontId="29" fillId="13" borderId="1" xfId="0" applyFont="1" applyFill="1" applyBorder="1" applyAlignment="1">
      <alignment horizontal="center" vertical="center" readingOrder="2"/>
    </xf>
    <xf numFmtId="0" fontId="30" fillId="0" borderId="1" xfId="0" applyFont="1" applyBorder="1" applyAlignment="1">
      <alignment horizontal="center" vertical="center" readingOrder="2"/>
    </xf>
    <xf numFmtId="10" fontId="30" fillId="0" borderId="1" xfId="0" applyNumberFormat="1" applyFont="1" applyBorder="1" applyAlignment="1">
      <alignment horizontal="center" vertical="center" readingOrder="2"/>
    </xf>
    <xf numFmtId="0" fontId="31" fillId="19" borderId="1" xfId="0" applyFont="1" applyFill="1" applyBorder="1" applyAlignment="1">
      <alignment horizontal="center" vertical="center" readingOrder="2"/>
    </xf>
    <xf numFmtId="0" fontId="31" fillId="15" borderId="1" xfId="0" applyFont="1" applyFill="1" applyBorder="1" applyAlignment="1">
      <alignment horizontal="center" vertical="center" readingOrder="2"/>
    </xf>
    <xf numFmtId="0" fontId="31" fillId="20" borderId="1" xfId="0" applyFont="1" applyFill="1" applyBorder="1" applyAlignment="1">
      <alignment horizontal="center" vertical="center" readingOrder="2"/>
    </xf>
    <xf numFmtId="10" fontId="29" fillId="3" borderId="1" xfId="0" applyNumberFormat="1" applyFont="1" applyFill="1" applyBorder="1" applyAlignment="1">
      <alignment horizontal="center" vertical="center" readingOrder="2"/>
    </xf>
    <xf numFmtId="0" fontId="22" fillId="4" borderId="0" xfId="0" applyFont="1" applyFill="1" applyAlignment="1">
      <alignment horizontal="center" vertical="center" wrapText="1"/>
    </xf>
    <xf numFmtId="0" fontId="18" fillId="4" borderId="32" xfId="0" applyFont="1" applyFill="1" applyBorder="1" applyAlignment="1">
      <alignment horizontal="center" vertical="center" wrapText="1"/>
    </xf>
    <xf numFmtId="0" fontId="18" fillId="3" borderId="32" xfId="0" applyFont="1" applyFill="1" applyBorder="1" applyAlignment="1">
      <alignment horizontal="center" vertical="center" wrapText="1"/>
    </xf>
    <xf numFmtId="0" fontId="22" fillId="21" borderId="1" xfId="0" applyFont="1" applyFill="1" applyBorder="1" applyAlignment="1">
      <alignment horizontal="center" vertical="center"/>
    </xf>
    <xf numFmtId="0" fontId="32" fillId="0" borderId="1" xfId="0" applyFont="1" applyBorder="1" applyAlignment="1">
      <alignment horizontal="right" vertical="center" readingOrder="2"/>
    </xf>
    <xf numFmtId="0" fontId="32" fillId="21" borderId="1" xfId="0" applyFont="1" applyFill="1" applyBorder="1" applyAlignment="1">
      <alignment horizontal="right" vertical="center" readingOrder="2"/>
    </xf>
    <xf numFmtId="0" fontId="24" fillId="0" borderId="1" xfId="0" applyFont="1" applyBorder="1" applyAlignment="1">
      <alignment horizontal="right" vertical="center" readingOrder="2"/>
    </xf>
    <xf numFmtId="0" fontId="15" fillId="21" borderId="1" xfId="0" applyFont="1" applyFill="1" applyBorder="1" applyAlignment="1">
      <alignment horizontal="center" vertical="center" wrapText="1"/>
    </xf>
    <xf numFmtId="0" fontId="15" fillId="21" borderId="1" xfId="0" applyFont="1" applyFill="1" applyBorder="1" applyAlignment="1">
      <alignment horizontal="center" vertical="center" wrapText="1" readingOrder="2"/>
    </xf>
    <xf numFmtId="0" fontId="14" fillId="21" borderId="1" xfId="0" applyFont="1" applyFill="1" applyBorder="1" applyAlignment="1">
      <alignment horizontal="center" vertical="center" wrapText="1"/>
    </xf>
    <xf numFmtId="0" fontId="19" fillId="22" borderId="1" xfId="0" applyFont="1" applyFill="1" applyBorder="1" applyAlignment="1">
      <alignment horizontal="center" vertical="center" readingOrder="2"/>
    </xf>
    <xf numFmtId="0" fontId="19" fillId="23" borderId="1" xfId="0" applyFont="1" applyFill="1" applyBorder="1" applyAlignment="1">
      <alignment horizontal="center" vertical="center" readingOrder="2"/>
    </xf>
    <xf numFmtId="0" fontId="19" fillId="24" borderId="1" xfId="0" applyFont="1" applyFill="1" applyBorder="1" applyAlignment="1">
      <alignment horizontal="center" vertical="center" readingOrder="2"/>
    </xf>
  </cellXfs>
  <cellStyles count="2">
    <cellStyle name="Normal" xfId="0" builtinId="0"/>
    <cellStyle name="Normal 2" xfId="1" xr:uid="{9E65A9EF-78F8-4DF8-BACE-6E4FCBCF8830}"/>
  </cellStyles>
  <dxfs count="5">
    <dxf>
      <border outline="0">
        <right style="thin">
          <color indexed="64"/>
        </right>
        <bottom style="thin">
          <color indexed="64"/>
        </bottom>
      </border>
    </dxf>
    <dxf>
      <fill>
        <patternFill>
          <fgColor indexed="64"/>
          <bgColor theme="0"/>
        </patternFill>
      </fill>
      <alignment textRotation="0" wrapText="1" justifyLastLine="0" shrinkToFit="0" readingOrder="0"/>
    </dxf>
    <dxf>
      <fill>
        <patternFill>
          <fgColor indexed="64"/>
          <bgColor theme="0"/>
        </patternFill>
      </fill>
      <alignment textRotation="0" wrapTex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B Nazanin"/>
        <charset val="178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border diagonalUp="0" diagonalDown="0">
        <left/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B Nazanin"/>
        <charset val="178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FF3C5F8-BCB9-4955-B188-C705166CBC36}" name="Table1" displayName="Table1" ref="B1:C554" totalsRowShown="0" headerRowDxfId="2" dataDxfId="1" tableBorderDxfId="0">
  <autoFilter ref="B1:C554" xr:uid="{AC6FDF6B-A66E-4368-BBC8-10A1AC8B26F3}"/>
  <sortState xmlns:xlrd2="http://schemas.microsoft.com/office/spreadsheetml/2017/richdata2" ref="B2:C553">
    <sortCondition ref="B1:B553"/>
  </sortState>
  <tableColumns count="2">
    <tableColumn id="1" xr3:uid="{00000000-0010-0000-0100-000001000000}" name="ردیف" dataDxfId="4"/>
    <tableColumn id="2" xr3:uid="{00000000-0010-0000-0100-000002000000}" name="نام" dataDxfId="3"/>
  </tableColumns>
  <tableStyleInfo name="TableStyleLight15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4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CF58F9-F99F-408E-AA38-93FD7F656F01}">
  <dimension ref="A1:R2"/>
  <sheetViews>
    <sheetView rightToLeft="1" workbookViewId="0">
      <selection activeCell="N4" sqref="N4"/>
    </sheetView>
  </sheetViews>
  <sheetFormatPr defaultRowHeight="15" x14ac:dyDescent="0.25"/>
  <cols>
    <col min="4" max="4" width="14.7109375" customWidth="1"/>
  </cols>
  <sheetData>
    <row r="1" spans="1:18" ht="58.5" x14ac:dyDescent="0.25">
      <c r="A1" s="112"/>
      <c r="B1" s="203" t="s">
        <v>0</v>
      </c>
      <c r="C1" s="204" t="s">
        <v>420</v>
      </c>
      <c r="D1" s="204" t="s">
        <v>419</v>
      </c>
      <c r="E1" s="205" t="s">
        <v>1</v>
      </c>
      <c r="F1" s="205" t="s">
        <v>0</v>
      </c>
      <c r="G1" s="205" t="s">
        <v>2</v>
      </c>
      <c r="H1" s="205" t="s">
        <v>3</v>
      </c>
      <c r="I1" s="205" t="s">
        <v>4</v>
      </c>
      <c r="J1" s="206" t="s">
        <v>27</v>
      </c>
      <c r="K1" s="206" t="s">
        <v>435</v>
      </c>
      <c r="L1" s="157" t="s">
        <v>438</v>
      </c>
      <c r="M1" s="157" t="s">
        <v>439</v>
      </c>
      <c r="N1" s="157" t="s">
        <v>440</v>
      </c>
      <c r="O1" s="158" t="s">
        <v>437</v>
      </c>
      <c r="P1" s="158" t="s">
        <v>436</v>
      </c>
      <c r="Q1" s="158" t="s">
        <v>443</v>
      </c>
      <c r="R1" s="207" t="s">
        <v>441</v>
      </c>
    </row>
    <row r="2" spans="1:18" ht="18.75" x14ac:dyDescent="0.25">
      <c r="A2" s="17"/>
      <c r="B2" s="202">
        <v>1</v>
      </c>
      <c r="C2" s="7" t="s">
        <v>3071</v>
      </c>
      <c r="D2" s="7" t="s">
        <v>3072</v>
      </c>
      <c r="E2" s="7">
        <v>17</v>
      </c>
      <c r="F2" s="7">
        <v>4</v>
      </c>
      <c r="G2" s="7">
        <v>56</v>
      </c>
      <c r="H2" s="7"/>
      <c r="I2" s="7" t="s">
        <v>26</v>
      </c>
      <c r="J2" s="1"/>
      <c r="K2" s="7">
        <v>1</v>
      </c>
      <c r="L2" s="208"/>
      <c r="M2" s="208"/>
      <c r="N2" s="208">
        <v>1</v>
      </c>
      <c r="O2" s="24"/>
      <c r="P2" s="24"/>
      <c r="Q2" s="24"/>
      <c r="R2" s="7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E2F316-D613-49CD-BAF4-10A255B16574}">
  <dimension ref="A1:R600"/>
  <sheetViews>
    <sheetView rightToLeft="1" zoomScale="130" zoomScaleNormal="130" workbookViewId="0">
      <pane ySplit="1" topLeftCell="A103" activePane="bottomLeft" state="frozen"/>
      <selection pane="bottomLeft" activeCell="D58" sqref="D58"/>
    </sheetView>
  </sheetViews>
  <sheetFormatPr defaultRowHeight="19.5" x14ac:dyDescent="0.25"/>
  <cols>
    <col min="1" max="1" width="9.42578125" style="119" customWidth="1"/>
    <col min="2" max="2" width="5.42578125" style="119" customWidth="1"/>
    <col min="3" max="3" width="17.140625" style="119" bestFit="1" customWidth="1"/>
    <col min="4" max="4" width="19.140625" style="119" customWidth="1"/>
    <col min="5" max="5" width="5" style="119" bestFit="1" customWidth="1"/>
    <col min="6" max="6" width="5.42578125" style="119" bestFit="1" customWidth="1"/>
    <col min="7" max="7" width="5.85546875" style="119" bestFit="1" customWidth="1"/>
    <col min="8" max="8" width="11.7109375" style="119" bestFit="1" customWidth="1"/>
    <col min="9" max="9" width="8.5703125" style="119" customWidth="1"/>
    <col min="10" max="10" width="7.85546875" style="119" customWidth="1"/>
    <col min="11" max="11" width="11.42578125" style="122" customWidth="1"/>
    <col min="12" max="12" width="9.85546875" style="122" customWidth="1"/>
    <col min="13" max="13" width="10" style="122" customWidth="1"/>
    <col min="14" max="14" width="13.42578125" style="123" customWidth="1"/>
    <col min="15" max="15" width="10" style="123" customWidth="1"/>
    <col min="16" max="16" width="10.140625" style="123" customWidth="1"/>
    <col min="17" max="17" width="22.28515625" style="119" customWidth="1"/>
    <col min="18" max="18" width="12" style="119" bestFit="1" customWidth="1"/>
    <col min="19" max="16384" width="9.140625" style="119"/>
  </cols>
  <sheetData>
    <row r="1" spans="2:17" s="112" customFormat="1" ht="64.5" customHeight="1" thickBot="1" x14ac:dyDescent="0.3">
      <c r="B1" s="105" t="s">
        <v>0</v>
      </c>
      <c r="C1" s="106" t="s">
        <v>420</v>
      </c>
      <c r="D1" s="106" t="s">
        <v>419</v>
      </c>
      <c r="E1" s="107" t="s">
        <v>1</v>
      </c>
      <c r="F1" s="107" t="s">
        <v>0</v>
      </c>
      <c r="G1" s="107" t="s">
        <v>2</v>
      </c>
      <c r="H1" s="107" t="s">
        <v>4</v>
      </c>
      <c r="I1" s="108" t="s">
        <v>27</v>
      </c>
      <c r="J1" s="108" t="s">
        <v>435</v>
      </c>
      <c r="K1" s="109" t="s">
        <v>438</v>
      </c>
      <c r="L1" s="109" t="s">
        <v>439</v>
      </c>
      <c r="M1" s="109" t="s">
        <v>440</v>
      </c>
      <c r="N1" s="110" t="s">
        <v>437</v>
      </c>
      <c r="O1" s="110" t="s">
        <v>436</v>
      </c>
      <c r="P1" s="110" t="s">
        <v>443</v>
      </c>
      <c r="Q1" s="111" t="s">
        <v>441</v>
      </c>
    </row>
    <row r="2" spans="2:17" s="17" customFormat="1" ht="18.75" x14ac:dyDescent="0.25">
      <c r="B2" s="4">
        <v>1</v>
      </c>
      <c r="C2" s="5" t="s">
        <v>224</v>
      </c>
      <c r="D2" s="5" t="s">
        <v>454</v>
      </c>
      <c r="E2" s="3">
        <v>24</v>
      </c>
      <c r="F2" s="1"/>
      <c r="G2" s="1"/>
      <c r="H2" s="19" t="s">
        <v>26</v>
      </c>
      <c r="I2" s="14"/>
      <c r="J2" s="14">
        <v>1</v>
      </c>
      <c r="K2" s="28"/>
      <c r="L2" s="28"/>
      <c r="M2" s="28"/>
      <c r="N2" s="32"/>
      <c r="O2" s="32"/>
      <c r="P2" s="32"/>
      <c r="Q2" s="6"/>
    </row>
    <row r="3" spans="2:17" s="17" customFormat="1" ht="18" x14ac:dyDescent="0.25">
      <c r="B3" s="4">
        <v>2</v>
      </c>
      <c r="C3" s="5" t="s">
        <v>2958</v>
      </c>
      <c r="D3" s="5" t="s">
        <v>455</v>
      </c>
      <c r="E3" s="3">
        <v>24</v>
      </c>
      <c r="F3" s="1"/>
      <c r="G3" s="1"/>
      <c r="H3" s="1" t="s">
        <v>12</v>
      </c>
      <c r="I3" s="14">
        <v>1</v>
      </c>
      <c r="J3" s="14"/>
      <c r="K3" s="28"/>
      <c r="L3" s="28"/>
      <c r="M3" s="28"/>
      <c r="N3" s="32"/>
      <c r="O3" s="32"/>
      <c r="P3" s="32"/>
      <c r="Q3" s="6"/>
    </row>
    <row r="4" spans="2:17" s="17" customFormat="1" ht="18.75" x14ac:dyDescent="0.25">
      <c r="B4" s="4">
        <v>3</v>
      </c>
      <c r="C4" s="5" t="s">
        <v>456</v>
      </c>
      <c r="D4" s="5" t="s">
        <v>457</v>
      </c>
      <c r="E4" s="3">
        <v>24</v>
      </c>
      <c r="F4" s="1">
        <v>43</v>
      </c>
      <c r="G4" s="1">
        <v>22</v>
      </c>
      <c r="H4" s="19" t="s">
        <v>26</v>
      </c>
      <c r="I4" s="14"/>
      <c r="J4" s="14">
        <v>1</v>
      </c>
      <c r="K4" s="28"/>
      <c r="L4" s="28"/>
      <c r="M4" s="28"/>
      <c r="N4" s="32"/>
      <c r="O4" s="32"/>
      <c r="P4" s="32"/>
      <c r="Q4" s="6"/>
    </row>
    <row r="5" spans="2:17" s="17" customFormat="1" ht="18.75" x14ac:dyDescent="0.25">
      <c r="B5" s="4">
        <v>4</v>
      </c>
      <c r="C5" s="8" t="s">
        <v>219</v>
      </c>
      <c r="D5" s="8" t="s">
        <v>458</v>
      </c>
      <c r="E5" s="3">
        <v>24</v>
      </c>
      <c r="F5" s="1">
        <v>68</v>
      </c>
      <c r="G5" s="1">
        <v>20</v>
      </c>
      <c r="H5" s="19" t="s">
        <v>26</v>
      </c>
      <c r="I5" s="14"/>
      <c r="J5" s="14">
        <v>1</v>
      </c>
      <c r="K5" s="28"/>
      <c r="L5" s="28"/>
      <c r="M5" s="28"/>
      <c r="N5" s="32"/>
      <c r="O5" s="32"/>
      <c r="P5" s="32"/>
      <c r="Q5" s="6"/>
    </row>
    <row r="6" spans="2:17" s="17" customFormat="1" ht="18.75" x14ac:dyDescent="0.25">
      <c r="B6" s="4">
        <v>5</v>
      </c>
      <c r="C6" s="8" t="s">
        <v>136</v>
      </c>
      <c r="D6" s="8" t="s">
        <v>459</v>
      </c>
      <c r="E6" s="3">
        <v>24</v>
      </c>
      <c r="F6" s="1">
        <v>61</v>
      </c>
      <c r="G6" s="1">
        <v>23</v>
      </c>
      <c r="H6" s="1" t="s">
        <v>12</v>
      </c>
      <c r="I6" s="14">
        <v>1</v>
      </c>
      <c r="J6" s="14"/>
      <c r="K6" s="28"/>
      <c r="L6" s="28"/>
      <c r="M6" s="28"/>
      <c r="N6" s="32"/>
      <c r="O6" s="32"/>
      <c r="P6" s="32">
        <v>1</v>
      </c>
      <c r="Q6" s="6"/>
    </row>
    <row r="7" spans="2:17" s="17" customFormat="1" ht="18.75" x14ac:dyDescent="0.25">
      <c r="B7" s="4">
        <v>6</v>
      </c>
      <c r="C7" s="8" t="s">
        <v>219</v>
      </c>
      <c r="D7" s="8" t="s">
        <v>460</v>
      </c>
      <c r="E7" s="3">
        <v>24</v>
      </c>
      <c r="F7" s="1">
        <v>16</v>
      </c>
      <c r="G7" s="1">
        <v>10</v>
      </c>
      <c r="H7" s="1" t="s">
        <v>12</v>
      </c>
      <c r="I7" s="14">
        <v>1</v>
      </c>
      <c r="J7" s="14"/>
      <c r="K7" s="28"/>
      <c r="L7" s="28"/>
      <c r="M7" s="28"/>
      <c r="N7" s="32">
        <v>1</v>
      </c>
      <c r="O7" s="32"/>
      <c r="P7" s="32"/>
      <c r="Q7" s="6"/>
    </row>
    <row r="8" spans="2:17" s="17" customFormat="1" ht="18.75" x14ac:dyDescent="0.25">
      <c r="B8" s="4">
        <v>7</v>
      </c>
      <c r="C8" s="8" t="s">
        <v>219</v>
      </c>
      <c r="D8" s="8" t="s">
        <v>461</v>
      </c>
      <c r="E8" s="3">
        <v>24</v>
      </c>
      <c r="F8" s="1">
        <v>72</v>
      </c>
      <c r="G8" s="1">
        <v>16</v>
      </c>
      <c r="H8" s="19" t="s">
        <v>26</v>
      </c>
      <c r="I8" s="14"/>
      <c r="J8" s="14">
        <v>1</v>
      </c>
      <c r="K8" s="28"/>
      <c r="L8" s="28"/>
      <c r="M8" s="28"/>
      <c r="N8" s="32"/>
      <c r="O8" s="32"/>
      <c r="P8" s="32"/>
      <c r="Q8" s="6"/>
    </row>
    <row r="9" spans="2:17" s="17" customFormat="1" ht="18.75" x14ac:dyDescent="0.25">
      <c r="B9" s="4">
        <v>8</v>
      </c>
      <c r="C9" s="8" t="s">
        <v>462</v>
      </c>
      <c r="D9" s="8" t="s">
        <v>463</v>
      </c>
      <c r="E9" s="3">
        <v>24</v>
      </c>
      <c r="F9" s="1">
        <v>62</v>
      </c>
      <c r="G9" s="1">
        <v>28</v>
      </c>
      <c r="H9" s="19" t="s">
        <v>26</v>
      </c>
      <c r="I9" s="14"/>
      <c r="J9" s="14">
        <v>1</v>
      </c>
      <c r="K9" s="28"/>
      <c r="L9" s="28"/>
      <c r="M9" s="28">
        <v>1</v>
      </c>
      <c r="N9" s="32"/>
      <c r="O9" s="32"/>
      <c r="P9" s="32"/>
      <c r="Q9" s="6"/>
    </row>
    <row r="10" spans="2:17" s="17" customFormat="1" ht="18.75" x14ac:dyDescent="0.25">
      <c r="B10" s="4">
        <v>9</v>
      </c>
      <c r="C10" s="8" t="s">
        <v>219</v>
      </c>
      <c r="D10" s="8" t="s">
        <v>464</v>
      </c>
      <c r="E10" s="3">
        <v>24</v>
      </c>
      <c r="F10" s="1">
        <v>72</v>
      </c>
      <c r="G10" s="1">
        <v>14</v>
      </c>
      <c r="H10" s="19" t="s">
        <v>26</v>
      </c>
      <c r="I10" s="14"/>
      <c r="J10" s="14">
        <v>1</v>
      </c>
      <c r="K10" s="28"/>
      <c r="L10" s="28"/>
      <c r="M10" s="28"/>
      <c r="N10" s="32"/>
      <c r="O10" s="32"/>
      <c r="P10" s="32"/>
      <c r="Q10" s="6"/>
    </row>
    <row r="11" spans="2:17" s="17" customFormat="1" ht="18.75" x14ac:dyDescent="0.25">
      <c r="B11" s="4">
        <v>10</v>
      </c>
      <c r="C11" s="8" t="s">
        <v>136</v>
      </c>
      <c r="D11" s="8" t="s">
        <v>465</v>
      </c>
      <c r="E11" s="3">
        <v>24</v>
      </c>
      <c r="F11" s="1">
        <v>62</v>
      </c>
      <c r="G11" s="1">
        <v>13</v>
      </c>
      <c r="H11" s="1" t="s">
        <v>12</v>
      </c>
      <c r="I11" s="14">
        <v>1</v>
      </c>
      <c r="J11" s="14"/>
      <c r="K11" s="28"/>
      <c r="L11" s="28"/>
      <c r="M11" s="28"/>
      <c r="N11" s="32"/>
      <c r="O11" s="32"/>
      <c r="P11" s="32">
        <v>1</v>
      </c>
      <c r="Q11" s="6"/>
    </row>
    <row r="12" spans="2:17" s="17" customFormat="1" ht="18.75" x14ac:dyDescent="0.25">
      <c r="B12" s="4">
        <v>11</v>
      </c>
      <c r="C12" s="8" t="s">
        <v>219</v>
      </c>
      <c r="D12" s="8" t="s">
        <v>466</v>
      </c>
      <c r="E12" s="3">
        <v>24</v>
      </c>
      <c r="F12" s="1">
        <v>115</v>
      </c>
      <c r="G12" s="1">
        <v>12</v>
      </c>
      <c r="H12" s="19" t="s">
        <v>26</v>
      </c>
      <c r="I12" s="14"/>
      <c r="J12" s="14">
        <v>1</v>
      </c>
      <c r="K12" s="28"/>
      <c r="L12" s="28"/>
      <c r="M12" s="28"/>
      <c r="N12" s="32"/>
      <c r="O12" s="32"/>
      <c r="P12" s="32"/>
      <c r="Q12" s="6"/>
    </row>
    <row r="13" spans="2:17" s="17" customFormat="1" ht="18.75" x14ac:dyDescent="0.25">
      <c r="B13" s="4">
        <v>12</v>
      </c>
      <c r="C13" s="8" t="s">
        <v>136</v>
      </c>
      <c r="D13" s="8" t="s">
        <v>467</v>
      </c>
      <c r="E13" s="3">
        <v>24</v>
      </c>
      <c r="F13" s="1">
        <v>61</v>
      </c>
      <c r="G13" s="1">
        <v>3</v>
      </c>
      <c r="H13" s="1" t="s">
        <v>12</v>
      </c>
      <c r="I13" s="14">
        <v>1</v>
      </c>
      <c r="J13" s="14"/>
      <c r="K13" s="28"/>
      <c r="L13" s="28"/>
      <c r="M13" s="28"/>
      <c r="N13" s="32"/>
      <c r="O13" s="32"/>
      <c r="P13" s="32">
        <v>1</v>
      </c>
      <c r="Q13" s="6"/>
    </row>
    <row r="14" spans="2:17" s="17" customFormat="1" ht="18.75" x14ac:dyDescent="0.25">
      <c r="B14" s="4">
        <v>13</v>
      </c>
      <c r="C14" s="8" t="s">
        <v>468</v>
      </c>
      <c r="D14" s="8" t="s">
        <v>98</v>
      </c>
      <c r="E14" s="3">
        <v>24</v>
      </c>
      <c r="F14" s="1">
        <v>137</v>
      </c>
      <c r="G14" s="1">
        <v>27</v>
      </c>
      <c r="H14" s="19" t="s">
        <v>26</v>
      </c>
      <c r="I14" s="14"/>
      <c r="J14" s="14">
        <v>1</v>
      </c>
      <c r="K14" s="28"/>
      <c r="L14" s="28"/>
      <c r="M14" s="28">
        <v>1</v>
      </c>
      <c r="N14" s="32"/>
      <c r="O14" s="32"/>
      <c r="P14" s="32"/>
      <c r="Q14" s="6"/>
    </row>
    <row r="15" spans="2:17" s="17" customFormat="1" ht="18.75" x14ac:dyDescent="0.25">
      <c r="B15" s="4">
        <v>14</v>
      </c>
      <c r="C15" s="8" t="s">
        <v>469</v>
      </c>
      <c r="D15" s="8" t="s">
        <v>470</v>
      </c>
      <c r="E15" s="3">
        <v>24</v>
      </c>
      <c r="F15" s="1">
        <v>18</v>
      </c>
      <c r="G15" s="1">
        <v>29</v>
      </c>
      <c r="H15" s="19" t="s">
        <v>26</v>
      </c>
      <c r="I15" s="14"/>
      <c r="J15" s="14">
        <v>1</v>
      </c>
      <c r="K15" s="28"/>
      <c r="L15" s="28"/>
      <c r="M15" s="28"/>
      <c r="N15" s="32"/>
      <c r="O15" s="32"/>
      <c r="P15" s="32"/>
      <c r="Q15" s="6"/>
    </row>
    <row r="16" spans="2:17" s="17" customFormat="1" ht="18.75" x14ac:dyDescent="0.25">
      <c r="B16" s="4">
        <v>15</v>
      </c>
      <c r="C16" s="8" t="s">
        <v>471</v>
      </c>
      <c r="D16" s="8" t="s">
        <v>472</v>
      </c>
      <c r="E16" s="3">
        <v>24</v>
      </c>
      <c r="F16" s="1">
        <v>24</v>
      </c>
      <c r="G16" s="1">
        <v>2</v>
      </c>
      <c r="H16" s="1" t="s">
        <v>12</v>
      </c>
      <c r="I16" s="14">
        <v>1</v>
      </c>
      <c r="J16" s="14"/>
      <c r="K16" s="28"/>
      <c r="L16" s="28"/>
      <c r="M16" s="28"/>
      <c r="N16" s="32"/>
      <c r="O16" s="32"/>
      <c r="P16" s="32">
        <v>1</v>
      </c>
      <c r="Q16" s="6"/>
    </row>
    <row r="17" spans="2:17" s="17" customFormat="1" ht="18.75" x14ac:dyDescent="0.25">
      <c r="B17" s="4">
        <v>16</v>
      </c>
      <c r="C17" s="8" t="s">
        <v>473</v>
      </c>
      <c r="D17" s="8" t="s">
        <v>474</v>
      </c>
      <c r="E17" s="3">
        <v>24</v>
      </c>
      <c r="F17" s="1"/>
      <c r="G17" s="1"/>
      <c r="H17" s="1" t="s">
        <v>12</v>
      </c>
      <c r="I17" s="14">
        <v>1</v>
      </c>
      <c r="J17" s="14"/>
      <c r="K17" s="28"/>
      <c r="L17" s="28"/>
      <c r="M17" s="28"/>
      <c r="N17" s="32">
        <v>0</v>
      </c>
      <c r="O17" s="32"/>
      <c r="P17" s="32"/>
      <c r="Q17" s="6"/>
    </row>
    <row r="18" spans="2:17" s="17" customFormat="1" ht="18.75" x14ac:dyDescent="0.25">
      <c r="B18" s="4">
        <v>17</v>
      </c>
      <c r="C18" s="8" t="s">
        <v>475</v>
      </c>
      <c r="D18" s="8" t="s">
        <v>476</v>
      </c>
      <c r="E18" s="3">
        <v>24</v>
      </c>
      <c r="F18" s="1">
        <v>63</v>
      </c>
      <c r="G18" s="1">
        <v>19</v>
      </c>
      <c r="H18" s="19" t="s">
        <v>26</v>
      </c>
      <c r="I18" s="14"/>
      <c r="J18" s="14">
        <v>1</v>
      </c>
      <c r="K18" s="28"/>
      <c r="L18" s="28"/>
      <c r="M18" s="28"/>
      <c r="N18" s="32"/>
      <c r="O18" s="32"/>
      <c r="P18" s="32"/>
      <c r="Q18" s="6"/>
    </row>
    <row r="19" spans="2:17" s="17" customFormat="1" ht="18.75" x14ac:dyDescent="0.25">
      <c r="B19" s="4">
        <v>18</v>
      </c>
      <c r="C19" s="8" t="s">
        <v>477</v>
      </c>
      <c r="D19" s="8" t="s">
        <v>478</v>
      </c>
      <c r="E19" s="3">
        <v>24</v>
      </c>
      <c r="F19" s="1">
        <v>38</v>
      </c>
      <c r="G19" s="1">
        <v>7</v>
      </c>
      <c r="H19" s="19" t="s">
        <v>26</v>
      </c>
      <c r="I19" s="14"/>
      <c r="J19" s="14">
        <v>1</v>
      </c>
      <c r="K19" s="28"/>
      <c r="L19" s="28"/>
      <c r="M19" s="28"/>
      <c r="N19" s="32"/>
      <c r="O19" s="32"/>
      <c r="P19" s="32"/>
      <c r="Q19" s="6"/>
    </row>
    <row r="20" spans="2:17" s="17" customFormat="1" ht="18.75" x14ac:dyDescent="0.25">
      <c r="B20" s="4">
        <v>19</v>
      </c>
      <c r="C20" s="8" t="s">
        <v>253</v>
      </c>
      <c r="D20" s="8" t="s">
        <v>479</v>
      </c>
      <c r="E20" s="3">
        <v>24</v>
      </c>
      <c r="F20" s="1">
        <v>31</v>
      </c>
      <c r="G20" s="1">
        <v>21</v>
      </c>
      <c r="H20" s="19" t="s">
        <v>26</v>
      </c>
      <c r="I20" s="14"/>
      <c r="J20" s="14">
        <v>1</v>
      </c>
      <c r="K20" s="28"/>
      <c r="L20" s="28"/>
      <c r="M20" s="28"/>
      <c r="N20" s="32"/>
      <c r="O20" s="32"/>
      <c r="P20" s="32"/>
      <c r="Q20" s="6"/>
    </row>
    <row r="21" spans="2:17" s="17" customFormat="1" ht="18.75" x14ac:dyDescent="0.25">
      <c r="B21" s="4">
        <v>20</v>
      </c>
      <c r="C21" s="8" t="s">
        <v>344</v>
      </c>
      <c r="D21" s="8" t="s">
        <v>480</v>
      </c>
      <c r="E21" s="3">
        <v>24</v>
      </c>
      <c r="F21" s="1">
        <v>33</v>
      </c>
      <c r="G21" s="1">
        <v>29</v>
      </c>
      <c r="H21" s="1" t="s">
        <v>12</v>
      </c>
      <c r="I21" s="14">
        <v>1</v>
      </c>
      <c r="J21" s="14"/>
      <c r="K21" s="28"/>
      <c r="L21" s="28"/>
      <c r="M21" s="28"/>
      <c r="N21" s="32"/>
      <c r="O21" s="32">
        <v>1</v>
      </c>
      <c r="P21" s="32"/>
      <c r="Q21" s="6"/>
    </row>
    <row r="22" spans="2:17" s="17" customFormat="1" ht="18.75" x14ac:dyDescent="0.25">
      <c r="B22" s="4">
        <v>21</v>
      </c>
      <c r="C22" s="8" t="s">
        <v>344</v>
      </c>
      <c r="D22" s="8" t="s">
        <v>481</v>
      </c>
      <c r="E22" s="3">
        <v>24</v>
      </c>
      <c r="F22" s="1">
        <v>23</v>
      </c>
      <c r="G22" s="1">
        <v>31</v>
      </c>
      <c r="H22" s="19" t="s">
        <v>26</v>
      </c>
      <c r="I22" s="14"/>
      <c r="J22" s="14">
        <v>1</v>
      </c>
      <c r="K22" s="28"/>
      <c r="L22" s="28"/>
      <c r="M22" s="28"/>
      <c r="N22" s="32"/>
      <c r="O22" s="32"/>
      <c r="P22" s="32"/>
      <c r="Q22" s="6"/>
    </row>
    <row r="23" spans="2:17" s="17" customFormat="1" ht="18.75" x14ac:dyDescent="0.25">
      <c r="B23" s="4">
        <v>22</v>
      </c>
      <c r="C23" s="8" t="s">
        <v>344</v>
      </c>
      <c r="D23" s="8" t="s">
        <v>482</v>
      </c>
      <c r="E23" s="3">
        <v>24</v>
      </c>
      <c r="F23" s="1">
        <v>50</v>
      </c>
      <c r="G23" s="1">
        <v>12</v>
      </c>
      <c r="H23" s="1" t="s">
        <v>12</v>
      </c>
      <c r="I23" s="14">
        <v>1</v>
      </c>
      <c r="J23" s="14"/>
      <c r="K23" s="28"/>
      <c r="L23" s="28"/>
      <c r="M23" s="28"/>
      <c r="N23" s="32"/>
      <c r="O23" s="32"/>
      <c r="P23" s="32"/>
      <c r="Q23" s="6"/>
    </row>
    <row r="24" spans="2:17" s="17" customFormat="1" ht="18.75" x14ac:dyDescent="0.25">
      <c r="B24" s="4">
        <v>23</v>
      </c>
      <c r="C24" s="8" t="s">
        <v>483</v>
      </c>
      <c r="D24" s="8" t="s">
        <v>484</v>
      </c>
      <c r="E24" s="3">
        <v>24</v>
      </c>
      <c r="F24" s="1">
        <v>16</v>
      </c>
      <c r="G24" s="1">
        <v>15</v>
      </c>
      <c r="H24" s="19" t="s">
        <v>26</v>
      </c>
      <c r="I24" s="14"/>
      <c r="J24" s="14">
        <v>1</v>
      </c>
      <c r="K24" s="28"/>
      <c r="L24" s="28"/>
      <c r="M24" s="28"/>
      <c r="N24" s="32"/>
      <c r="O24" s="32"/>
      <c r="P24" s="32"/>
      <c r="Q24" s="6"/>
    </row>
    <row r="25" spans="2:17" s="17" customFormat="1" ht="18.75" x14ac:dyDescent="0.25">
      <c r="B25" s="4">
        <v>24</v>
      </c>
      <c r="C25" s="8" t="s">
        <v>485</v>
      </c>
      <c r="D25" s="8" t="s">
        <v>486</v>
      </c>
      <c r="E25" s="1">
        <v>24</v>
      </c>
      <c r="F25" s="1">
        <v>28</v>
      </c>
      <c r="G25" s="1">
        <v>10</v>
      </c>
      <c r="H25" s="1" t="s">
        <v>12</v>
      </c>
      <c r="I25" s="14">
        <v>1</v>
      </c>
      <c r="J25" s="14"/>
      <c r="K25" s="28"/>
      <c r="L25" s="28"/>
      <c r="M25" s="28"/>
      <c r="N25" s="32">
        <v>0</v>
      </c>
      <c r="O25" s="32"/>
      <c r="P25" s="32"/>
      <c r="Q25" s="6"/>
    </row>
    <row r="26" spans="2:17" s="17" customFormat="1" ht="18.75" x14ac:dyDescent="0.25">
      <c r="B26" s="4">
        <v>25</v>
      </c>
      <c r="C26" s="8" t="s">
        <v>487</v>
      </c>
      <c r="D26" s="8" t="s">
        <v>488</v>
      </c>
      <c r="E26" s="1">
        <v>24</v>
      </c>
      <c r="F26" s="1">
        <v>121</v>
      </c>
      <c r="G26" s="1">
        <v>29</v>
      </c>
      <c r="H26" s="1" t="s">
        <v>12</v>
      </c>
      <c r="I26" s="14">
        <v>1</v>
      </c>
      <c r="J26" s="14"/>
      <c r="K26" s="28"/>
      <c r="L26" s="28"/>
      <c r="M26" s="28"/>
      <c r="N26" s="32"/>
      <c r="O26" s="32">
        <v>1</v>
      </c>
      <c r="P26" s="32"/>
      <c r="Q26" s="6"/>
    </row>
    <row r="27" spans="2:17" s="17" customFormat="1" ht="18.75" x14ac:dyDescent="0.25">
      <c r="B27" s="4">
        <v>26</v>
      </c>
      <c r="C27" s="8" t="s">
        <v>489</v>
      </c>
      <c r="D27" s="8" t="s">
        <v>490</v>
      </c>
      <c r="E27" s="1">
        <v>24</v>
      </c>
      <c r="F27" s="1"/>
      <c r="G27" s="1"/>
      <c r="H27" s="19" t="s">
        <v>26</v>
      </c>
      <c r="I27" s="14"/>
      <c r="J27" s="14">
        <v>1</v>
      </c>
      <c r="K27" s="28"/>
      <c r="L27" s="28"/>
      <c r="M27" s="28"/>
      <c r="N27" s="32"/>
      <c r="O27" s="32"/>
      <c r="P27" s="32"/>
      <c r="Q27" s="6"/>
    </row>
    <row r="28" spans="2:17" s="17" customFormat="1" ht="18.75" x14ac:dyDescent="0.25">
      <c r="B28" s="4">
        <v>27</v>
      </c>
      <c r="C28" s="8" t="s">
        <v>491</v>
      </c>
      <c r="D28" s="8" t="s">
        <v>492</v>
      </c>
      <c r="E28" s="1">
        <v>24</v>
      </c>
      <c r="F28" s="1">
        <v>36</v>
      </c>
      <c r="G28" s="1" t="s">
        <v>109</v>
      </c>
      <c r="H28" s="1" t="s">
        <v>12</v>
      </c>
      <c r="I28" s="14">
        <v>1</v>
      </c>
      <c r="J28" s="14"/>
      <c r="K28" s="28"/>
      <c r="L28" s="28"/>
      <c r="M28" s="28"/>
      <c r="N28" s="32"/>
      <c r="O28" s="32"/>
      <c r="P28" s="32">
        <v>1</v>
      </c>
      <c r="Q28" s="6"/>
    </row>
    <row r="29" spans="2:17" s="17" customFormat="1" ht="18.75" x14ac:dyDescent="0.25">
      <c r="B29" s="4">
        <v>29</v>
      </c>
      <c r="C29" s="8" t="s">
        <v>623</v>
      </c>
      <c r="D29" s="8" t="s">
        <v>501</v>
      </c>
      <c r="E29" s="1">
        <v>24</v>
      </c>
      <c r="F29" s="1">
        <v>61</v>
      </c>
      <c r="G29" s="1">
        <v>40</v>
      </c>
      <c r="H29" s="1" t="s">
        <v>12</v>
      </c>
      <c r="I29" s="14">
        <v>1</v>
      </c>
      <c r="J29" s="14"/>
      <c r="K29" s="28"/>
      <c r="L29" s="28"/>
      <c r="M29" s="28"/>
      <c r="N29" s="32"/>
      <c r="O29" s="32"/>
      <c r="P29" s="32">
        <v>1</v>
      </c>
      <c r="Q29" s="6"/>
    </row>
    <row r="30" spans="2:17" s="17" customFormat="1" ht="18.75" x14ac:dyDescent="0.25">
      <c r="B30" s="4">
        <v>30</v>
      </c>
      <c r="C30" s="8" t="s">
        <v>268</v>
      </c>
      <c r="D30" s="8" t="s">
        <v>500</v>
      </c>
      <c r="E30" s="1">
        <v>24</v>
      </c>
      <c r="F30" s="1">
        <v>21</v>
      </c>
      <c r="G30" s="1">
        <v>16</v>
      </c>
      <c r="H30" s="19" t="s">
        <v>26</v>
      </c>
      <c r="I30" s="14"/>
      <c r="J30" s="14">
        <v>1</v>
      </c>
      <c r="K30" s="28"/>
      <c r="L30" s="28"/>
      <c r="M30" s="28"/>
      <c r="N30" s="32"/>
      <c r="O30" s="32"/>
      <c r="P30" s="32"/>
      <c r="Q30" s="6"/>
    </row>
    <row r="31" spans="2:17" s="17" customFormat="1" ht="18.75" x14ac:dyDescent="0.25">
      <c r="B31" s="4">
        <v>31</v>
      </c>
      <c r="C31" s="8" t="s">
        <v>622</v>
      </c>
      <c r="D31" s="8" t="s">
        <v>499</v>
      </c>
      <c r="E31" s="1">
        <v>24</v>
      </c>
      <c r="F31" s="1">
        <v>23</v>
      </c>
      <c r="G31" s="1">
        <v>8</v>
      </c>
      <c r="H31" s="19" t="s">
        <v>26</v>
      </c>
      <c r="I31" s="14"/>
      <c r="J31" s="14">
        <v>1</v>
      </c>
      <c r="K31" s="28"/>
      <c r="L31" s="28"/>
      <c r="M31" s="28"/>
      <c r="N31" s="32"/>
      <c r="O31" s="32"/>
      <c r="P31" s="32"/>
      <c r="Q31" s="6"/>
    </row>
    <row r="32" spans="2:17" s="17" customFormat="1" ht="18.75" x14ac:dyDescent="0.25">
      <c r="B32" s="4">
        <v>32</v>
      </c>
      <c r="C32" s="8" t="s">
        <v>621</v>
      </c>
      <c r="D32" s="8" t="s">
        <v>498</v>
      </c>
      <c r="E32" s="1">
        <v>24</v>
      </c>
      <c r="F32" s="1">
        <v>19</v>
      </c>
      <c r="G32" s="1">
        <v>29</v>
      </c>
      <c r="H32" s="19" t="s">
        <v>26</v>
      </c>
      <c r="I32" s="14"/>
      <c r="J32" s="14">
        <v>1</v>
      </c>
      <c r="K32" s="28"/>
      <c r="L32" s="28"/>
      <c r="M32" s="28"/>
      <c r="N32" s="32"/>
      <c r="O32" s="32"/>
      <c r="P32" s="32"/>
      <c r="Q32" s="6"/>
    </row>
    <row r="33" spans="2:17" ht="21" x14ac:dyDescent="0.25">
      <c r="B33" s="4">
        <v>33</v>
      </c>
      <c r="C33" s="113" t="s">
        <v>620</v>
      </c>
      <c r="D33" s="113" t="s">
        <v>497</v>
      </c>
      <c r="E33" s="114">
        <v>24</v>
      </c>
      <c r="F33" s="114">
        <v>48</v>
      </c>
      <c r="G33" s="114">
        <v>18</v>
      </c>
      <c r="H33" s="19" t="s">
        <v>26</v>
      </c>
      <c r="I33" s="115"/>
      <c r="J33" s="115">
        <v>1</v>
      </c>
      <c r="K33" s="116"/>
      <c r="L33" s="116"/>
      <c r="M33" s="116">
        <v>1</v>
      </c>
      <c r="N33" s="117"/>
      <c r="O33" s="117"/>
      <c r="P33" s="117"/>
      <c r="Q33" s="118"/>
    </row>
    <row r="34" spans="2:17" s="17" customFormat="1" ht="18.75" x14ac:dyDescent="0.25">
      <c r="B34" s="4">
        <v>34</v>
      </c>
      <c r="C34" s="8" t="s">
        <v>619</v>
      </c>
      <c r="D34" s="8" t="s">
        <v>496</v>
      </c>
      <c r="E34" s="1">
        <v>24</v>
      </c>
      <c r="F34" s="1">
        <v>54</v>
      </c>
      <c r="G34" s="1">
        <v>19</v>
      </c>
      <c r="H34" s="19" t="s">
        <v>26</v>
      </c>
      <c r="I34" s="14"/>
      <c r="J34" s="14">
        <v>1</v>
      </c>
      <c r="K34" s="28"/>
      <c r="L34" s="28"/>
      <c r="M34" s="28"/>
      <c r="N34" s="32"/>
      <c r="O34" s="32"/>
      <c r="P34" s="32"/>
      <c r="Q34" s="6"/>
    </row>
    <row r="35" spans="2:17" s="17" customFormat="1" ht="18.75" x14ac:dyDescent="0.25">
      <c r="B35" s="4">
        <v>35</v>
      </c>
      <c r="C35" s="8" t="s">
        <v>618</v>
      </c>
      <c r="D35" s="8" t="s">
        <v>495</v>
      </c>
      <c r="E35" s="1">
        <v>24</v>
      </c>
      <c r="F35" s="1">
        <v>31</v>
      </c>
      <c r="G35" s="1">
        <v>4</v>
      </c>
      <c r="H35" s="19" t="s">
        <v>26</v>
      </c>
      <c r="I35" s="14"/>
      <c r="J35" s="14">
        <v>1</v>
      </c>
      <c r="K35" s="28"/>
      <c r="L35" s="28"/>
      <c r="M35" s="28"/>
      <c r="N35" s="32"/>
      <c r="O35" s="32"/>
      <c r="P35" s="32"/>
      <c r="Q35" s="6"/>
    </row>
    <row r="36" spans="2:17" s="17" customFormat="1" ht="18.75" x14ac:dyDescent="0.25">
      <c r="B36" s="4">
        <v>36</v>
      </c>
      <c r="C36" s="8" t="s">
        <v>617</v>
      </c>
      <c r="D36" s="8" t="s">
        <v>494</v>
      </c>
      <c r="E36" s="1">
        <v>24</v>
      </c>
      <c r="F36" s="1">
        <v>60</v>
      </c>
      <c r="G36" s="1">
        <v>26</v>
      </c>
      <c r="H36" s="19" t="s">
        <v>26</v>
      </c>
      <c r="I36" s="14"/>
      <c r="J36" s="14">
        <v>1</v>
      </c>
      <c r="K36" s="28"/>
      <c r="L36" s="28"/>
      <c r="M36" s="28"/>
      <c r="N36" s="32"/>
      <c r="O36" s="32"/>
      <c r="P36" s="32"/>
      <c r="Q36" s="6"/>
    </row>
    <row r="37" spans="2:17" s="17" customFormat="1" ht="18.75" x14ac:dyDescent="0.25">
      <c r="B37" s="4">
        <v>37</v>
      </c>
      <c r="C37" s="8" t="s">
        <v>617</v>
      </c>
      <c r="D37" s="8" t="s">
        <v>493</v>
      </c>
      <c r="E37" s="1">
        <v>24</v>
      </c>
      <c r="F37" s="1">
        <v>73</v>
      </c>
      <c r="G37" s="1">
        <v>26</v>
      </c>
      <c r="H37" s="19" t="s">
        <v>26</v>
      </c>
      <c r="I37" s="14"/>
      <c r="J37" s="14">
        <v>1</v>
      </c>
      <c r="K37" s="28"/>
      <c r="L37" s="28"/>
      <c r="M37" s="28"/>
      <c r="N37" s="32"/>
      <c r="O37" s="32"/>
      <c r="P37" s="32"/>
      <c r="Q37" s="6"/>
    </row>
    <row r="38" spans="2:17" s="17" customFormat="1" ht="18.75" x14ac:dyDescent="0.25">
      <c r="B38" s="4">
        <v>38</v>
      </c>
      <c r="C38" s="8" t="s">
        <v>311</v>
      </c>
      <c r="D38" s="8" t="s">
        <v>502</v>
      </c>
      <c r="E38" s="1">
        <v>24</v>
      </c>
      <c r="F38" s="1">
        <v>29</v>
      </c>
      <c r="G38" s="1" t="s">
        <v>109</v>
      </c>
      <c r="H38" s="1" t="s">
        <v>12</v>
      </c>
      <c r="I38" s="14">
        <v>1</v>
      </c>
      <c r="J38" s="14"/>
      <c r="K38" s="28"/>
      <c r="L38" s="28"/>
      <c r="M38" s="28"/>
      <c r="N38" s="32"/>
      <c r="O38" s="32"/>
      <c r="P38" s="32">
        <v>1</v>
      </c>
      <c r="Q38" s="6"/>
    </row>
    <row r="39" spans="2:17" s="17" customFormat="1" ht="18.75" x14ac:dyDescent="0.25">
      <c r="B39" s="4">
        <v>39</v>
      </c>
      <c r="C39" s="8" t="s">
        <v>616</v>
      </c>
      <c r="D39" s="8" t="s">
        <v>504</v>
      </c>
      <c r="E39" s="1">
        <v>24</v>
      </c>
      <c r="F39" s="1">
        <v>103</v>
      </c>
      <c r="G39" s="1">
        <v>28</v>
      </c>
      <c r="H39" s="19" t="s">
        <v>26</v>
      </c>
      <c r="I39" s="14"/>
      <c r="J39" s="14">
        <v>1</v>
      </c>
      <c r="K39" s="28"/>
      <c r="L39" s="28"/>
      <c r="M39" s="28">
        <v>1</v>
      </c>
      <c r="N39" s="32"/>
      <c r="O39" s="32"/>
      <c r="P39" s="32"/>
      <c r="Q39" s="6"/>
    </row>
    <row r="40" spans="2:17" s="17" customFormat="1" ht="18.75" x14ac:dyDescent="0.25">
      <c r="B40" s="4">
        <v>40</v>
      </c>
      <c r="C40" s="8" t="s">
        <v>615</v>
      </c>
      <c r="D40" s="8" t="s">
        <v>506</v>
      </c>
      <c r="E40" s="1">
        <v>24</v>
      </c>
      <c r="F40" s="1">
        <v>126</v>
      </c>
      <c r="G40" s="1">
        <v>29</v>
      </c>
      <c r="H40" s="19" t="s">
        <v>26</v>
      </c>
      <c r="I40" s="14"/>
      <c r="J40" s="14">
        <v>1</v>
      </c>
      <c r="K40" s="28"/>
      <c r="L40" s="28"/>
      <c r="M40" s="28"/>
      <c r="N40" s="32"/>
      <c r="O40" s="32"/>
      <c r="P40" s="32"/>
      <c r="Q40" s="6"/>
    </row>
    <row r="41" spans="2:17" s="17" customFormat="1" ht="18.75" x14ac:dyDescent="0.25">
      <c r="B41" s="4">
        <v>41</v>
      </c>
      <c r="C41" s="8" t="s">
        <v>614</v>
      </c>
      <c r="D41" s="8" t="s">
        <v>252</v>
      </c>
      <c r="E41" s="1">
        <v>24</v>
      </c>
      <c r="F41" s="1">
        <v>35</v>
      </c>
      <c r="G41" s="1">
        <v>12</v>
      </c>
      <c r="H41" s="19" t="s">
        <v>26</v>
      </c>
      <c r="I41" s="14"/>
      <c r="J41" s="14">
        <v>1</v>
      </c>
      <c r="K41" s="28"/>
      <c r="L41" s="28"/>
      <c r="M41" s="28"/>
      <c r="N41" s="32"/>
      <c r="O41" s="32"/>
      <c r="P41" s="32"/>
      <c r="Q41" s="6"/>
    </row>
    <row r="42" spans="2:17" s="17" customFormat="1" ht="18.75" x14ac:dyDescent="0.25">
      <c r="B42" s="4">
        <v>42</v>
      </c>
      <c r="C42" s="8" t="s">
        <v>613</v>
      </c>
      <c r="D42" s="8" t="s">
        <v>507</v>
      </c>
      <c r="E42" s="1">
        <v>24</v>
      </c>
      <c r="F42" s="1">
        <v>8</v>
      </c>
      <c r="G42" s="1">
        <v>26</v>
      </c>
      <c r="H42" s="1" t="s">
        <v>12</v>
      </c>
      <c r="I42" s="14">
        <v>1</v>
      </c>
      <c r="J42" s="14"/>
      <c r="K42" s="28"/>
      <c r="L42" s="28"/>
      <c r="M42" s="28"/>
      <c r="N42" s="32">
        <v>1</v>
      </c>
      <c r="O42" s="32"/>
      <c r="P42" s="32"/>
      <c r="Q42" s="6"/>
    </row>
    <row r="43" spans="2:17" s="17" customFormat="1" ht="18.75" x14ac:dyDescent="0.25">
      <c r="B43" s="4">
        <v>43</v>
      </c>
      <c r="C43" s="8" t="s">
        <v>612</v>
      </c>
      <c r="D43" s="8" t="s">
        <v>508</v>
      </c>
      <c r="E43" s="1">
        <v>24</v>
      </c>
      <c r="F43" s="1">
        <v>23</v>
      </c>
      <c r="G43" s="1">
        <v>23</v>
      </c>
      <c r="H43" s="19" t="s">
        <v>26</v>
      </c>
      <c r="I43" s="14"/>
      <c r="J43" s="14">
        <v>1</v>
      </c>
      <c r="K43" s="28"/>
      <c r="L43" s="28"/>
      <c r="M43" s="28"/>
      <c r="N43" s="32"/>
      <c r="O43" s="32"/>
      <c r="P43" s="32"/>
      <c r="Q43" s="6"/>
    </row>
    <row r="44" spans="2:17" s="17" customFormat="1" ht="18.75" x14ac:dyDescent="0.25">
      <c r="B44" s="4">
        <v>44</v>
      </c>
      <c r="C44" s="8" t="s">
        <v>611</v>
      </c>
      <c r="D44" s="8" t="s">
        <v>509</v>
      </c>
      <c r="E44" s="1">
        <v>24</v>
      </c>
      <c r="F44" s="1"/>
      <c r="G44" s="1"/>
      <c r="H44" s="19" t="s">
        <v>26</v>
      </c>
      <c r="I44" s="14"/>
      <c r="J44" s="14">
        <v>1</v>
      </c>
      <c r="K44" s="28"/>
      <c r="L44" s="28"/>
      <c r="M44" s="28"/>
      <c r="N44" s="32"/>
      <c r="O44" s="32"/>
      <c r="P44" s="32"/>
      <c r="Q44" s="6"/>
    </row>
    <row r="45" spans="2:17" s="17" customFormat="1" ht="18.75" x14ac:dyDescent="0.25">
      <c r="B45" s="4">
        <v>45</v>
      </c>
      <c r="C45" s="8" t="s">
        <v>610</v>
      </c>
      <c r="D45" s="8" t="s">
        <v>510</v>
      </c>
      <c r="E45" s="1">
        <v>24</v>
      </c>
      <c r="F45" s="1">
        <v>15</v>
      </c>
      <c r="G45" s="1">
        <v>28</v>
      </c>
      <c r="H45" s="1" t="s">
        <v>12</v>
      </c>
      <c r="I45" s="14">
        <v>1</v>
      </c>
      <c r="J45" s="14"/>
      <c r="K45" s="28"/>
      <c r="L45" s="28"/>
      <c r="M45" s="28"/>
      <c r="N45" s="32">
        <v>0</v>
      </c>
      <c r="O45" s="32"/>
      <c r="P45" s="32"/>
      <c r="Q45" s="6"/>
    </row>
    <row r="46" spans="2:17" s="17" customFormat="1" ht="18.75" x14ac:dyDescent="0.25">
      <c r="B46" s="4">
        <v>46</v>
      </c>
      <c r="C46" s="8" t="s">
        <v>2810</v>
      </c>
      <c r="D46" s="8" t="s">
        <v>511</v>
      </c>
      <c r="E46" s="1">
        <v>24</v>
      </c>
      <c r="F46" s="1">
        <v>30</v>
      </c>
      <c r="G46" s="1">
        <v>3</v>
      </c>
      <c r="H46" s="1" t="s">
        <v>12</v>
      </c>
      <c r="I46" s="14">
        <v>1</v>
      </c>
      <c r="J46" s="14"/>
      <c r="K46" s="28"/>
      <c r="L46" s="28"/>
      <c r="M46" s="28"/>
      <c r="N46" s="32"/>
      <c r="O46" s="32"/>
      <c r="P46" s="32">
        <v>1</v>
      </c>
      <c r="Q46" s="6"/>
    </row>
    <row r="47" spans="2:17" s="17" customFormat="1" ht="18.75" x14ac:dyDescent="0.25">
      <c r="B47" s="4">
        <v>47</v>
      </c>
      <c r="C47" s="8" t="s">
        <v>609</v>
      </c>
      <c r="D47" s="8" t="s">
        <v>512</v>
      </c>
      <c r="E47" s="1">
        <v>24</v>
      </c>
      <c r="F47" s="1">
        <v>54</v>
      </c>
      <c r="G47" s="1">
        <v>9</v>
      </c>
      <c r="H47" s="1" t="s">
        <v>12</v>
      </c>
      <c r="I47" s="14">
        <v>1</v>
      </c>
      <c r="J47" s="14"/>
      <c r="K47" s="28"/>
      <c r="L47" s="28"/>
      <c r="M47" s="28"/>
      <c r="N47" s="32"/>
      <c r="O47" s="32"/>
      <c r="P47" s="32">
        <v>1</v>
      </c>
      <c r="Q47" s="6"/>
    </row>
    <row r="48" spans="2:17" s="17" customFormat="1" ht="18.75" x14ac:dyDescent="0.25">
      <c r="B48" s="4">
        <v>48</v>
      </c>
      <c r="C48" s="8" t="s">
        <v>331</v>
      </c>
      <c r="D48" s="8" t="s">
        <v>513</v>
      </c>
      <c r="E48" s="1">
        <v>24</v>
      </c>
      <c r="F48" s="1">
        <v>4</v>
      </c>
      <c r="G48" s="1">
        <v>2</v>
      </c>
      <c r="H48" s="1" t="s">
        <v>12</v>
      </c>
      <c r="I48" s="14">
        <v>1</v>
      </c>
      <c r="J48" s="14"/>
      <c r="K48" s="28"/>
      <c r="L48" s="28"/>
      <c r="M48" s="28"/>
      <c r="N48" s="32"/>
      <c r="O48" s="32"/>
      <c r="P48" s="32">
        <v>1</v>
      </c>
      <c r="Q48" s="6"/>
    </row>
    <row r="49" spans="2:17" s="17" customFormat="1" ht="18.75" x14ac:dyDescent="0.25">
      <c r="B49" s="4">
        <v>49</v>
      </c>
      <c r="C49" s="8" t="s">
        <v>607</v>
      </c>
      <c r="D49" s="8" t="s">
        <v>514</v>
      </c>
      <c r="E49" s="1">
        <v>24</v>
      </c>
      <c r="F49" s="1">
        <v>125</v>
      </c>
      <c r="G49" s="1">
        <v>19</v>
      </c>
      <c r="H49" s="19" t="s">
        <v>26</v>
      </c>
      <c r="I49" s="14"/>
      <c r="J49" s="14">
        <v>1</v>
      </c>
      <c r="K49" s="28"/>
      <c r="L49" s="28"/>
      <c r="M49" s="28"/>
      <c r="N49" s="32"/>
      <c r="O49" s="32"/>
      <c r="P49" s="32"/>
      <c r="Q49" s="6"/>
    </row>
    <row r="50" spans="2:17" s="17" customFormat="1" ht="18.75" x14ac:dyDescent="0.25">
      <c r="B50" s="4">
        <v>50</v>
      </c>
      <c r="C50" s="8" t="s">
        <v>201</v>
      </c>
      <c r="D50" s="8" t="s">
        <v>426</v>
      </c>
      <c r="E50" s="1">
        <v>24</v>
      </c>
      <c r="F50" s="1">
        <v>55</v>
      </c>
      <c r="G50" s="1">
        <v>16</v>
      </c>
      <c r="H50" s="1" t="s">
        <v>12</v>
      </c>
      <c r="I50" s="14">
        <v>1</v>
      </c>
      <c r="J50" s="14"/>
      <c r="K50" s="28"/>
      <c r="L50" s="28"/>
      <c r="M50" s="28"/>
      <c r="N50" s="32"/>
      <c r="O50" s="32"/>
      <c r="P50" s="32">
        <v>1</v>
      </c>
      <c r="Q50" s="6"/>
    </row>
    <row r="51" spans="2:17" s="17" customFormat="1" ht="18.75" x14ac:dyDescent="0.25">
      <c r="B51" s="4">
        <v>51</v>
      </c>
      <c r="C51" s="8" t="s">
        <v>201</v>
      </c>
      <c r="D51" s="8" t="s">
        <v>515</v>
      </c>
      <c r="E51" s="1">
        <v>24</v>
      </c>
      <c r="F51" s="1">
        <v>32</v>
      </c>
      <c r="G51" s="1">
        <v>29</v>
      </c>
      <c r="H51" s="19" t="s">
        <v>26</v>
      </c>
      <c r="I51" s="14"/>
      <c r="J51" s="14">
        <v>1</v>
      </c>
      <c r="K51" s="28"/>
      <c r="L51" s="28"/>
      <c r="M51" s="28"/>
      <c r="N51" s="32"/>
      <c r="O51" s="32"/>
      <c r="P51" s="32"/>
      <c r="Q51" s="6"/>
    </row>
    <row r="52" spans="2:17" s="17" customFormat="1" ht="18.75" x14ac:dyDescent="0.25">
      <c r="B52" s="4">
        <v>52</v>
      </c>
      <c r="C52" s="8" t="s">
        <v>123</v>
      </c>
      <c r="D52" s="8" t="s">
        <v>516</v>
      </c>
      <c r="E52" s="1">
        <v>24</v>
      </c>
      <c r="F52" s="1">
        <v>33</v>
      </c>
      <c r="G52" s="1">
        <v>8</v>
      </c>
      <c r="H52" s="1" t="s">
        <v>12</v>
      </c>
      <c r="I52" s="14">
        <v>1</v>
      </c>
      <c r="J52" s="14"/>
      <c r="K52" s="28"/>
      <c r="L52" s="28"/>
      <c r="M52" s="28"/>
      <c r="N52" s="32"/>
      <c r="O52" s="32"/>
      <c r="P52" s="32">
        <v>1</v>
      </c>
      <c r="Q52" s="6"/>
    </row>
    <row r="53" spans="2:17" s="17" customFormat="1" ht="18.75" x14ac:dyDescent="0.25">
      <c r="B53" s="4">
        <v>53</v>
      </c>
      <c r="C53" s="8" t="s">
        <v>181</v>
      </c>
      <c r="D53" s="8" t="s">
        <v>305</v>
      </c>
      <c r="E53" s="1">
        <v>24</v>
      </c>
      <c r="F53" s="1">
        <v>52</v>
      </c>
      <c r="G53" s="1">
        <v>17</v>
      </c>
      <c r="H53" s="1" t="s">
        <v>12</v>
      </c>
      <c r="I53" s="14">
        <v>1</v>
      </c>
      <c r="J53" s="14"/>
      <c r="K53" s="28"/>
      <c r="L53" s="28"/>
      <c r="M53" s="28"/>
      <c r="N53" s="32"/>
      <c r="O53" s="32"/>
      <c r="P53" s="32"/>
      <c r="Q53" s="6"/>
    </row>
    <row r="54" spans="2:17" s="17" customFormat="1" ht="18.75" x14ac:dyDescent="0.25">
      <c r="B54" s="4">
        <v>54</v>
      </c>
      <c r="C54" s="8" t="s">
        <v>135</v>
      </c>
      <c r="D54" s="8" t="s">
        <v>517</v>
      </c>
      <c r="E54" s="1">
        <v>24</v>
      </c>
      <c r="F54" s="1">
        <v>43</v>
      </c>
      <c r="G54" s="1">
        <v>7</v>
      </c>
      <c r="H54" s="19" t="s">
        <v>26</v>
      </c>
      <c r="I54" s="14"/>
      <c r="J54" s="14">
        <v>1</v>
      </c>
      <c r="K54" s="28"/>
      <c r="L54" s="28"/>
      <c r="M54" s="28"/>
      <c r="N54" s="32"/>
      <c r="O54" s="32"/>
      <c r="P54" s="32"/>
      <c r="Q54" s="6"/>
    </row>
    <row r="55" spans="2:17" s="17" customFormat="1" ht="18.75" x14ac:dyDescent="0.25">
      <c r="B55" s="4">
        <v>55</v>
      </c>
      <c r="C55" s="8" t="s">
        <v>181</v>
      </c>
      <c r="D55" s="8" t="s">
        <v>518</v>
      </c>
      <c r="E55" s="1">
        <v>24</v>
      </c>
      <c r="F55" s="1">
        <v>112</v>
      </c>
      <c r="G55" s="1">
        <v>32</v>
      </c>
      <c r="H55" s="1" t="s">
        <v>12</v>
      </c>
      <c r="I55" s="14">
        <v>1</v>
      </c>
      <c r="J55" s="14"/>
      <c r="K55" s="28"/>
      <c r="L55" s="28"/>
      <c r="M55" s="28"/>
      <c r="N55" s="32"/>
      <c r="O55" s="32">
        <v>1</v>
      </c>
      <c r="P55" s="32"/>
      <c r="Q55" s="6"/>
    </row>
    <row r="56" spans="2:17" s="17" customFormat="1" ht="18.75" x14ac:dyDescent="0.25">
      <c r="B56" s="4">
        <v>56</v>
      </c>
      <c r="C56" s="8" t="s">
        <v>181</v>
      </c>
      <c r="D56" s="8" t="s">
        <v>503</v>
      </c>
      <c r="E56" s="1">
        <v>24</v>
      </c>
      <c r="F56" s="1">
        <v>47</v>
      </c>
      <c r="G56" s="1">
        <v>19</v>
      </c>
      <c r="H56" s="1" t="s">
        <v>12</v>
      </c>
      <c r="I56" s="14">
        <v>1</v>
      </c>
      <c r="J56" s="14"/>
      <c r="K56" s="28"/>
      <c r="L56" s="28"/>
      <c r="M56" s="28"/>
      <c r="N56" s="32"/>
      <c r="O56" s="32"/>
      <c r="P56" s="32">
        <v>1</v>
      </c>
      <c r="Q56" s="6"/>
    </row>
    <row r="57" spans="2:17" s="17" customFormat="1" ht="18.75" x14ac:dyDescent="0.25">
      <c r="B57" s="4">
        <v>57</v>
      </c>
      <c r="C57" s="8" t="s">
        <v>135</v>
      </c>
      <c r="D57" s="8" t="s">
        <v>505</v>
      </c>
      <c r="E57" s="1">
        <v>24</v>
      </c>
      <c r="F57" s="1">
        <v>5</v>
      </c>
      <c r="G57" s="1">
        <v>13</v>
      </c>
      <c r="H57" s="1" t="s">
        <v>12</v>
      </c>
      <c r="I57" s="14">
        <v>1</v>
      </c>
      <c r="J57" s="14"/>
      <c r="K57" s="28"/>
      <c r="L57" s="28"/>
      <c r="M57" s="28"/>
      <c r="N57" s="32"/>
      <c r="O57" s="32"/>
      <c r="P57" s="32">
        <v>1</v>
      </c>
      <c r="Q57" s="6"/>
    </row>
    <row r="58" spans="2:17" s="17" customFormat="1" ht="18.75" x14ac:dyDescent="0.25">
      <c r="B58" s="4">
        <v>58</v>
      </c>
      <c r="C58" s="8" t="s">
        <v>181</v>
      </c>
      <c r="D58" s="8" t="s">
        <v>519</v>
      </c>
      <c r="E58" s="3">
        <v>24</v>
      </c>
      <c r="F58" s="1">
        <v>59</v>
      </c>
      <c r="G58" s="1">
        <v>20</v>
      </c>
      <c r="H58" s="19" t="s">
        <v>26</v>
      </c>
      <c r="I58" s="14"/>
      <c r="J58" s="14">
        <v>1</v>
      </c>
      <c r="K58" s="28"/>
      <c r="L58" s="28"/>
      <c r="M58" s="28"/>
      <c r="N58" s="32"/>
      <c r="O58" s="32"/>
      <c r="P58" s="32"/>
      <c r="Q58" s="6"/>
    </row>
    <row r="59" spans="2:17" s="17" customFormat="1" ht="18.75" x14ac:dyDescent="0.25">
      <c r="B59" s="4">
        <v>59</v>
      </c>
      <c r="C59" s="8" t="s">
        <v>606</v>
      </c>
      <c r="D59" s="8" t="s">
        <v>520</v>
      </c>
      <c r="E59" s="3">
        <v>24</v>
      </c>
      <c r="F59" s="1">
        <v>31</v>
      </c>
      <c r="G59" s="1">
        <v>14</v>
      </c>
      <c r="H59" s="1" t="s">
        <v>12</v>
      </c>
      <c r="I59" s="14">
        <v>1</v>
      </c>
      <c r="J59" s="14"/>
      <c r="K59" s="28"/>
      <c r="L59" s="28"/>
      <c r="M59" s="28"/>
      <c r="N59" s="32"/>
      <c r="O59" s="32"/>
      <c r="P59" s="32">
        <v>1</v>
      </c>
      <c r="Q59" s="6"/>
    </row>
    <row r="60" spans="2:17" s="17" customFormat="1" ht="18.75" x14ac:dyDescent="0.25">
      <c r="B60" s="4">
        <v>60</v>
      </c>
      <c r="C60" s="8" t="s">
        <v>605</v>
      </c>
      <c r="D60" s="8" t="s">
        <v>521</v>
      </c>
      <c r="E60" s="3">
        <v>24</v>
      </c>
      <c r="F60" s="1">
        <v>52</v>
      </c>
      <c r="G60" s="1">
        <v>20</v>
      </c>
      <c r="H60" s="1" t="s">
        <v>12</v>
      </c>
      <c r="I60" s="14">
        <v>1</v>
      </c>
      <c r="J60" s="14"/>
      <c r="K60" s="28"/>
      <c r="L60" s="28"/>
      <c r="M60" s="28"/>
      <c r="N60" s="32"/>
      <c r="O60" s="32"/>
      <c r="P60" s="32"/>
      <c r="Q60" s="6"/>
    </row>
    <row r="61" spans="2:17" s="17" customFormat="1" ht="18.75" x14ac:dyDescent="0.25">
      <c r="B61" s="4">
        <v>61</v>
      </c>
      <c r="C61" s="8" t="s">
        <v>171</v>
      </c>
      <c r="D61" s="8" t="s">
        <v>522</v>
      </c>
      <c r="E61" s="3">
        <v>24</v>
      </c>
      <c r="F61" s="1">
        <v>81</v>
      </c>
      <c r="G61" s="1">
        <v>9</v>
      </c>
      <c r="H61" s="19" t="s">
        <v>26</v>
      </c>
      <c r="I61" s="14"/>
      <c r="J61" s="14">
        <v>1</v>
      </c>
      <c r="K61" s="28"/>
      <c r="L61" s="28"/>
      <c r="M61" s="28"/>
      <c r="N61" s="32"/>
      <c r="O61" s="32"/>
      <c r="P61" s="32"/>
      <c r="Q61" s="6"/>
    </row>
    <row r="62" spans="2:17" s="17" customFormat="1" ht="18.75" x14ac:dyDescent="0.25">
      <c r="B62" s="4">
        <v>62</v>
      </c>
      <c r="C62" s="8" t="s">
        <v>171</v>
      </c>
      <c r="D62" s="8" t="s">
        <v>523</v>
      </c>
      <c r="E62" s="3">
        <v>24</v>
      </c>
      <c r="F62" s="1">
        <v>47</v>
      </c>
      <c r="G62" s="1">
        <v>4</v>
      </c>
      <c r="H62" s="19" t="s">
        <v>26</v>
      </c>
      <c r="I62" s="14"/>
      <c r="J62" s="14">
        <v>1</v>
      </c>
      <c r="K62" s="28"/>
      <c r="L62" s="28"/>
      <c r="M62" s="28"/>
      <c r="N62" s="32"/>
      <c r="O62" s="32"/>
      <c r="P62" s="32"/>
      <c r="Q62" s="6"/>
    </row>
    <row r="63" spans="2:17" s="17" customFormat="1" ht="18.75" x14ac:dyDescent="0.25">
      <c r="B63" s="4">
        <v>63</v>
      </c>
      <c r="C63" s="8" t="s">
        <v>604</v>
      </c>
      <c r="D63" s="8" t="s">
        <v>167</v>
      </c>
      <c r="E63" s="3">
        <v>24</v>
      </c>
      <c r="F63" s="1">
        <v>51</v>
      </c>
      <c r="G63" s="1">
        <v>3</v>
      </c>
      <c r="H63" s="19" t="s">
        <v>26</v>
      </c>
      <c r="I63" s="14"/>
      <c r="J63" s="14">
        <v>1</v>
      </c>
      <c r="K63" s="28"/>
      <c r="L63" s="28"/>
      <c r="M63" s="28"/>
      <c r="N63" s="32"/>
      <c r="O63" s="32"/>
      <c r="P63" s="32"/>
      <c r="Q63" s="6"/>
    </row>
    <row r="64" spans="2:17" s="17" customFormat="1" ht="18.75" x14ac:dyDescent="0.25">
      <c r="B64" s="4">
        <v>64</v>
      </c>
      <c r="C64" s="8" t="s">
        <v>603</v>
      </c>
      <c r="D64" s="8" t="s">
        <v>515</v>
      </c>
      <c r="E64" s="3">
        <v>24</v>
      </c>
      <c r="F64" s="1">
        <v>14</v>
      </c>
      <c r="G64" s="1">
        <v>19</v>
      </c>
      <c r="H64" s="19" t="s">
        <v>26</v>
      </c>
      <c r="I64" s="14"/>
      <c r="J64" s="14">
        <v>1</v>
      </c>
      <c r="K64" s="28"/>
      <c r="L64" s="28"/>
      <c r="M64" s="28"/>
      <c r="N64" s="32"/>
      <c r="O64" s="32"/>
      <c r="P64" s="32"/>
      <c r="Q64" s="6"/>
    </row>
    <row r="65" spans="2:17" s="17" customFormat="1" ht="18.75" x14ac:dyDescent="0.25">
      <c r="B65" s="4">
        <v>65</v>
      </c>
      <c r="C65" s="8" t="s">
        <v>602</v>
      </c>
      <c r="D65" s="8" t="s">
        <v>524</v>
      </c>
      <c r="E65" s="3">
        <v>24</v>
      </c>
      <c r="F65" s="1">
        <v>20</v>
      </c>
      <c r="G65" s="1">
        <v>27</v>
      </c>
      <c r="H65" s="1" t="s">
        <v>12</v>
      </c>
      <c r="I65" s="14">
        <v>1</v>
      </c>
      <c r="J65" s="14"/>
      <c r="K65" s="28"/>
      <c r="L65" s="28"/>
      <c r="M65" s="28"/>
      <c r="N65" s="32"/>
      <c r="O65" s="32">
        <v>1</v>
      </c>
      <c r="P65" s="32"/>
      <c r="Q65" s="6"/>
    </row>
    <row r="66" spans="2:17" s="17" customFormat="1" ht="18.75" x14ac:dyDescent="0.25">
      <c r="B66" s="4">
        <v>66</v>
      </c>
      <c r="C66" s="8" t="s">
        <v>601</v>
      </c>
      <c r="D66" s="8" t="s">
        <v>525</v>
      </c>
      <c r="E66" s="3">
        <v>24</v>
      </c>
      <c r="F66" s="1">
        <v>29</v>
      </c>
      <c r="G66" s="1">
        <v>20</v>
      </c>
      <c r="H66" s="19" t="s">
        <v>26</v>
      </c>
      <c r="I66" s="14"/>
      <c r="J66" s="14">
        <v>1</v>
      </c>
      <c r="K66" s="28"/>
      <c r="L66" s="28"/>
      <c r="M66" s="28"/>
      <c r="N66" s="32"/>
      <c r="O66" s="32"/>
      <c r="P66" s="32"/>
      <c r="Q66" s="6"/>
    </row>
    <row r="67" spans="2:17" s="17" customFormat="1" ht="18.75" x14ac:dyDescent="0.25">
      <c r="B67" s="4">
        <v>67</v>
      </c>
      <c r="C67" s="8" t="s">
        <v>302</v>
      </c>
      <c r="D67" s="8" t="s">
        <v>526</v>
      </c>
      <c r="E67" s="3">
        <v>24</v>
      </c>
      <c r="F67" s="1"/>
      <c r="G67" s="1"/>
      <c r="H67" s="19" t="s">
        <v>26</v>
      </c>
      <c r="I67" s="14"/>
      <c r="J67" s="14">
        <v>1</v>
      </c>
      <c r="K67" s="28"/>
      <c r="L67" s="28"/>
      <c r="M67" s="28"/>
      <c r="N67" s="32"/>
      <c r="O67" s="32"/>
      <c r="P67" s="32"/>
      <c r="Q67" s="6"/>
    </row>
    <row r="68" spans="2:17" s="17" customFormat="1" ht="18.75" x14ac:dyDescent="0.25">
      <c r="B68" s="4">
        <v>68</v>
      </c>
      <c r="C68" s="8" t="s">
        <v>302</v>
      </c>
      <c r="D68" s="8" t="s">
        <v>527</v>
      </c>
      <c r="E68" s="3">
        <v>24</v>
      </c>
      <c r="F68" s="1">
        <v>59</v>
      </c>
      <c r="G68" s="1">
        <v>17</v>
      </c>
      <c r="H68" s="1" t="s">
        <v>12</v>
      </c>
      <c r="I68" s="14">
        <v>1</v>
      </c>
      <c r="J68" s="14"/>
      <c r="K68" s="28"/>
      <c r="L68" s="28"/>
      <c r="M68" s="28"/>
      <c r="N68" s="32"/>
      <c r="O68" s="32"/>
      <c r="P68" s="32">
        <v>1</v>
      </c>
      <c r="Q68" s="6"/>
    </row>
    <row r="69" spans="2:17" s="17" customFormat="1" ht="18.75" x14ac:dyDescent="0.25">
      <c r="B69" s="4">
        <v>69</v>
      </c>
      <c r="C69" s="8" t="s">
        <v>302</v>
      </c>
      <c r="D69" s="8" t="s">
        <v>2829</v>
      </c>
      <c r="E69" s="3">
        <v>24</v>
      </c>
      <c r="F69" s="1">
        <v>24</v>
      </c>
      <c r="G69" s="1">
        <v>23</v>
      </c>
      <c r="H69" s="19" t="s">
        <v>26</v>
      </c>
      <c r="I69" s="14"/>
      <c r="J69" s="14">
        <v>1</v>
      </c>
      <c r="K69" s="28"/>
      <c r="L69" s="28"/>
      <c r="M69" s="28"/>
      <c r="N69" s="32"/>
      <c r="O69" s="32"/>
      <c r="P69" s="32"/>
      <c r="Q69" s="6"/>
    </row>
    <row r="70" spans="2:17" s="17" customFormat="1" ht="18.75" x14ac:dyDescent="0.25">
      <c r="B70" s="4">
        <v>70</v>
      </c>
      <c r="C70" s="8" t="s">
        <v>600</v>
      </c>
      <c r="D70" s="8" t="s">
        <v>108</v>
      </c>
      <c r="E70" s="3">
        <v>24</v>
      </c>
      <c r="F70" s="1"/>
      <c r="G70" s="1"/>
      <c r="H70" s="19" t="s">
        <v>26</v>
      </c>
      <c r="I70" s="14"/>
      <c r="J70" s="14">
        <v>1</v>
      </c>
      <c r="K70" s="28"/>
      <c r="L70" s="28"/>
      <c r="M70" s="28"/>
      <c r="N70" s="32"/>
      <c r="O70" s="32"/>
      <c r="P70" s="32"/>
      <c r="Q70" s="6"/>
    </row>
    <row r="71" spans="2:17" s="17" customFormat="1" ht="18.75" x14ac:dyDescent="0.25">
      <c r="B71" s="4">
        <v>71</v>
      </c>
      <c r="C71" s="8" t="s">
        <v>599</v>
      </c>
      <c r="D71" s="8" t="s">
        <v>528</v>
      </c>
      <c r="E71" s="3">
        <v>24</v>
      </c>
      <c r="F71" s="1">
        <v>38</v>
      </c>
      <c r="G71" s="1">
        <v>24</v>
      </c>
      <c r="H71" s="19" t="s">
        <v>26</v>
      </c>
      <c r="I71" s="14"/>
      <c r="J71" s="14">
        <v>1</v>
      </c>
      <c r="K71" s="28"/>
      <c r="L71" s="28"/>
      <c r="M71" s="28"/>
      <c r="N71" s="32"/>
      <c r="O71" s="32"/>
      <c r="P71" s="32"/>
      <c r="Q71" s="6"/>
    </row>
    <row r="72" spans="2:17" s="17" customFormat="1" ht="18.75" x14ac:dyDescent="0.25">
      <c r="B72" s="4">
        <v>72</v>
      </c>
      <c r="C72" s="8" t="s">
        <v>177</v>
      </c>
      <c r="D72" s="8" t="s">
        <v>529</v>
      </c>
      <c r="E72" s="3">
        <v>24</v>
      </c>
      <c r="F72" s="1">
        <v>14</v>
      </c>
      <c r="G72" s="1">
        <v>27</v>
      </c>
      <c r="H72" s="1" t="s">
        <v>12</v>
      </c>
      <c r="I72" s="14">
        <v>1</v>
      </c>
      <c r="J72" s="14"/>
      <c r="K72" s="28"/>
      <c r="L72" s="28"/>
      <c r="M72" s="28"/>
      <c r="N72" s="32"/>
      <c r="O72" s="32">
        <v>1</v>
      </c>
      <c r="P72" s="32"/>
      <c r="Q72" s="6"/>
    </row>
    <row r="73" spans="2:17" s="17" customFormat="1" ht="18.75" x14ac:dyDescent="0.25">
      <c r="B73" s="4">
        <v>73</v>
      </c>
      <c r="C73" s="8" t="s">
        <v>177</v>
      </c>
      <c r="D73" s="8" t="s">
        <v>530</v>
      </c>
      <c r="E73" s="3">
        <v>24</v>
      </c>
      <c r="F73" s="1">
        <v>55</v>
      </c>
      <c r="G73" s="1">
        <v>5</v>
      </c>
      <c r="H73" s="19" t="s">
        <v>26</v>
      </c>
      <c r="I73" s="14"/>
      <c r="J73" s="14">
        <v>1</v>
      </c>
      <c r="K73" s="28"/>
      <c r="L73" s="28"/>
      <c r="M73" s="28"/>
      <c r="N73" s="32"/>
      <c r="O73" s="32"/>
      <c r="P73" s="32"/>
      <c r="Q73" s="6"/>
    </row>
    <row r="74" spans="2:17" s="17" customFormat="1" ht="18.75" x14ac:dyDescent="0.25">
      <c r="B74" s="4">
        <v>74</v>
      </c>
      <c r="C74" s="8" t="s">
        <v>598</v>
      </c>
      <c r="D74" s="8" t="s">
        <v>531</v>
      </c>
      <c r="E74" s="3">
        <v>24</v>
      </c>
      <c r="F74" s="1">
        <v>28</v>
      </c>
      <c r="G74" s="1">
        <v>23</v>
      </c>
      <c r="H74" s="19" t="s">
        <v>26</v>
      </c>
      <c r="I74" s="14"/>
      <c r="J74" s="14">
        <v>1</v>
      </c>
      <c r="K74" s="28"/>
      <c r="L74" s="28"/>
      <c r="M74" s="28"/>
      <c r="N74" s="32"/>
      <c r="O74" s="32"/>
      <c r="P74" s="32"/>
      <c r="Q74" s="6"/>
    </row>
    <row r="75" spans="2:17" s="17" customFormat="1" ht="18.75" x14ac:dyDescent="0.25">
      <c r="B75" s="4">
        <v>75</v>
      </c>
      <c r="C75" s="8" t="s">
        <v>362</v>
      </c>
      <c r="D75" s="8" t="s">
        <v>532</v>
      </c>
      <c r="E75" s="3">
        <v>24</v>
      </c>
      <c r="F75" s="1">
        <v>57</v>
      </c>
      <c r="G75" s="1">
        <v>32</v>
      </c>
      <c r="H75" s="19" t="s">
        <v>26</v>
      </c>
      <c r="I75" s="14"/>
      <c r="J75" s="14">
        <v>1</v>
      </c>
      <c r="K75" s="28"/>
      <c r="L75" s="28"/>
      <c r="M75" s="28"/>
      <c r="N75" s="32"/>
      <c r="O75" s="32"/>
      <c r="P75" s="32"/>
      <c r="Q75" s="6"/>
    </row>
    <row r="76" spans="2:17" s="17" customFormat="1" ht="18.75" x14ac:dyDescent="0.25">
      <c r="B76" s="4">
        <v>76</v>
      </c>
      <c r="C76" s="8" t="s">
        <v>597</v>
      </c>
      <c r="D76" s="8" t="s">
        <v>533</v>
      </c>
      <c r="E76" s="3">
        <v>24</v>
      </c>
      <c r="F76" s="1">
        <v>33</v>
      </c>
      <c r="G76" s="1">
        <v>24</v>
      </c>
      <c r="H76" s="1" t="s">
        <v>12</v>
      </c>
      <c r="I76" s="14">
        <v>1</v>
      </c>
      <c r="J76" s="14"/>
      <c r="K76" s="28"/>
      <c r="L76" s="28"/>
      <c r="M76" s="28"/>
      <c r="N76" s="32"/>
      <c r="O76" s="32"/>
      <c r="P76" s="32">
        <v>1</v>
      </c>
      <c r="Q76" s="6"/>
    </row>
    <row r="77" spans="2:17" s="17" customFormat="1" ht="18.75" x14ac:dyDescent="0.25">
      <c r="B77" s="4">
        <v>77</v>
      </c>
      <c r="C77" s="8" t="s">
        <v>596</v>
      </c>
      <c r="D77" s="8" t="s">
        <v>534</v>
      </c>
      <c r="E77" s="3">
        <v>24</v>
      </c>
      <c r="F77" s="1">
        <v>41</v>
      </c>
      <c r="G77" s="1">
        <v>23</v>
      </c>
      <c r="H77" s="19" t="s">
        <v>26</v>
      </c>
      <c r="I77" s="14"/>
      <c r="J77" s="14">
        <v>1</v>
      </c>
      <c r="K77" s="28"/>
      <c r="L77" s="28"/>
      <c r="M77" s="28"/>
      <c r="N77" s="32"/>
      <c r="O77" s="32"/>
      <c r="P77" s="32"/>
      <c r="Q77" s="6"/>
    </row>
    <row r="78" spans="2:17" s="17" customFormat="1" ht="18.75" x14ac:dyDescent="0.25">
      <c r="B78" s="4">
        <v>78</v>
      </c>
      <c r="C78" s="8" t="s">
        <v>595</v>
      </c>
      <c r="D78" s="8" t="s">
        <v>535</v>
      </c>
      <c r="E78" s="3">
        <v>24</v>
      </c>
      <c r="F78" s="1">
        <v>51</v>
      </c>
      <c r="G78" s="1">
        <v>4</v>
      </c>
      <c r="H78" s="1" t="s">
        <v>12</v>
      </c>
      <c r="I78" s="14">
        <v>1</v>
      </c>
      <c r="J78" s="14"/>
      <c r="K78" s="28"/>
      <c r="L78" s="28"/>
      <c r="M78" s="28"/>
      <c r="N78" s="32"/>
      <c r="O78" s="32"/>
      <c r="P78" s="32">
        <v>1</v>
      </c>
      <c r="Q78" s="6"/>
    </row>
    <row r="79" spans="2:17" s="17" customFormat="1" ht="18.75" x14ac:dyDescent="0.25">
      <c r="B79" s="4">
        <v>79</v>
      </c>
      <c r="C79" s="8" t="s">
        <v>594</v>
      </c>
      <c r="D79" s="8" t="s">
        <v>536</v>
      </c>
      <c r="E79" s="3">
        <v>24</v>
      </c>
      <c r="F79" s="1">
        <v>87</v>
      </c>
      <c r="G79" s="1">
        <v>29</v>
      </c>
      <c r="H79" s="19" t="s">
        <v>26</v>
      </c>
      <c r="I79" s="14"/>
      <c r="J79" s="14">
        <v>1</v>
      </c>
      <c r="K79" s="28"/>
      <c r="L79" s="28"/>
      <c r="M79" s="28"/>
      <c r="N79" s="32"/>
      <c r="O79" s="32"/>
      <c r="P79" s="32"/>
      <c r="Q79" s="6"/>
    </row>
    <row r="80" spans="2:17" s="17" customFormat="1" ht="18.75" x14ac:dyDescent="0.25">
      <c r="B80" s="4">
        <v>80</v>
      </c>
      <c r="C80" s="8" t="s">
        <v>593</v>
      </c>
      <c r="D80" s="8" t="s">
        <v>537</v>
      </c>
      <c r="E80" s="3">
        <v>24</v>
      </c>
      <c r="F80" s="1">
        <v>33</v>
      </c>
      <c r="G80" s="1">
        <v>23</v>
      </c>
      <c r="H80" s="19" t="s">
        <v>26</v>
      </c>
      <c r="I80" s="14"/>
      <c r="J80" s="14">
        <v>1</v>
      </c>
      <c r="K80" s="28"/>
      <c r="L80" s="28"/>
      <c r="M80" s="28"/>
      <c r="N80" s="32"/>
      <c r="O80" s="32"/>
      <c r="P80" s="32"/>
      <c r="Q80" s="6"/>
    </row>
    <row r="81" spans="2:17" s="17" customFormat="1" ht="18.75" x14ac:dyDescent="0.25">
      <c r="B81" s="4">
        <v>81</v>
      </c>
      <c r="C81" s="8" t="s">
        <v>422</v>
      </c>
      <c r="D81" s="8" t="s">
        <v>538</v>
      </c>
      <c r="E81" s="3">
        <v>24</v>
      </c>
      <c r="F81" s="1">
        <v>49</v>
      </c>
      <c r="G81" s="1">
        <v>5</v>
      </c>
      <c r="H81" s="19" t="s">
        <v>26</v>
      </c>
      <c r="I81" s="14"/>
      <c r="J81" s="14">
        <v>1</v>
      </c>
      <c r="K81" s="28"/>
      <c r="L81" s="28"/>
      <c r="M81" s="28"/>
      <c r="N81" s="32"/>
      <c r="O81" s="32"/>
      <c r="P81" s="32"/>
      <c r="Q81" s="6"/>
    </row>
    <row r="82" spans="2:17" s="17" customFormat="1" ht="18.75" x14ac:dyDescent="0.25">
      <c r="B82" s="4">
        <v>82</v>
      </c>
      <c r="C82" s="8" t="s">
        <v>592</v>
      </c>
      <c r="D82" s="8" t="s">
        <v>539</v>
      </c>
      <c r="E82" s="3">
        <v>24</v>
      </c>
      <c r="F82" s="1">
        <v>68</v>
      </c>
      <c r="G82" s="1">
        <v>13</v>
      </c>
      <c r="H82" s="1" t="s">
        <v>12</v>
      </c>
      <c r="I82" s="14">
        <v>1</v>
      </c>
      <c r="J82" s="14"/>
      <c r="K82" s="28"/>
      <c r="L82" s="28"/>
      <c r="M82" s="28"/>
      <c r="N82" s="32"/>
      <c r="O82" s="32"/>
      <c r="P82" s="32">
        <v>1</v>
      </c>
      <c r="Q82" s="6"/>
    </row>
    <row r="83" spans="2:17" s="17" customFormat="1" ht="18.75" x14ac:dyDescent="0.25">
      <c r="B83" s="4">
        <v>83</v>
      </c>
      <c r="C83" s="8" t="s">
        <v>591</v>
      </c>
      <c r="D83" s="8" t="s">
        <v>426</v>
      </c>
      <c r="E83" s="3">
        <v>24</v>
      </c>
      <c r="F83" s="1">
        <v>19</v>
      </c>
      <c r="G83" s="1">
        <v>13</v>
      </c>
      <c r="H83" s="19" t="s">
        <v>26</v>
      </c>
      <c r="I83" s="14"/>
      <c r="J83" s="14">
        <v>1</v>
      </c>
      <c r="K83" s="28"/>
      <c r="L83" s="28"/>
      <c r="M83" s="28"/>
      <c r="N83" s="32"/>
      <c r="O83" s="32"/>
      <c r="P83" s="32"/>
      <c r="Q83" s="6"/>
    </row>
    <row r="84" spans="2:17" s="17" customFormat="1" ht="18.75" x14ac:dyDescent="0.25">
      <c r="B84" s="4">
        <v>84</v>
      </c>
      <c r="C84" s="8" t="s">
        <v>590</v>
      </c>
      <c r="D84" s="8" t="s">
        <v>540</v>
      </c>
      <c r="E84" s="3">
        <v>24</v>
      </c>
      <c r="F84" s="1">
        <v>79</v>
      </c>
      <c r="G84" s="1">
        <v>26</v>
      </c>
      <c r="H84" s="1" t="s">
        <v>12</v>
      </c>
      <c r="I84" s="14">
        <v>1</v>
      </c>
      <c r="J84" s="14"/>
      <c r="K84" s="28"/>
      <c r="L84" s="28"/>
      <c r="M84" s="28"/>
      <c r="N84" s="32"/>
      <c r="O84" s="32">
        <v>1</v>
      </c>
      <c r="P84" s="32"/>
      <c r="Q84" s="6"/>
    </row>
    <row r="85" spans="2:17" s="17" customFormat="1" ht="18.75" x14ac:dyDescent="0.25">
      <c r="B85" s="4">
        <v>85</v>
      </c>
      <c r="C85" s="8" t="s">
        <v>589</v>
      </c>
      <c r="D85" s="8" t="s">
        <v>541</v>
      </c>
      <c r="E85" s="3">
        <v>24</v>
      </c>
      <c r="F85" s="1">
        <v>31</v>
      </c>
      <c r="G85" s="1">
        <v>18</v>
      </c>
      <c r="H85" s="1" t="s">
        <v>12</v>
      </c>
      <c r="I85" s="14">
        <v>1</v>
      </c>
      <c r="J85" s="14"/>
      <c r="K85" s="28"/>
      <c r="L85" s="28"/>
      <c r="M85" s="28"/>
      <c r="N85" s="32"/>
      <c r="O85" s="32"/>
      <c r="P85" s="32">
        <v>1</v>
      </c>
      <c r="Q85" s="6"/>
    </row>
    <row r="86" spans="2:17" s="17" customFormat="1" ht="18.75" x14ac:dyDescent="0.25">
      <c r="B86" s="4">
        <v>86</v>
      </c>
      <c r="C86" s="8" t="s">
        <v>588</v>
      </c>
      <c r="D86" s="8" t="s">
        <v>542</v>
      </c>
      <c r="E86" s="3">
        <v>24</v>
      </c>
      <c r="F86" s="1">
        <v>35</v>
      </c>
      <c r="G86" s="1" t="s">
        <v>109</v>
      </c>
      <c r="H86" s="1" t="s">
        <v>12</v>
      </c>
      <c r="I86" s="14">
        <v>1</v>
      </c>
      <c r="J86" s="14"/>
      <c r="K86" s="28"/>
      <c r="L86" s="28"/>
      <c r="M86" s="28"/>
      <c r="N86" s="32"/>
      <c r="O86" s="32"/>
      <c r="P86" s="32">
        <v>1</v>
      </c>
      <c r="Q86" s="6"/>
    </row>
    <row r="87" spans="2:17" s="17" customFormat="1" ht="18.75" x14ac:dyDescent="0.25">
      <c r="B87" s="4">
        <v>87</v>
      </c>
      <c r="C87" s="8" t="s">
        <v>587</v>
      </c>
      <c r="D87" s="8" t="s">
        <v>543</v>
      </c>
      <c r="E87" s="3">
        <v>24</v>
      </c>
      <c r="F87" s="1">
        <v>144</v>
      </c>
      <c r="G87" s="1">
        <v>29</v>
      </c>
      <c r="H87" s="1" t="s">
        <v>12</v>
      </c>
      <c r="I87" s="14">
        <v>1</v>
      </c>
      <c r="J87" s="14"/>
      <c r="K87" s="28"/>
      <c r="L87" s="28"/>
      <c r="M87" s="28"/>
      <c r="N87" s="32">
        <v>1</v>
      </c>
      <c r="O87" s="32"/>
      <c r="P87" s="32"/>
      <c r="Q87" s="6"/>
    </row>
    <row r="88" spans="2:17" s="17" customFormat="1" ht="18.75" x14ac:dyDescent="0.25">
      <c r="B88" s="4">
        <v>88</v>
      </c>
      <c r="C88" s="8" t="s">
        <v>586</v>
      </c>
      <c r="D88" s="8" t="s">
        <v>544</v>
      </c>
      <c r="E88" s="3">
        <v>24</v>
      </c>
      <c r="F88" s="1">
        <v>36</v>
      </c>
      <c r="G88" s="1">
        <v>3</v>
      </c>
      <c r="H88" s="19" t="s">
        <v>26</v>
      </c>
      <c r="I88" s="14"/>
      <c r="J88" s="14">
        <v>1</v>
      </c>
      <c r="K88" s="28"/>
      <c r="L88" s="28"/>
      <c r="M88" s="28"/>
      <c r="N88" s="32"/>
      <c r="O88" s="32"/>
      <c r="P88" s="32"/>
      <c r="Q88" s="6"/>
    </row>
    <row r="89" spans="2:17" s="17" customFormat="1" ht="18.75" x14ac:dyDescent="0.25">
      <c r="B89" s="4">
        <v>89</v>
      </c>
      <c r="C89" s="8" t="s">
        <v>324</v>
      </c>
      <c r="D89" s="8" t="s">
        <v>545</v>
      </c>
      <c r="E89" s="3">
        <v>24</v>
      </c>
      <c r="F89" s="1">
        <v>146</v>
      </c>
      <c r="G89" s="1">
        <v>29</v>
      </c>
      <c r="H89" s="1" t="s">
        <v>12</v>
      </c>
      <c r="I89" s="14">
        <v>1</v>
      </c>
      <c r="J89" s="14"/>
      <c r="K89" s="28"/>
      <c r="L89" s="28"/>
      <c r="M89" s="28"/>
      <c r="N89" s="32"/>
      <c r="O89" s="32">
        <v>1</v>
      </c>
      <c r="P89" s="32"/>
      <c r="Q89" s="6"/>
    </row>
    <row r="90" spans="2:17" s="17" customFormat="1" ht="18.75" x14ac:dyDescent="0.25">
      <c r="B90" s="4">
        <v>90</v>
      </c>
      <c r="C90" s="8" t="s">
        <v>585</v>
      </c>
      <c r="D90" s="8" t="s">
        <v>546</v>
      </c>
      <c r="E90" s="3">
        <v>24</v>
      </c>
      <c r="F90" s="1">
        <v>94</v>
      </c>
      <c r="G90" s="1">
        <v>31</v>
      </c>
      <c r="H90" s="19" t="s">
        <v>26</v>
      </c>
      <c r="I90" s="14"/>
      <c r="J90" s="14">
        <v>1</v>
      </c>
      <c r="K90" s="28"/>
      <c r="L90" s="28"/>
      <c r="M90" s="28">
        <v>1</v>
      </c>
      <c r="N90" s="32"/>
      <c r="O90" s="32"/>
      <c r="P90" s="32"/>
      <c r="Q90" s="6"/>
    </row>
    <row r="91" spans="2:17" s="17" customFormat="1" ht="18.75" x14ac:dyDescent="0.25">
      <c r="B91" s="4">
        <v>91</v>
      </c>
      <c r="C91" s="8" t="s">
        <v>584</v>
      </c>
      <c r="D91" s="8" t="s">
        <v>547</v>
      </c>
      <c r="E91" s="3">
        <v>24</v>
      </c>
      <c r="F91" s="1">
        <v>38</v>
      </c>
      <c r="G91" s="1">
        <v>30</v>
      </c>
      <c r="H91" s="1" t="s">
        <v>12</v>
      </c>
      <c r="I91" s="14">
        <v>1</v>
      </c>
      <c r="J91" s="14"/>
      <c r="K91" s="28"/>
      <c r="L91" s="28"/>
      <c r="M91" s="28"/>
      <c r="N91" s="32">
        <v>1</v>
      </c>
      <c r="O91" s="32"/>
      <c r="P91" s="32"/>
      <c r="Q91" s="6"/>
    </row>
    <row r="92" spans="2:17" s="17" customFormat="1" ht="18.75" x14ac:dyDescent="0.25">
      <c r="B92" s="4">
        <v>92</v>
      </c>
      <c r="C92" s="8" t="s">
        <v>6</v>
      </c>
      <c r="D92" s="8" t="s">
        <v>6</v>
      </c>
      <c r="E92" s="3">
        <v>24</v>
      </c>
      <c r="F92" s="1">
        <v>3</v>
      </c>
      <c r="G92" s="1">
        <v>31</v>
      </c>
      <c r="H92" s="19" t="s">
        <v>26</v>
      </c>
      <c r="I92" s="14"/>
      <c r="J92" s="14">
        <v>1</v>
      </c>
      <c r="K92" s="28"/>
      <c r="L92" s="28"/>
      <c r="M92" s="28"/>
      <c r="N92" s="32"/>
      <c r="O92" s="32"/>
      <c r="P92" s="32"/>
      <c r="Q92" s="6"/>
    </row>
    <row r="93" spans="2:17" s="17" customFormat="1" ht="18.75" x14ac:dyDescent="0.25">
      <c r="B93" s="4">
        <v>93</v>
      </c>
      <c r="C93" s="8" t="s">
        <v>6</v>
      </c>
      <c r="D93" s="8" t="s">
        <v>6</v>
      </c>
      <c r="E93" s="3">
        <v>24</v>
      </c>
      <c r="F93" s="1"/>
      <c r="G93" s="1"/>
      <c r="H93" s="1" t="s">
        <v>12</v>
      </c>
      <c r="I93" s="14">
        <v>1</v>
      </c>
      <c r="J93" s="14"/>
      <c r="K93" s="28"/>
      <c r="L93" s="28"/>
      <c r="M93" s="28"/>
      <c r="N93" s="32">
        <v>1</v>
      </c>
      <c r="O93" s="32"/>
      <c r="P93" s="32"/>
      <c r="Q93" s="6"/>
    </row>
    <row r="94" spans="2:17" s="17" customFormat="1" ht="18.75" x14ac:dyDescent="0.25">
      <c r="B94" s="4">
        <v>94</v>
      </c>
      <c r="C94" s="8" t="s">
        <v>6</v>
      </c>
      <c r="D94" s="8" t="s">
        <v>6</v>
      </c>
      <c r="E94" s="3">
        <v>24</v>
      </c>
      <c r="F94" s="1">
        <v>11</v>
      </c>
      <c r="G94" s="1">
        <v>3</v>
      </c>
      <c r="H94" s="19" t="s">
        <v>26</v>
      </c>
      <c r="I94" s="14"/>
      <c r="J94" s="14">
        <v>1</v>
      </c>
      <c r="K94" s="28"/>
      <c r="L94" s="28"/>
      <c r="M94" s="28"/>
      <c r="N94" s="32"/>
      <c r="O94" s="32"/>
      <c r="P94" s="32"/>
      <c r="Q94" s="6"/>
    </row>
    <row r="95" spans="2:17" s="17" customFormat="1" ht="18.75" x14ac:dyDescent="0.25">
      <c r="B95" s="4">
        <v>95</v>
      </c>
      <c r="C95" s="8" t="s">
        <v>6</v>
      </c>
      <c r="D95" s="8" t="s">
        <v>6</v>
      </c>
      <c r="E95" s="3">
        <v>24</v>
      </c>
      <c r="F95" s="1">
        <v>10</v>
      </c>
      <c r="G95" s="1">
        <v>3</v>
      </c>
      <c r="H95" s="19" t="s">
        <v>26</v>
      </c>
      <c r="I95" s="14"/>
      <c r="J95" s="14">
        <v>1</v>
      </c>
      <c r="K95" s="28"/>
      <c r="L95" s="28"/>
      <c r="M95" s="28"/>
      <c r="N95" s="32"/>
      <c r="O95" s="32"/>
      <c r="P95" s="32"/>
      <c r="Q95" s="6"/>
    </row>
    <row r="96" spans="2:17" s="17" customFormat="1" ht="18.75" x14ac:dyDescent="0.25">
      <c r="B96" s="4">
        <v>96</v>
      </c>
      <c r="C96" s="8" t="s">
        <v>583</v>
      </c>
      <c r="D96" s="8" t="s">
        <v>548</v>
      </c>
      <c r="E96" s="3">
        <v>24</v>
      </c>
      <c r="F96" s="1">
        <v>25</v>
      </c>
      <c r="G96" s="1">
        <v>24</v>
      </c>
      <c r="H96" s="19" t="s">
        <v>26</v>
      </c>
      <c r="I96" s="14"/>
      <c r="J96" s="14">
        <v>1</v>
      </c>
      <c r="K96" s="28"/>
      <c r="L96" s="28"/>
      <c r="M96" s="28"/>
      <c r="N96" s="32"/>
      <c r="O96" s="32"/>
      <c r="P96" s="32"/>
      <c r="Q96" s="6"/>
    </row>
    <row r="97" spans="2:17" s="17" customFormat="1" ht="18.75" x14ac:dyDescent="0.25">
      <c r="B97" s="4">
        <v>97</v>
      </c>
      <c r="C97" s="8" t="s">
        <v>582</v>
      </c>
      <c r="D97" s="8" t="s">
        <v>550</v>
      </c>
      <c r="E97" s="3">
        <v>24</v>
      </c>
      <c r="F97" s="1">
        <v>55</v>
      </c>
      <c r="G97" s="1">
        <v>19</v>
      </c>
      <c r="H97" s="19" t="s">
        <v>26</v>
      </c>
      <c r="I97" s="14"/>
      <c r="J97" s="14">
        <v>1</v>
      </c>
      <c r="K97" s="28"/>
      <c r="L97" s="28"/>
      <c r="M97" s="28"/>
      <c r="N97" s="32"/>
      <c r="O97" s="32"/>
      <c r="P97" s="32"/>
      <c r="Q97" s="6"/>
    </row>
    <row r="98" spans="2:17" s="17" customFormat="1" ht="18.75" x14ac:dyDescent="0.25">
      <c r="B98" s="4">
        <v>98</v>
      </c>
      <c r="C98" s="8" t="s">
        <v>581</v>
      </c>
      <c r="D98" s="8" t="s">
        <v>552</v>
      </c>
      <c r="E98" s="3"/>
      <c r="F98" s="1"/>
      <c r="G98" s="1"/>
      <c r="H98" s="19" t="s">
        <v>26</v>
      </c>
      <c r="I98" s="14"/>
      <c r="J98" s="14">
        <v>1</v>
      </c>
      <c r="K98" s="28"/>
      <c r="L98" s="28"/>
      <c r="M98" s="28"/>
      <c r="N98" s="32"/>
      <c r="O98" s="32"/>
      <c r="P98" s="32"/>
      <c r="Q98" s="6"/>
    </row>
    <row r="99" spans="2:17" s="17" customFormat="1" ht="18.75" x14ac:dyDescent="0.25">
      <c r="B99" s="4">
        <v>99</v>
      </c>
      <c r="C99" s="8" t="s">
        <v>581</v>
      </c>
      <c r="D99" s="8" t="s">
        <v>553</v>
      </c>
      <c r="E99" s="3">
        <v>24</v>
      </c>
      <c r="F99" s="1">
        <v>38</v>
      </c>
      <c r="G99" s="1">
        <v>22</v>
      </c>
      <c r="H99" s="19" t="s">
        <v>26</v>
      </c>
      <c r="I99" s="14"/>
      <c r="J99" s="14">
        <v>1</v>
      </c>
      <c r="K99" s="28"/>
      <c r="L99" s="28"/>
      <c r="M99" s="28"/>
      <c r="N99" s="32"/>
      <c r="O99" s="32"/>
      <c r="P99" s="32"/>
      <c r="Q99" s="6"/>
    </row>
    <row r="100" spans="2:17" s="17" customFormat="1" ht="18.75" x14ac:dyDescent="0.25">
      <c r="B100" s="4">
        <v>100</v>
      </c>
      <c r="C100" s="8" t="s">
        <v>580</v>
      </c>
      <c r="D100" s="8" t="s">
        <v>554</v>
      </c>
      <c r="E100" s="3">
        <v>24</v>
      </c>
      <c r="F100" s="1">
        <v>7</v>
      </c>
      <c r="G100" s="1">
        <v>22</v>
      </c>
      <c r="H100" s="19" t="s">
        <v>26</v>
      </c>
      <c r="I100" s="14"/>
      <c r="J100" s="14">
        <v>1</v>
      </c>
      <c r="K100" s="28"/>
      <c r="L100" s="28"/>
      <c r="M100" s="28"/>
      <c r="N100" s="32"/>
      <c r="O100" s="32"/>
      <c r="P100" s="32"/>
      <c r="Q100" s="6"/>
    </row>
    <row r="101" spans="2:17" s="17" customFormat="1" ht="18.75" x14ac:dyDescent="0.25">
      <c r="B101" s="4">
        <v>101</v>
      </c>
      <c r="C101" s="8" t="s">
        <v>137</v>
      </c>
      <c r="D101" s="8" t="s">
        <v>555</v>
      </c>
      <c r="E101" s="3">
        <v>24</v>
      </c>
      <c r="F101" s="1"/>
      <c r="G101" s="1"/>
      <c r="H101" s="19" t="s">
        <v>26</v>
      </c>
      <c r="I101" s="14"/>
      <c r="J101" s="14">
        <v>1</v>
      </c>
      <c r="K101" s="28"/>
      <c r="L101" s="28"/>
      <c r="M101" s="28"/>
      <c r="N101" s="32"/>
      <c r="O101" s="32"/>
      <c r="P101" s="32"/>
      <c r="Q101" s="6"/>
    </row>
    <row r="102" spans="2:17" s="17" customFormat="1" ht="18.75" x14ac:dyDescent="0.25">
      <c r="B102" s="4">
        <v>102</v>
      </c>
      <c r="C102" s="8" t="s">
        <v>274</v>
      </c>
      <c r="D102" s="8" t="s">
        <v>556</v>
      </c>
      <c r="E102" s="3">
        <v>24</v>
      </c>
      <c r="F102" s="1">
        <v>51</v>
      </c>
      <c r="G102" s="1">
        <v>26</v>
      </c>
      <c r="H102" s="19" t="s">
        <v>26</v>
      </c>
      <c r="I102" s="14"/>
      <c r="J102" s="14">
        <v>1</v>
      </c>
      <c r="K102" s="28"/>
      <c r="L102" s="28"/>
      <c r="M102" s="28"/>
      <c r="N102" s="32"/>
      <c r="O102" s="32"/>
      <c r="P102" s="32"/>
      <c r="Q102" s="6"/>
    </row>
    <row r="103" spans="2:17" s="17" customFormat="1" ht="18.75" x14ac:dyDescent="0.25">
      <c r="B103" s="4">
        <v>103</v>
      </c>
      <c r="C103" s="8" t="s">
        <v>274</v>
      </c>
      <c r="D103" s="8" t="s">
        <v>557</v>
      </c>
      <c r="E103" s="3">
        <v>24</v>
      </c>
      <c r="F103" s="1">
        <v>8</v>
      </c>
      <c r="G103" s="1" t="s">
        <v>109</v>
      </c>
      <c r="H103" s="19" t="s">
        <v>26</v>
      </c>
      <c r="I103" s="14"/>
      <c r="J103" s="14">
        <v>1</v>
      </c>
      <c r="K103" s="28"/>
      <c r="L103" s="28"/>
      <c r="M103" s="28"/>
      <c r="N103" s="32"/>
      <c r="O103" s="32"/>
      <c r="P103" s="32"/>
      <c r="Q103" s="6"/>
    </row>
    <row r="104" spans="2:17" s="17" customFormat="1" ht="18.75" x14ac:dyDescent="0.25">
      <c r="B104" s="4">
        <v>104</v>
      </c>
      <c r="C104" s="8" t="s">
        <v>579</v>
      </c>
      <c r="D104" s="8" t="s">
        <v>558</v>
      </c>
      <c r="E104" s="3">
        <v>24</v>
      </c>
      <c r="F104" s="1">
        <v>57</v>
      </c>
      <c r="G104" s="1">
        <v>2</v>
      </c>
      <c r="H104" s="1" t="s">
        <v>12</v>
      </c>
      <c r="I104" s="14">
        <v>1</v>
      </c>
      <c r="J104" s="14"/>
      <c r="K104" s="28"/>
      <c r="L104" s="28"/>
      <c r="M104" s="28"/>
      <c r="N104" s="32"/>
      <c r="O104" s="32"/>
      <c r="P104" s="32">
        <v>1</v>
      </c>
      <c r="Q104" s="6"/>
    </row>
    <row r="105" spans="2:17" s="17" customFormat="1" ht="18.75" x14ac:dyDescent="0.25">
      <c r="B105" s="4">
        <v>105</v>
      </c>
      <c r="C105" s="8" t="s">
        <v>578</v>
      </c>
      <c r="D105" s="8" t="s">
        <v>559</v>
      </c>
      <c r="E105" s="3">
        <v>24</v>
      </c>
      <c r="F105" s="1">
        <v>44</v>
      </c>
      <c r="G105" s="1">
        <v>32</v>
      </c>
      <c r="H105" s="19" t="s">
        <v>26</v>
      </c>
      <c r="I105" s="14"/>
      <c r="J105" s="14">
        <v>1</v>
      </c>
      <c r="K105" s="28"/>
      <c r="L105" s="28"/>
      <c r="M105" s="28"/>
      <c r="N105" s="32"/>
      <c r="O105" s="32"/>
      <c r="P105" s="32"/>
      <c r="Q105" s="6"/>
    </row>
    <row r="106" spans="2:17" s="17" customFormat="1" ht="18.75" x14ac:dyDescent="0.25">
      <c r="B106" s="4">
        <v>106</v>
      </c>
      <c r="C106" s="8" t="s">
        <v>577</v>
      </c>
      <c r="D106" s="8" t="s">
        <v>551</v>
      </c>
      <c r="E106" s="3">
        <v>24</v>
      </c>
      <c r="F106" s="1">
        <v>67</v>
      </c>
      <c r="G106" s="1">
        <v>15</v>
      </c>
      <c r="H106" s="19" t="s">
        <v>26</v>
      </c>
      <c r="I106" s="14"/>
      <c r="J106" s="14">
        <v>1</v>
      </c>
      <c r="K106" s="28"/>
      <c r="L106" s="28"/>
      <c r="M106" s="28">
        <v>1</v>
      </c>
      <c r="N106" s="32"/>
      <c r="O106" s="32"/>
      <c r="P106" s="32"/>
      <c r="Q106" s="6"/>
    </row>
    <row r="107" spans="2:17" s="17" customFormat="1" ht="18.75" x14ac:dyDescent="0.25">
      <c r="B107" s="4">
        <v>107</v>
      </c>
      <c r="C107" s="8" t="s">
        <v>576</v>
      </c>
      <c r="D107" s="8" t="s">
        <v>560</v>
      </c>
      <c r="E107" s="3">
        <v>24</v>
      </c>
      <c r="F107" s="1">
        <v>35</v>
      </c>
      <c r="G107" s="1">
        <v>29</v>
      </c>
      <c r="H107" s="19" t="s">
        <v>26</v>
      </c>
      <c r="I107" s="14"/>
      <c r="J107" s="14">
        <v>1</v>
      </c>
      <c r="K107" s="28"/>
      <c r="L107" s="28"/>
      <c r="M107" s="28"/>
      <c r="N107" s="32"/>
      <c r="O107" s="32"/>
      <c r="P107" s="32"/>
      <c r="Q107" s="6"/>
    </row>
    <row r="108" spans="2:17" s="17" customFormat="1" ht="18.75" x14ac:dyDescent="0.25">
      <c r="B108" s="4">
        <v>108</v>
      </c>
      <c r="C108" s="8" t="s">
        <v>575</v>
      </c>
      <c r="D108" s="8" t="s">
        <v>561</v>
      </c>
      <c r="E108" s="3">
        <v>24</v>
      </c>
      <c r="F108" s="1">
        <v>69</v>
      </c>
      <c r="G108" s="1">
        <v>14</v>
      </c>
      <c r="H108" s="19" t="s">
        <v>26</v>
      </c>
      <c r="I108" s="14"/>
      <c r="J108" s="14">
        <v>1</v>
      </c>
      <c r="K108" s="28"/>
      <c r="L108" s="28"/>
      <c r="M108" s="28">
        <v>1</v>
      </c>
      <c r="N108" s="32"/>
      <c r="O108" s="32"/>
      <c r="P108" s="32"/>
      <c r="Q108" s="6"/>
    </row>
    <row r="109" spans="2:17" s="17" customFormat="1" ht="18.75" x14ac:dyDescent="0.25">
      <c r="B109" s="4">
        <v>109</v>
      </c>
      <c r="C109" s="8" t="s">
        <v>574</v>
      </c>
      <c r="D109" s="8" t="s">
        <v>549</v>
      </c>
      <c r="E109" s="3">
        <v>24</v>
      </c>
      <c r="F109" s="1">
        <v>24</v>
      </c>
      <c r="G109" s="1">
        <v>26</v>
      </c>
      <c r="H109" s="19" t="s">
        <v>26</v>
      </c>
      <c r="I109" s="14"/>
      <c r="J109" s="14">
        <v>1</v>
      </c>
      <c r="K109" s="28"/>
      <c r="L109" s="28"/>
      <c r="M109" s="28"/>
      <c r="N109" s="32"/>
      <c r="O109" s="32"/>
      <c r="P109" s="32"/>
      <c r="Q109" s="6"/>
    </row>
    <row r="110" spans="2:17" s="17" customFormat="1" ht="18.75" x14ac:dyDescent="0.25">
      <c r="B110" s="4">
        <v>110</v>
      </c>
      <c r="C110" s="8" t="s">
        <v>131</v>
      </c>
      <c r="D110" s="8" t="s">
        <v>562</v>
      </c>
      <c r="E110" s="3">
        <v>24</v>
      </c>
      <c r="F110" s="1">
        <v>107</v>
      </c>
      <c r="G110" s="1">
        <v>28</v>
      </c>
      <c r="H110" s="1" t="s">
        <v>12</v>
      </c>
      <c r="I110" s="14">
        <v>1</v>
      </c>
      <c r="J110" s="14"/>
      <c r="K110" s="28"/>
      <c r="L110" s="28"/>
      <c r="M110" s="28"/>
      <c r="N110" s="32"/>
      <c r="O110" s="32">
        <v>1</v>
      </c>
      <c r="P110" s="32"/>
      <c r="Q110" s="6"/>
    </row>
    <row r="111" spans="2:17" s="17" customFormat="1" ht="18.75" x14ac:dyDescent="0.25">
      <c r="B111" s="4">
        <v>111</v>
      </c>
      <c r="C111" s="8" t="s">
        <v>573</v>
      </c>
      <c r="D111" s="8" t="s">
        <v>563</v>
      </c>
      <c r="E111" s="3">
        <v>24</v>
      </c>
      <c r="F111" s="1">
        <v>51</v>
      </c>
      <c r="G111" s="1">
        <v>30</v>
      </c>
      <c r="H111" s="1" t="s">
        <v>12</v>
      </c>
      <c r="I111" s="14">
        <v>1</v>
      </c>
      <c r="J111" s="14"/>
      <c r="K111" s="28"/>
      <c r="L111" s="28"/>
      <c r="M111" s="28"/>
      <c r="N111" s="32"/>
      <c r="O111" s="32">
        <v>1</v>
      </c>
      <c r="P111" s="32"/>
      <c r="Q111" s="6"/>
    </row>
    <row r="112" spans="2:17" s="17" customFormat="1" ht="18.75" x14ac:dyDescent="0.25">
      <c r="B112" s="4">
        <v>112</v>
      </c>
      <c r="C112" s="8" t="s">
        <v>573</v>
      </c>
      <c r="D112" s="8" t="s">
        <v>554</v>
      </c>
      <c r="E112" s="3">
        <v>24</v>
      </c>
      <c r="F112" s="1">
        <v>136</v>
      </c>
      <c r="G112" s="1">
        <v>33</v>
      </c>
      <c r="H112" s="19" t="s">
        <v>26</v>
      </c>
      <c r="I112" s="14"/>
      <c r="J112" s="14">
        <v>1</v>
      </c>
      <c r="K112" s="28"/>
      <c r="L112" s="28"/>
      <c r="M112" s="28"/>
      <c r="N112" s="32"/>
      <c r="O112" s="32"/>
      <c r="P112" s="32"/>
      <c r="Q112" s="6"/>
    </row>
    <row r="113" spans="2:17" s="17" customFormat="1" ht="18.75" x14ac:dyDescent="0.25">
      <c r="B113" s="4">
        <v>113</v>
      </c>
      <c r="C113" s="8" t="s">
        <v>131</v>
      </c>
      <c r="D113" s="8" t="s">
        <v>564</v>
      </c>
      <c r="E113" s="3">
        <v>24</v>
      </c>
      <c r="F113" s="1">
        <v>24</v>
      </c>
      <c r="G113" s="1" t="s">
        <v>109</v>
      </c>
      <c r="H113" s="1" t="s">
        <v>12</v>
      </c>
      <c r="I113" s="14">
        <v>1</v>
      </c>
      <c r="J113" s="14"/>
      <c r="K113" s="28"/>
      <c r="L113" s="28"/>
      <c r="M113" s="28"/>
      <c r="N113" s="32"/>
      <c r="O113" s="32"/>
      <c r="P113" s="32">
        <v>1</v>
      </c>
      <c r="Q113" s="6"/>
    </row>
    <row r="114" spans="2:17" s="17" customFormat="1" ht="18.75" x14ac:dyDescent="0.25">
      <c r="B114" s="4">
        <v>114</v>
      </c>
      <c r="C114" s="8" t="s">
        <v>214</v>
      </c>
      <c r="D114" s="8" t="s">
        <v>565</v>
      </c>
      <c r="E114" s="3">
        <v>24</v>
      </c>
      <c r="F114" s="1">
        <v>96</v>
      </c>
      <c r="G114" s="1">
        <v>28</v>
      </c>
      <c r="H114" s="1" t="s">
        <v>12</v>
      </c>
      <c r="I114" s="14">
        <v>1</v>
      </c>
      <c r="J114" s="14"/>
      <c r="K114" s="28"/>
      <c r="L114" s="28"/>
      <c r="M114" s="28"/>
      <c r="N114" s="32"/>
      <c r="O114" s="32">
        <v>1</v>
      </c>
      <c r="P114" s="32"/>
      <c r="Q114" s="6"/>
    </row>
    <row r="115" spans="2:17" s="17" customFormat="1" ht="18.75" x14ac:dyDescent="0.25">
      <c r="B115" s="4">
        <v>115</v>
      </c>
      <c r="C115" s="8" t="s">
        <v>131</v>
      </c>
      <c r="D115" s="8" t="s">
        <v>566</v>
      </c>
      <c r="E115" s="3"/>
      <c r="F115" s="1"/>
      <c r="G115" s="1"/>
      <c r="H115" s="19" t="s">
        <v>26</v>
      </c>
      <c r="I115" s="14"/>
      <c r="J115" s="14">
        <v>1</v>
      </c>
      <c r="K115" s="28"/>
      <c r="L115" s="28"/>
      <c r="M115" s="28"/>
      <c r="N115" s="32"/>
      <c r="O115" s="32"/>
      <c r="P115" s="32"/>
      <c r="Q115" s="6"/>
    </row>
    <row r="116" spans="2:17" s="17" customFormat="1" ht="18.75" x14ac:dyDescent="0.25">
      <c r="B116" s="4">
        <v>116</v>
      </c>
      <c r="C116" s="8" t="s">
        <v>214</v>
      </c>
      <c r="D116" s="8" t="s">
        <v>567</v>
      </c>
      <c r="E116" s="3">
        <v>24</v>
      </c>
      <c r="F116" s="1"/>
      <c r="G116" s="1"/>
      <c r="H116" s="19" t="s">
        <v>26</v>
      </c>
      <c r="I116" s="14"/>
      <c r="J116" s="14">
        <v>1</v>
      </c>
      <c r="K116" s="28"/>
      <c r="L116" s="28"/>
      <c r="M116" s="28"/>
      <c r="N116" s="32"/>
      <c r="O116" s="32"/>
      <c r="P116" s="32"/>
      <c r="Q116" s="6"/>
    </row>
    <row r="117" spans="2:17" s="17" customFormat="1" ht="18.75" x14ac:dyDescent="0.25">
      <c r="B117" s="4">
        <v>117</v>
      </c>
      <c r="C117" s="8" t="s">
        <v>214</v>
      </c>
      <c r="D117" s="8" t="s">
        <v>568</v>
      </c>
      <c r="E117" s="8">
        <v>24</v>
      </c>
      <c r="F117" s="7">
        <v>118</v>
      </c>
      <c r="G117" s="7">
        <v>33</v>
      </c>
      <c r="H117" s="7" t="s">
        <v>12</v>
      </c>
      <c r="I117" s="14">
        <v>1</v>
      </c>
      <c r="J117" s="15"/>
      <c r="K117" s="29"/>
      <c r="L117" s="29"/>
      <c r="M117" s="29"/>
      <c r="N117" s="32"/>
      <c r="O117" s="33">
        <v>1</v>
      </c>
      <c r="P117" s="33"/>
      <c r="Q117" s="9"/>
    </row>
    <row r="118" spans="2:17" s="17" customFormat="1" ht="18.75" x14ac:dyDescent="0.25">
      <c r="B118" s="4">
        <v>118</v>
      </c>
      <c r="C118" s="8" t="s">
        <v>572</v>
      </c>
      <c r="D118" s="8" t="s">
        <v>569</v>
      </c>
      <c r="E118" s="3">
        <v>24</v>
      </c>
      <c r="F118" s="1">
        <v>19</v>
      </c>
      <c r="G118" s="1">
        <v>28</v>
      </c>
      <c r="H118" s="19" t="s">
        <v>26</v>
      </c>
      <c r="I118" s="14"/>
      <c r="J118" s="14">
        <v>1</v>
      </c>
      <c r="K118" s="28"/>
      <c r="L118" s="28"/>
      <c r="M118" s="28"/>
      <c r="N118" s="32"/>
      <c r="O118" s="32"/>
      <c r="P118" s="32"/>
      <c r="Q118" s="6"/>
    </row>
    <row r="119" spans="2:17" s="17" customFormat="1" ht="18.75" x14ac:dyDescent="0.25">
      <c r="B119" s="4">
        <v>119</v>
      </c>
      <c r="C119" s="8" t="s">
        <v>315</v>
      </c>
      <c r="D119" s="8" t="s">
        <v>570</v>
      </c>
      <c r="E119" s="3">
        <v>24</v>
      </c>
      <c r="F119" s="1">
        <v>46</v>
      </c>
      <c r="G119" s="1">
        <v>3</v>
      </c>
      <c r="H119" s="1" t="s">
        <v>12</v>
      </c>
      <c r="I119" s="14">
        <v>1</v>
      </c>
      <c r="J119" s="14"/>
      <c r="K119" s="28"/>
      <c r="L119" s="28"/>
      <c r="M119" s="28"/>
      <c r="N119" s="32"/>
      <c r="O119" s="32"/>
      <c r="P119" s="32">
        <v>1</v>
      </c>
      <c r="Q119" s="6"/>
    </row>
    <row r="120" spans="2:17" s="17" customFormat="1" ht="18.75" x14ac:dyDescent="0.25">
      <c r="B120" s="4">
        <v>120</v>
      </c>
      <c r="C120" s="8" t="s">
        <v>315</v>
      </c>
      <c r="D120" s="8" t="s">
        <v>571</v>
      </c>
      <c r="E120" s="3">
        <v>24</v>
      </c>
      <c r="F120" s="1">
        <v>36</v>
      </c>
      <c r="G120" s="1">
        <v>41</v>
      </c>
      <c r="H120" s="19" t="s">
        <v>26</v>
      </c>
      <c r="I120" s="14"/>
      <c r="J120" s="14">
        <v>1</v>
      </c>
      <c r="K120" s="28"/>
      <c r="L120" s="28"/>
      <c r="M120" s="28"/>
      <c r="N120" s="32"/>
      <c r="O120" s="32"/>
      <c r="P120" s="32"/>
      <c r="Q120" s="6"/>
    </row>
    <row r="121" spans="2:17" s="17" customFormat="1" ht="18.75" x14ac:dyDescent="0.25">
      <c r="B121" s="4">
        <v>121</v>
      </c>
      <c r="C121" s="8" t="s">
        <v>128</v>
      </c>
      <c r="D121" s="8" t="s">
        <v>624</v>
      </c>
      <c r="E121" s="3">
        <v>24</v>
      </c>
      <c r="F121" s="1">
        <v>96</v>
      </c>
      <c r="G121" s="1">
        <v>31</v>
      </c>
      <c r="H121" s="19" t="s">
        <v>26</v>
      </c>
      <c r="I121" s="14"/>
      <c r="J121" s="14">
        <v>1</v>
      </c>
      <c r="K121" s="28"/>
      <c r="L121" s="28"/>
      <c r="M121" s="28"/>
      <c r="N121" s="32"/>
      <c r="O121" s="32"/>
      <c r="P121" s="32"/>
      <c r="Q121" s="6"/>
    </row>
    <row r="122" spans="2:17" s="17" customFormat="1" ht="18.75" x14ac:dyDescent="0.25">
      <c r="B122" s="4">
        <v>122</v>
      </c>
      <c r="C122" s="8" t="s">
        <v>232</v>
      </c>
      <c r="D122" s="8" t="s">
        <v>625</v>
      </c>
      <c r="E122" s="3">
        <v>24</v>
      </c>
      <c r="F122" s="1">
        <v>90</v>
      </c>
      <c r="G122" s="1">
        <v>29</v>
      </c>
      <c r="H122" s="19" t="s">
        <v>26</v>
      </c>
      <c r="I122" s="14"/>
      <c r="J122" s="14">
        <v>1</v>
      </c>
      <c r="K122" s="28"/>
      <c r="L122" s="28"/>
      <c r="M122" s="28"/>
      <c r="N122" s="32"/>
      <c r="O122" s="32"/>
      <c r="P122" s="32"/>
      <c r="Q122" s="6"/>
    </row>
    <row r="123" spans="2:17" s="17" customFormat="1" ht="18.75" x14ac:dyDescent="0.25">
      <c r="B123" s="4">
        <v>123</v>
      </c>
      <c r="C123" s="8" t="s">
        <v>232</v>
      </c>
      <c r="D123" s="8" t="s">
        <v>626</v>
      </c>
      <c r="E123" s="3">
        <v>24</v>
      </c>
      <c r="F123" s="1">
        <v>44</v>
      </c>
      <c r="G123" s="1">
        <v>13</v>
      </c>
      <c r="H123" s="19" t="s">
        <v>26</v>
      </c>
      <c r="I123" s="14"/>
      <c r="J123" s="14">
        <v>1</v>
      </c>
      <c r="K123" s="28"/>
      <c r="L123" s="28"/>
      <c r="M123" s="28"/>
      <c r="N123" s="32"/>
      <c r="O123" s="32"/>
      <c r="P123" s="32"/>
      <c r="Q123" s="6"/>
    </row>
    <row r="124" spans="2:17" s="17" customFormat="1" ht="18.75" x14ac:dyDescent="0.25">
      <c r="B124" s="4">
        <v>124</v>
      </c>
      <c r="C124" s="8" t="s">
        <v>627</v>
      </c>
      <c r="D124" s="8" t="s">
        <v>628</v>
      </c>
      <c r="E124" s="3"/>
      <c r="F124" s="1"/>
      <c r="G124" s="1"/>
      <c r="H124" s="19" t="s">
        <v>26</v>
      </c>
      <c r="I124" s="14"/>
      <c r="J124" s="14">
        <v>1</v>
      </c>
      <c r="K124" s="28"/>
      <c r="L124" s="28"/>
      <c r="M124" s="28"/>
      <c r="N124" s="32"/>
      <c r="O124" s="32"/>
      <c r="P124" s="32"/>
      <c r="Q124" s="6"/>
    </row>
    <row r="125" spans="2:17" s="17" customFormat="1" ht="18.75" x14ac:dyDescent="0.25">
      <c r="B125" s="4">
        <v>125</v>
      </c>
      <c r="C125" s="8" t="s">
        <v>205</v>
      </c>
      <c r="D125" s="8" t="s">
        <v>629</v>
      </c>
      <c r="E125" s="3">
        <v>24</v>
      </c>
      <c r="F125" s="1">
        <v>45</v>
      </c>
      <c r="G125" s="1">
        <v>22</v>
      </c>
      <c r="H125" s="19" t="s">
        <v>26</v>
      </c>
      <c r="I125" s="14"/>
      <c r="J125" s="14">
        <v>1</v>
      </c>
      <c r="K125" s="28"/>
      <c r="L125" s="28"/>
      <c r="M125" s="28">
        <v>1</v>
      </c>
      <c r="N125" s="32"/>
      <c r="O125" s="32"/>
      <c r="P125" s="32"/>
      <c r="Q125" s="6"/>
    </row>
    <row r="126" spans="2:17" s="17" customFormat="1" ht="18.75" x14ac:dyDescent="0.25">
      <c r="B126" s="4">
        <v>126</v>
      </c>
      <c r="C126" s="8" t="s">
        <v>2824</v>
      </c>
      <c r="D126" s="8" t="s">
        <v>2825</v>
      </c>
      <c r="E126" s="3">
        <v>24</v>
      </c>
      <c r="F126" s="1">
        <v>33</v>
      </c>
      <c r="G126" s="1">
        <v>22</v>
      </c>
      <c r="H126" s="1" t="s">
        <v>12</v>
      </c>
      <c r="I126" s="14">
        <v>1</v>
      </c>
      <c r="J126" s="14"/>
      <c r="K126" s="28"/>
      <c r="L126" s="28"/>
      <c r="M126" s="28"/>
      <c r="N126" s="32"/>
      <c r="O126" s="32"/>
      <c r="P126" s="32">
        <v>1</v>
      </c>
      <c r="Q126" s="6"/>
    </row>
    <row r="127" spans="2:17" s="17" customFormat="1" ht="18.75" x14ac:dyDescent="0.25">
      <c r="B127" s="4">
        <v>127</v>
      </c>
      <c r="C127" s="8" t="s">
        <v>630</v>
      </c>
      <c r="D127" s="8" t="s">
        <v>631</v>
      </c>
      <c r="E127" s="3">
        <v>24</v>
      </c>
      <c r="F127" s="1">
        <v>29</v>
      </c>
      <c r="G127" s="1">
        <v>12</v>
      </c>
      <c r="H127" s="19" t="s">
        <v>26</v>
      </c>
      <c r="I127" s="14"/>
      <c r="J127" s="14">
        <v>1</v>
      </c>
      <c r="K127" s="28"/>
      <c r="L127" s="28"/>
      <c r="M127" s="28"/>
      <c r="N127" s="32"/>
      <c r="O127" s="32"/>
      <c r="P127" s="32"/>
      <c r="Q127" s="6"/>
    </row>
    <row r="128" spans="2:17" s="17" customFormat="1" ht="18.75" x14ac:dyDescent="0.25">
      <c r="B128" s="4">
        <v>128</v>
      </c>
      <c r="C128" s="8" t="s">
        <v>632</v>
      </c>
      <c r="D128" s="8" t="s">
        <v>633</v>
      </c>
      <c r="E128" s="3">
        <v>24</v>
      </c>
      <c r="F128" s="1">
        <v>18</v>
      </c>
      <c r="G128" s="1">
        <v>12</v>
      </c>
      <c r="H128" s="19" t="s">
        <v>26</v>
      </c>
      <c r="I128" s="14"/>
      <c r="J128" s="14">
        <v>1</v>
      </c>
      <c r="K128" s="28"/>
      <c r="L128" s="28"/>
      <c r="M128" s="28"/>
      <c r="N128" s="32"/>
      <c r="O128" s="32"/>
      <c r="P128" s="32"/>
      <c r="Q128" s="6"/>
    </row>
    <row r="129" spans="2:17" s="17" customFormat="1" ht="18.75" x14ac:dyDescent="0.25">
      <c r="B129" s="4">
        <v>129</v>
      </c>
      <c r="C129" s="8" t="s">
        <v>634</v>
      </c>
      <c r="D129" s="8" t="s">
        <v>635</v>
      </c>
      <c r="E129" s="3">
        <v>24</v>
      </c>
      <c r="F129" s="1">
        <v>20</v>
      </c>
      <c r="G129" s="1">
        <v>5</v>
      </c>
      <c r="H129" s="19" t="s">
        <v>26</v>
      </c>
      <c r="I129" s="14"/>
      <c r="J129" s="14">
        <v>1</v>
      </c>
      <c r="K129" s="28"/>
      <c r="L129" s="28"/>
      <c r="M129" s="28"/>
      <c r="N129" s="32"/>
      <c r="O129" s="32"/>
      <c r="P129" s="32"/>
      <c r="Q129" s="6"/>
    </row>
    <row r="130" spans="2:17" s="17" customFormat="1" ht="18.75" x14ac:dyDescent="0.25">
      <c r="B130" s="4">
        <v>130</v>
      </c>
      <c r="C130" s="8" t="s">
        <v>634</v>
      </c>
      <c r="D130" s="8" t="s">
        <v>3081</v>
      </c>
      <c r="E130" s="3">
        <v>24</v>
      </c>
      <c r="F130" s="1">
        <v>38</v>
      </c>
      <c r="G130" s="1">
        <v>20</v>
      </c>
      <c r="H130" s="19" t="s">
        <v>26</v>
      </c>
      <c r="I130" s="14"/>
      <c r="J130" s="14">
        <v>1</v>
      </c>
      <c r="K130" s="28"/>
      <c r="L130" s="28"/>
      <c r="M130" s="28">
        <v>1</v>
      </c>
      <c r="N130" s="32"/>
      <c r="O130" s="32"/>
      <c r="P130" s="32"/>
      <c r="Q130" s="6"/>
    </row>
    <row r="131" spans="2:17" s="17" customFormat="1" ht="18.75" x14ac:dyDescent="0.25">
      <c r="B131" s="4">
        <v>131</v>
      </c>
      <c r="C131" s="8" t="s">
        <v>636</v>
      </c>
      <c r="D131" s="8" t="s">
        <v>637</v>
      </c>
      <c r="E131" s="3">
        <v>24</v>
      </c>
      <c r="F131" s="1">
        <v>33</v>
      </c>
      <c r="G131" s="1">
        <v>4</v>
      </c>
      <c r="H131" s="1" t="s">
        <v>12</v>
      </c>
      <c r="I131" s="14">
        <v>1</v>
      </c>
      <c r="J131" s="14"/>
      <c r="K131" s="28"/>
      <c r="L131" s="28"/>
      <c r="M131" s="28"/>
      <c r="N131" s="32"/>
      <c r="O131" s="32"/>
      <c r="P131" s="32">
        <v>1</v>
      </c>
      <c r="Q131" s="6"/>
    </row>
    <row r="132" spans="2:17" s="17" customFormat="1" ht="18.75" x14ac:dyDescent="0.25">
      <c r="B132" s="4">
        <v>132</v>
      </c>
      <c r="C132" s="8" t="s">
        <v>638</v>
      </c>
      <c r="D132" s="8" t="s">
        <v>639</v>
      </c>
      <c r="E132" s="3">
        <v>24</v>
      </c>
      <c r="F132" s="1">
        <v>50</v>
      </c>
      <c r="G132" s="1">
        <v>23</v>
      </c>
      <c r="H132" s="1" t="s">
        <v>12</v>
      </c>
      <c r="I132" s="14">
        <v>1</v>
      </c>
      <c r="J132" s="14"/>
      <c r="K132" s="28"/>
      <c r="L132" s="28"/>
      <c r="M132" s="28"/>
      <c r="N132" s="32"/>
      <c r="O132" s="32"/>
      <c r="P132" s="32"/>
      <c r="Q132" s="6"/>
    </row>
    <row r="133" spans="2:17" s="17" customFormat="1" ht="18.75" x14ac:dyDescent="0.25">
      <c r="B133" s="4">
        <v>133</v>
      </c>
      <c r="C133" s="8" t="s">
        <v>640</v>
      </c>
      <c r="D133" s="8" t="s">
        <v>641</v>
      </c>
      <c r="E133" s="3">
        <v>24</v>
      </c>
      <c r="F133" s="1">
        <v>141</v>
      </c>
      <c r="G133" s="1">
        <v>31</v>
      </c>
      <c r="H133" s="19" t="s">
        <v>26</v>
      </c>
      <c r="I133" s="14"/>
      <c r="J133" s="14">
        <v>1</v>
      </c>
      <c r="K133" s="28"/>
      <c r="L133" s="28"/>
      <c r="M133" s="28"/>
      <c r="N133" s="32"/>
      <c r="O133" s="32"/>
      <c r="P133" s="32"/>
      <c r="Q133" s="6"/>
    </row>
    <row r="134" spans="2:17" s="17" customFormat="1" ht="18.75" x14ac:dyDescent="0.25">
      <c r="B134" s="4">
        <v>134</v>
      </c>
      <c r="C134" s="8" t="s">
        <v>199</v>
      </c>
      <c r="D134" s="8" t="s">
        <v>642</v>
      </c>
      <c r="E134" s="3">
        <v>24</v>
      </c>
      <c r="F134" s="1">
        <v>7</v>
      </c>
      <c r="G134" s="1">
        <v>6</v>
      </c>
      <c r="H134" s="19" t="s">
        <v>26</v>
      </c>
      <c r="I134" s="14"/>
      <c r="J134" s="14">
        <v>1</v>
      </c>
      <c r="K134" s="28"/>
      <c r="L134" s="28"/>
      <c r="M134" s="28"/>
      <c r="N134" s="32"/>
      <c r="O134" s="32"/>
      <c r="P134" s="32"/>
      <c r="Q134" s="6"/>
    </row>
    <row r="135" spans="2:17" s="17" customFormat="1" ht="18.75" x14ac:dyDescent="0.25">
      <c r="B135" s="4">
        <v>135</v>
      </c>
      <c r="C135" s="8" t="s">
        <v>199</v>
      </c>
      <c r="D135" s="8" t="s">
        <v>643</v>
      </c>
      <c r="E135" s="3">
        <v>24</v>
      </c>
      <c r="F135" s="1">
        <v>43</v>
      </c>
      <c r="G135" s="1">
        <v>26</v>
      </c>
      <c r="H135" s="19" t="s">
        <v>26</v>
      </c>
      <c r="I135" s="14"/>
      <c r="J135" s="14">
        <v>1</v>
      </c>
      <c r="K135" s="28"/>
      <c r="L135" s="28"/>
      <c r="M135" s="28"/>
      <c r="N135" s="32"/>
      <c r="O135" s="32"/>
      <c r="P135" s="32"/>
      <c r="Q135" s="6"/>
    </row>
    <row r="136" spans="2:17" s="17" customFormat="1" ht="18.75" x14ac:dyDescent="0.25">
      <c r="B136" s="4">
        <v>136</v>
      </c>
      <c r="C136" s="8" t="s">
        <v>644</v>
      </c>
      <c r="D136" s="8" t="s">
        <v>645</v>
      </c>
      <c r="E136" s="3">
        <v>24</v>
      </c>
      <c r="F136" s="1">
        <v>44</v>
      </c>
      <c r="G136" s="1">
        <v>8</v>
      </c>
      <c r="H136" s="19" t="s">
        <v>26</v>
      </c>
      <c r="I136" s="14"/>
      <c r="J136" s="14">
        <v>1</v>
      </c>
      <c r="K136" s="28"/>
      <c r="L136" s="28"/>
      <c r="M136" s="28"/>
      <c r="N136" s="32"/>
      <c r="O136" s="32"/>
      <c r="P136" s="32"/>
      <c r="Q136" s="6"/>
    </row>
    <row r="137" spans="2:17" s="17" customFormat="1" ht="18.75" x14ac:dyDescent="0.25">
      <c r="B137" s="4">
        <v>137</v>
      </c>
      <c r="C137" s="8" t="s">
        <v>646</v>
      </c>
      <c r="D137" s="8" t="s">
        <v>647</v>
      </c>
      <c r="E137" s="3">
        <v>24</v>
      </c>
      <c r="F137" s="1">
        <v>26</v>
      </c>
      <c r="G137" s="1">
        <v>10</v>
      </c>
      <c r="H137" s="1" t="s">
        <v>12</v>
      </c>
      <c r="I137" s="14">
        <v>1</v>
      </c>
      <c r="J137" s="14"/>
      <c r="K137" s="28"/>
      <c r="L137" s="28"/>
      <c r="M137" s="28"/>
      <c r="N137" s="32"/>
      <c r="O137" s="32"/>
      <c r="P137" s="32"/>
      <c r="Q137" s="6"/>
    </row>
    <row r="138" spans="2:17" s="17" customFormat="1" ht="18.75" x14ac:dyDescent="0.25">
      <c r="B138" s="4">
        <v>138</v>
      </c>
      <c r="C138" s="8" t="s">
        <v>646</v>
      </c>
      <c r="D138" s="8" t="s">
        <v>648</v>
      </c>
      <c r="E138" s="3">
        <v>24</v>
      </c>
      <c r="F138" s="1">
        <v>32</v>
      </c>
      <c r="G138" s="1">
        <v>17</v>
      </c>
      <c r="H138" s="19" t="s">
        <v>26</v>
      </c>
      <c r="I138" s="14"/>
      <c r="J138" s="14">
        <v>1</v>
      </c>
      <c r="K138" s="28"/>
      <c r="L138" s="28"/>
      <c r="M138" s="28"/>
      <c r="N138" s="32"/>
      <c r="O138" s="32"/>
      <c r="P138" s="32"/>
      <c r="Q138" s="6"/>
    </row>
    <row r="139" spans="2:17" s="17" customFormat="1" ht="18.75" x14ac:dyDescent="0.25">
      <c r="B139" s="4">
        <v>139</v>
      </c>
      <c r="C139" s="8" t="s">
        <v>649</v>
      </c>
      <c r="D139" s="8" t="s">
        <v>650</v>
      </c>
      <c r="E139" s="3">
        <v>24</v>
      </c>
      <c r="F139" s="1">
        <v>33</v>
      </c>
      <c r="G139" s="1">
        <v>25</v>
      </c>
      <c r="H139" s="1" t="s">
        <v>12</v>
      </c>
      <c r="I139" s="14">
        <v>1</v>
      </c>
      <c r="J139" s="14"/>
      <c r="K139" s="28"/>
      <c r="L139" s="28"/>
      <c r="M139" s="28"/>
      <c r="N139" s="32"/>
      <c r="O139" s="32"/>
      <c r="P139" s="32">
        <v>1</v>
      </c>
      <c r="Q139" s="6"/>
    </row>
    <row r="140" spans="2:17" s="17" customFormat="1" ht="18.75" x14ac:dyDescent="0.25">
      <c r="B140" s="4">
        <v>140</v>
      </c>
      <c r="C140" s="8" t="s">
        <v>138</v>
      </c>
      <c r="D140" s="8" t="s">
        <v>651</v>
      </c>
      <c r="E140" s="3">
        <v>24</v>
      </c>
      <c r="F140" s="1">
        <v>61</v>
      </c>
      <c r="G140" s="1">
        <v>14</v>
      </c>
      <c r="H140" s="1" t="s">
        <v>12</v>
      </c>
      <c r="I140" s="14">
        <v>1</v>
      </c>
      <c r="J140" s="14"/>
      <c r="K140" s="28"/>
      <c r="L140" s="28"/>
      <c r="M140" s="28"/>
      <c r="N140" s="32"/>
      <c r="O140" s="32"/>
      <c r="P140" s="32">
        <v>1</v>
      </c>
      <c r="Q140" s="6"/>
    </row>
    <row r="141" spans="2:17" s="17" customFormat="1" ht="18.75" x14ac:dyDescent="0.25">
      <c r="B141" s="4">
        <v>141</v>
      </c>
      <c r="C141" s="8" t="s">
        <v>652</v>
      </c>
      <c r="D141" s="8" t="s">
        <v>654</v>
      </c>
      <c r="E141" s="3">
        <v>24</v>
      </c>
      <c r="F141" s="1">
        <v>60</v>
      </c>
      <c r="G141" s="1">
        <v>16</v>
      </c>
      <c r="H141" s="19" t="s">
        <v>26</v>
      </c>
      <c r="I141" s="14"/>
      <c r="J141" s="14">
        <v>1</v>
      </c>
      <c r="K141" s="28"/>
      <c r="L141" s="28"/>
      <c r="M141" s="28"/>
      <c r="N141" s="32"/>
      <c r="O141" s="32"/>
      <c r="P141" s="32"/>
      <c r="Q141" s="6"/>
    </row>
    <row r="142" spans="2:17" s="17" customFormat="1" ht="18.75" x14ac:dyDescent="0.25">
      <c r="B142" s="4">
        <v>142</v>
      </c>
      <c r="C142" s="8" t="s">
        <v>655</v>
      </c>
      <c r="D142" s="8" t="s">
        <v>656</v>
      </c>
      <c r="E142" s="3">
        <v>24</v>
      </c>
      <c r="F142" s="1">
        <v>26</v>
      </c>
      <c r="G142" s="1">
        <v>20</v>
      </c>
      <c r="H142" s="19" t="s">
        <v>26</v>
      </c>
      <c r="I142" s="14"/>
      <c r="J142" s="14">
        <v>1</v>
      </c>
      <c r="K142" s="28"/>
      <c r="L142" s="28"/>
      <c r="M142" s="28"/>
      <c r="N142" s="32"/>
      <c r="O142" s="32"/>
      <c r="P142" s="32"/>
      <c r="Q142" s="6"/>
    </row>
    <row r="143" spans="2:17" s="17" customFormat="1" ht="18.75" x14ac:dyDescent="0.25">
      <c r="B143" s="4">
        <v>143</v>
      </c>
      <c r="C143" s="8" t="s">
        <v>657</v>
      </c>
      <c r="D143" s="8" t="s">
        <v>658</v>
      </c>
      <c r="E143" s="3">
        <v>24</v>
      </c>
      <c r="F143" s="1">
        <v>38</v>
      </c>
      <c r="G143" s="1">
        <v>9</v>
      </c>
      <c r="H143" s="19" t="s">
        <v>26</v>
      </c>
      <c r="I143" s="14"/>
      <c r="J143" s="14">
        <v>1</v>
      </c>
      <c r="K143" s="28"/>
      <c r="L143" s="28"/>
      <c r="M143" s="28"/>
      <c r="N143" s="32"/>
      <c r="O143" s="32"/>
      <c r="P143" s="32"/>
      <c r="Q143" s="6"/>
    </row>
    <row r="144" spans="2:17" s="17" customFormat="1" ht="18.75" x14ac:dyDescent="0.25">
      <c r="B144" s="4">
        <v>144</v>
      </c>
      <c r="C144" s="8" t="s">
        <v>659</v>
      </c>
      <c r="D144" s="8" t="s">
        <v>660</v>
      </c>
      <c r="E144" s="3">
        <v>24</v>
      </c>
      <c r="F144" s="1">
        <v>63</v>
      </c>
      <c r="G144" s="1">
        <v>16</v>
      </c>
      <c r="H144" s="1" t="s">
        <v>12</v>
      </c>
      <c r="I144" s="14">
        <v>1</v>
      </c>
      <c r="J144" s="14"/>
      <c r="K144" s="28"/>
      <c r="L144" s="28"/>
      <c r="M144" s="28"/>
      <c r="N144" s="32"/>
      <c r="O144" s="32"/>
      <c r="P144" s="32">
        <v>1</v>
      </c>
      <c r="Q144" s="6"/>
    </row>
    <row r="145" spans="2:17" s="17" customFormat="1" ht="18.75" x14ac:dyDescent="0.25">
      <c r="B145" s="4">
        <v>145</v>
      </c>
      <c r="C145" s="8" t="s">
        <v>203</v>
      </c>
      <c r="D145" s="8" t="s">
        <v>318</v>
      </c>
      <c r="E145" s="3">
        <v>24</v>
      </c>
      <c r="F145" s="1">
        <v>60</v>
      </c>
      <c r="G145" s="1">
        <v>17</v>
      </c>
      <c r="H145" s="1" t="s">
        <v>12</v>
      </c>
      <c r="I145" s="14">
        <v>1</v>
      </c>
      <c r="J145" s="14"/>
      <c r="K145" s="28"/>
      <c r="L145" s="28"/>
      <c r="M145" s="28"/>
      <c r="N145" s="32">
        <v>1</v>
      </c>
      <c r="O145" s="32"/>
      <c r="P145" s="32"/>
      <c r="Q145" s="6"/>
    </row>
    <row r="146" spans="2:17" s="17" customFormat="1" ht="18.75" x14ac:dyDescent="0.25">
      <c r="B146" s="4">
        <v>146</v>
      </c>
      <c r="C146" s="8" t="s">
        <v>138</v>
      </c>
      <c r="D146" s="8" t="s">
        <v>661</v>
      </c>
      <c r="E146" s="3">
        <v>24</v>
      </c>
      <c r="F146" s="1">
        <v>23</v>
      </c>
      <c r="G146" s="1">
        <v>30</v>
      </c>
      <c r="H146" s="19" t="s">
        <v>26</v>
      </c>
      <c r="I146" s="14"/>
      <c r="J146" s="14">
        <v>1</v>
      </c>
      <c r="K146" s="28"/>
      <c r="L146" s="28"/>
      <c r="M146" s="28"/>
      <c r="N146" s="32"/>
      <c r="O146" s="32"/>
      <c r="P146" s="32"/>
      <c r="Q146" s="6"/>
    </row>
    <row r="147" spans="2:17" s="17" customFormat="1" ht="18.75" x14ac:dyDescent="0.25">
      <c r="B147" s="4">
        <v>147</v>
      </c>
      <c r="C147" s="8" t="s">
        <v>662</v>
      </c>
      <c r="D147" s="8" t="s">
        <v>663</v>
      </c>
      <c r="E147" s="3">
        <v>24</v>
      </c>
      <c r="F147" s="1">
        <v>44</v>
      </c>
      <c r="G147" s="1">
        <v>4</v>
      </c>
      <c r="H147" s="19" t="s">
        <v>26</v>
      </c>
      <c r="I147" s="14"/>
      <c r="J147" s="14">
        <v>1</v>
      </c>
      <c r="K147" s="28"/>
      <c r="L147" s="28"/>
      <c r="M147" s="28"/>
      <c r="N147" s="32"/>
      <c r="O147" s="32"/>
      <c r="P147" s="32"/>
      <c r="Q147" s="6"/>
    </row>
    <row r="148" spans="2:17" s="17" customFormat="1" ht="18.75" x14ac:dyDescent="0.25">
      <c r="B148" s="4">
        <v>148</v>
      </c>
      <c r="C148" s="8" t="s">
        <v>664</v>
      </c>
      <c r="D148" s="8" t="s">
        <v>665</v>
      </c>
      <c r="E148" s="3">
        <v>24</v>
      </c>
      <c r="F148" s="1"/>
      <c r="G148" s="1"/>
      <c r="H148" s="1" t="s">
        <v>12</v>
      </c>
      <c r="I148" s="14">
        <v>1</v>
      </c>
      <c r="J148" s="14"/>
      <c r="K148" s="28"/>
      <c r="L148" s="28"/>
      <c r="M148" s="28"/>
      <c r="N148" s="32">
        <v>0</v>
      </c>
      <c r="O148" s="32"/>
      <c r="P148" s="32"/>
      <c r="Q148" s="6"/>
    </row>
    <row r="149" spans="2:17" s="17" customFormat="1" ht="18.75" x14ac:dyDescent="0.25">
      <c r="B149" s="4">
        <v>149</v>
      </c>
      <c r="C149" s="8" t="s">
        <v>666</v>
      </c>
      <c r="D149" s="8" t="s">
        <v>667</v>
      </c>
      <c r="E149" s="3">
        <v>24</v>
      </c>
      <c r="F149" s="1"/>
      <c r="G149" s="1">
        <v>8</v>
      </c>
      <c r="H149" s="19" t="s">
        <v>26</v>
      </c>
      <c r="I149" s="14"/>
      <c r="J149" s="14">
        <v>1</v>
      </c>
      <c r="K149" s="28"/>
      <c r="L149" s="28"/>
      <c r="M149" s="28"/>
      <c r="N149" s="32"/>
      <c r="O149" s="32"/>
      <c r="P149" s="32"/>
      <c r="Q149" s="6"/>
    </row>
    <row r="150" spans="2:17" s="17" customFormat="1" ht="18.75" x14ac:dyDescent="0.25">
      <c r="B150" s="4">
        <v>150</v>
      </c>
      <c r="C150" s="8" t="s">
        <v>668</v>
      </c>
      <c r="D150" s="8" t="s">
        <v>669</v>
      </c>
      <c r="E150" s="3">
        <v>24</v>
      </c>
      <c r="F150" s="1">
        <v>31</v>
      </c>
      <c r="G150" s="1">
        <v>7</v>
      </c>
      <c r="H150" s="1" t="s">
        <v>12</v>
      </c>
      <c r="I150" s="14">
        <v>1</v>
      </c>
      <c r="J150" s="14"/>
      <c r="K150" s="28"/>
      <c r="L150" s="28"/>
      <c r="M150" s="28"/>
      <c r="N150" s="32"/>
      <c r="O150" s="32"/>
      <c r="P150" s="32">
        <v>1</v>
      </c>
      <c r="Q150" s="6"/>
    </row>
    <row r="151" spans="2:17" s="17" customFormat="1" ht="18.75" x14ac:dyDescent="0.25">
      <c r="B151" s="4">
        <v>151</v>
      </c>
      <c r="C151" s="8" t="s">
        <v>203</v>
      </c>
      <c r="D151" s="8" t="s">
        <v>184</v>
      </c>
      <c r="E151" s="3">
        <v>24</v>
      </c>
      <c r="F151" s="1">
        <v>57</v>
      </c>
      <c r="G151" s="1">
        <v>24</v>
      </c>
      <c r="H151" s="1" t="s">
        <v>12</v>
      </c>
      <c r="I151" s="14">
        <v>1</v>
      </c>
      <c r="J151" s="14"/>
      <c r="K151" s="28"/>
      <c r="L151" s="28"/>
      <c r="M151" s="28"/>
      <c r="N151" s="32"/>
      <c r="O151" s="32"/>
      <c r="P151" s="32">
        <v>1</v>
      </c>
      <c r="Q151" s="6"/>
    </row>
    <row r="152" spans="2:17" s="17" customFormat="1" ht="18.75" x14ac:dyDescent="0.25">
      <c r="B152" s="4">
        <v>152</v>
      </c>
      <c r="C152" s="8" t="s">
        <v>396</v>
      </c>
      <c r="D152" s="8" t="s">
        <v>670</v>
      </c>
      <c r="E152" s="3">
        <v>24</v>
      </c>
      <c r="F152" s="1">
        <v>130</v>
      </c>
      <c r="G152" s="1">
        <v>32</v>
      </c>
      <c r="H152" s="19" t="s">
        <v>26</v>
      </c>
      <c r="I152" s="14"/>
      <c r="J152" s="14">
        <v>1</v>
      </c>
      <c r="K152" s="28"/>
      <c r="L152" s="28"/>
      <c r="M152" s="28"/>
      <c r="N152" s="32"/>
      <c r="O152" s="32"/>
      <c r="P152" s="32"/>
      <c r="Q152" s="6"/>
    </row>
    <row r="153" spans="2:17" s="17" customFormat="1" ht="18.75" x14ac:dyDescent="0.25">
      <c r="B153" s="4">
        <v>153</v>
      </c>
      <c r="C153" s="8" t="s">
        <v>396</v>
      </c>
      <c r="D153" s="8" t="s">
        <v>671</v>
      </c>
      <c r="E153" s="3">
        <v>21</v>
      </c>
      <c r="F153" s="1">
        <v>51</v>
      </c>
      <c r="G153" s="1">
        <v>22</v>
      </c>
      <c r="H153" s="1" t="s">
        <v>12</v>
      </c>
      <c r="I153" s="14">
        <v>1</v>
      </c>
      <c r="J153" s="14"/>
      <c r="K153" s="28"/>
      <c r="L153" s="28"/>
      <c r="M153" s="28"/>
      <c r="N153" s="32"/>
      <c r="O153" s="32"/>
      <c r="P153" s="32">
        <v>1</v>
      </c>
      <c r="Q153" s="6"/>
    </row>
    <row r="154" spans="2:17" s="17" customFormat="1" ht="18.75" x14ac:dyDescent="0.25">
      <c r="B154" s="4">
        <v>154</v>
      </c>
      <c r="C154" s="8" t="s">
        <v>396</v>
      </c>
      <c r="D154" s="8" t="s">
        <v>673</v>
      </c>
      <c r="E154" s="3">
        <v>24</v>
      </c>
      <c r="F154" s="1">
        <v>33</v>
      </c>
      <c r="G154" s="1">
        <v>1</v>
      </c>
      <c r="H154" s="1" t="s">
        <v>12</v>
      </c>
      <c r="I154" s="14">
        <v>1</v>
      </c>
      <c r="J154" s="14"/>
      <c r="K154" s="28"/>
      <c r="L154" s="28"/>
      <c r="M154" s="28"/>
      <c r="N154" s="32"/>
      <c r="O154" s="32"/>
      <c r="P154" s="32">
        <v>1</v>
      </c>
      <c r="Q154" s="6"/>
    </row>
    <row r="155" spans="2:17" s="17" customFormat="1" ht="18.75" x14ac:dyDescent="0.25">
      <c r="B155" s="4">
        <v>155</v>
      </c>
      <c r="C155" s="8" t="s">
        <v>166</v>
      </c>
      <c r="D155" s="8" t="s">
        <v>235</v>
      </c>
      <c r="E155" s="3">
        <v>24</v>
      </c>
      <c r="F155" s="1">
        <v>71</v>
      </c>
      <c r="G155" s="1">
        <v>11</v>
      </c>
      <c r="H155" s="19" t="s">
        <v>26</v>
      </c>
      <c r="I155" s="14"/>
      <c r="J155" s="14">
        <v>1</v>
      </c>
      <c r="K155" s="28"/>
      <c r="L155" s="28"/>
      <c r="M155" s="28"/>
      <c r="N155" s="32"/>
      <c r="O155" s="32"/>
      <c r="P155" s="32"/>
      <c r="Q155" s="6"/>
    </row>
    <row r="156" spans="2:17" s="17" customFormat="1" ht="18.75" x14ac:dyDescent="0.25">
      <c r="B156" s="4">
        <v>156</v>
      </c>
      <c r="C156" s="8" t="s">
        <v>166</v>
      </c>
      <c r="D156" s="8" t="s">
        <v>674</v>
      </c>
      <c r="E156" s="3">
        <v>24</v>
      </c>
      <c r="F156" s="1">
        <v>55</v>
      </c>
      <c r="G156" s="1">
        <v>8</v>
      </c>
      <c r="H156" s="19" t="s">
        <v>26</v>
      </c>
      <c r="I156" s="14"/>
      <c r="J156" s="14">
        <v>1</v>
      </c>
      <c r="K156" s="28"/>
      <c r="L156" s="28"/>
      <c r="M156" s="28"/>
      <c r="N156" s="32"/>
      <c r="O156" s="32"/>
      <c r="P156" s="32"/>
      <c r="Q156" s="6"/>
    </row>
    <row r="157" spans="2:17" s="17" customFormat="1" ht="18.75" x14ac:dyDescent="0.25">
      <c r="B157" s="4">
        <v>157</v>
      </c>
      <c r="C157" s="8" t="s">
        <v>326</v>
      </c>
      <c r="D157" s="8" t="s">
        <v>675</v>
      </c>
      <c r="E157" s="3">
        <v>24</v>
      </c>
      <c r="F157" s="1">
        <v>42</v>
      </c>
      <c r="G157" s="1">
        <v>20</v>
      </c>
      <c r="H157" s="19" t="s">
        <v>26</v>
      </c>
      <c r="I157" s="14"/>
      <c r="J157" s="14">
        <v>1</v>
      </c>
      <c r="K157" s="28"/>
      <c r="L157" s="28"/>
      <c r="M157" s="28">
        <v>1</v>
      </c>
      <c r="N157" s="32"/>
      <c r="O157" s="32"/>
      <c r="P157" s="32"/>
      <c r="Q157" s="6"/>
    </row>
    <row r="158" spans="2:17" s="17" customFormat="1" ht="18.75" x14ac:dyDescent="0.25">
      <c r="B158" s="4">
        <v>158</v>
      </c>
      <c r="C158" s="8" t="s">
        <v>326</v>
      </c>
      <c r="D158" s="8" t="s">
        <v>2823</v>
      </c>
      <c r="E158" s="3">
        <v>24</v>
      </c>
      <c r="F158" s="1">
        <v>33</v>
      </c>
      <c r="G158" s="1">
        <v>20</v>
      </c>
      <c r="H158" s="1" t="s">
        <v>12</v>
      </c>
      <c r="I158" s="14">
        <v>1</v>
      </c>
      <c r="J158" s="14"/>
      <c r="K158" s="28"/>
      <c r="L158" s="28"/>
      <c r="M158" s="28"/>
      <c r="N158" s="32"/>
      <c r="O158" s="32"/>
      <c r="P158" s="32">
        <v>1</v>
      </c>
      <c r="Q158" s="6"/>
    </row>
    <row r="159" spans="2:17" s="17" customFormat="1" ht="18.75" x14ac:dyDescent="0.25">
      <c r="B159" s="4">
        <v>159</v>
      </c>
      <c r="C159" s="8" t="s">
        <v>166</v>
      </c>
      <c r="D159" s="8" t="s">
        <v>676</v>
      </c>
      <c r="E159" s="3">
        <v>24</v>
      </c>
      <c r="F159" s="1">
        <v>56</v>
      </c>
      <c r="G159" s="1">
        <v>3</v>
      </c>
      <c r="H159" s="19" t="s">
        <v>26</v>
      </c>
      <c r="I159" s="14"/>
      <c r="J159" s="14">
        <v>1</v>
      </c>
      <c r="K159" s="28"/>
      <c r="L159" s="28"/>
      <c r="M159" s="28"/>
      <c r="N159" s="32"/>
      <c r="O159" s="32"/>
      <c r="P159" s="32"/>
      <c r="Q159" s="6"/>
    </row>
    <row r="160" spans="2:17" s="17" customFormat="1" ht="18.75" x14ac:dyDescent="0.25">
      <c r="B160" s="4">
        <v>160</v>
      </c>
      <c r="C160" s="8" t="s">
        <v>677</v>
      </c>
      <c r="D160" s="8" t="s">
        <v>678</v>
      </c>
      <c r="E160" s="3">
        <v>24</v>
      </c>
      <c r="F160" s="1">
        <v>98</v>
      </c>
      <c r="G160" s="1">
        <v>27</v>
      </c>
      <c r="H160" s="19" t="s">
        <v>26</v>
      </c>
      <c r="I160" s="14"/>
      <c r="J160" s="14">
        <v>1</v>
      </c>
      <c r="K160" s="28"/>
      <c r="L160" s="28"/>
      <c r="M160" s="28"/>
      <c r="N160" s="32"/>
      <c r="O160" s="32"/>
      <c r="P160" s="32"/>
      <c r="Q160" s="6"/>
    </row>
    <row r="161" spans="2:17" s="17" customFormat="1" ht="18.75" x14ac:dyDescent="0.25">
      <c r="B161" s="4">
        <v>161</v>
      </c>
      <c r="C161" s="8" t="s">
        <v>679</v>
      </c>
      <c r="D161" s="8" t="s">
        <v>680</v>
      </c>
      <c r="E161" s="3">
        <v>24</v>
      </c>
      <c r="F161" s="1">
        <v>71</v>
      </c>
      <c r="G161" s="1">
        <v>26</v>
      </c>
      <c r="H161" s="1" t="s">
        <v>12</v>
      </c>
      <c r="I161" s="14">
        <v>1</v>
      </c>
      <c r="J161" s="14"/>
      <c r="K161" s="28"/>
      <c r="L161" s="28"/>
      <c r="M161" s="28"/>
      <c r="N161" s="32">
        <v>0</v>
      </c>
      <c r="O161" s="32"/>
      <c r="P161" s="32"/>
      <c r="Q161" s="6"/>
    </row>
    <row r="162" spans="2:17" s="17" customFormat="1" ht="18.75" x14ac:dyDescent="0.25">
      <c r="B162" s="4">
        <v>162</v>
      </c>
      <c r="C162" s="8" t="s">
        <v>402</v>
      </c>
      <c r="D162" s="8" t="s">
        <v>681</v>
      </c>
      <c r="E162" s="3">
        <v>24</v>
      </c>
      <c r="F162" s="1">
        <v>21</v>
      </c>
      <c r="G162" s="1"/>
      <c r="H162" s="19" t="s">
        <v>26</v>
      </c>
      <c r="I162" s="14"/>
      <c r="J162" s="14">
        <v>1</v>
      </c>
      <c r="K162" s="28"/>
      <c r="L162" s="28"/>
      <c r="M162" s="28"/>
      <c r="N162" s="32"/>
      <c r="O162" s="32"/>
      <c r="P162" s="32"/>
      <c r="Q162" s="6"/>
    </row>
    <row r="163" spans="2:17" s="17" customFormat="1" ht="18.75" x14ac:dyDescent="0.25">
      <c r="B163" s="4">
        <v>163</v>
      </c>
      <c r="C163" s="8" t="s">
        <v>682</v>
      </c>
      <c r="D163" s="8" t="s">
        <v>683</v>
      </c>
      <c r="E163" s="3">
        <v>24</v>
      </c>
      <c r="F163" s="1">
        <v>63</v>
      </c>
      <c r="G163" s="1">
        <v>7</v>
      </c>
      <c r="H163" s="19" t="s">
        <v>26</v>
      </c>
      <c r="I163" s="14"/>
      <c r="J163" s="14">
        <v>1</v>
      </c>
      <c r="K163" s="28"/>
      <c r="L163" s="28"/>
      <c r="M163" s="28"/>
      <c r="N163" s="32"/>
      <c r="O163" s="32"/>
      <c r="P163" s="32"/>
      <c r="Q163" s="6"/>
    </row>
    <row r="164" spans="2:17" s="17" customFormat="1" ht="18.75" x14ac:dyDescent="0.25">
      <c r="B164" s="4">
        <v>164</v>
      </c>
      <c r="C164" s="8" t="s">
        <v>682</v>
      </c>
      <c r="D164" s="8" t="s">
        <v>684</v>
      </c>
      <c r="E164" s="3">
        <v>24</v>
      </c>
      <c r="F164" s="1">
        <v>20</v>
      </c>
      <c r="G164" s="1">
        <v>1</v>
      </c>
      <c r="H164" s="19" t="s">
        <v>26</v>
      </c>
      <c r="I164" s="14"/>
      <c r="J164" s="14">
        <v>1</v>
      </c>
      <c r="K164" s="28"/>
      <c r="L164" s="28"/>
      <c r="M164" s="28">
        <v>1</v>
      </c>
      <c r="N164" s="32"/>
      <c r="O164" s="32"/>
      <c r="P164" s="32"/>
      <c r="Q164" s="6"/>
    </row>
    <row r="165" spans="2:17" s="17" customFormat="1" ht="18.75" x14ac:dyDescent="0.25">
      <c r="B165" s="4">
        <v>165</v>
      </c>
      <c r="C165" s="8" t="s">
        <v>170</v>
      </c>
      <c r="D165" s="8" t="s">
        <v>515</v>
      </c>
      <c r="E165" s="3">
        <v>24</v>
      </c>
      <c r="F165" s="1">
        <v>21</v>
      </c>
      <c r="G165" s="1">
        <v>21</v>
      </c>
      <c r="H165" s="19" t="s">
        <v>26</v>
      </c>
      <c r="I165" s="14"/>
      <c r="J165" s="14">
        <v>1</v>
      </c>
      <c r="K165" s="28"/>
      <c r="L165" s="28"/>
      <c r="M165" s="28"/>
      <c r="N165" s="32"/>
      <c r="O165" s="32"/>
      <c r="P165" s="32"/>
      <c r="Q165" s="6"/>
    </row>
    <row r="166" spans="2:17" s="17" customFormat="1" ht="18.75" x14ac:dyDescent="0.25">
      <c r="B166" s="4">
        <v>166</v>
      </c>
      <c r="C166" s="8" t="s">
        <v>685</v>
      </c>
      <c r="D166" s="8" t="s">
        <v>686</v>
      </c>
      <c r="E166" s="3">
        <v>24</v>
      </c>
      <c r="F166" s="1">
        <v>21</v>
      </c>
      <c r="G166" s="1">
        <v>24</v>
      </c>
      <c r="H166" s="19" t="s">
        <v>26</v>
      </c>
      <c r="I166" s="14"/>
      <c r="J166" s="14">
        <v>1</v>
      </c>
      <c r="K166" s="28"/>
      <c r="L166" s="28"/>
      <c r="M166" s="28"/>
      <c r="N166" s="32"/>
      <c r="O166" s="32"/>
      <c r="P166" s="32"/>
      <c r="Q166" s="6"/>
    </row>
    <row r="167" spans="2:17" s="17" customFormat="1" ht="18.75" x14ac:dyDescent="0.25">
      <c r="B167" s="4">
        <v>167</v>
      </c>
      <c r="C167" s="8" t="s">
        <v>247</v>
      </c>
      <c r="D167" s="8" t="s">
        <v>688</v>
      </c>
      <c r="E167" s="3">
        <v>24</v>
      </c>
      <c r="F167" s="1">
        <v>117</v>
      </c>
      <c r="G167" s="1">
        <v>31</v>
      </c>
      <c r="H167" s="1" t="s">
        <v>12</v>
      </c>
      <c r="I167" s="14">
        <v>1</v>
      </c>
      <c r="J167" s="14"/>
      <c r="K167" s="28"/>
      <c r="L167" s="28"/>
      <c r="M167" s="28"/>
      <c r="N167" s="32"/>
      <c r="O167" s="32">
        <v>1</v>
      </c>
      <c r="P167" s="32"/>
      <c r="Q167" s="6"/>
    </row>
    <row r="168" spans="2:17" s="17" customFormat="1" ht="18.75" x14ac:dyDescent="0.25">
      <c r="B168" s="4">
        <v>168</v>
      </c>
      <c r="C168" s="8" t="s">
        <v>280</v>
      </c>
      <c r="D168" s="8" t="s">
        <v>689</v>
      </c>
      <c r="E168" s="3">
        <v>24</v>
      </c>
      <c r="F168" s="1">
        <v>38</v>
      </c>
      <c r="G168" s="1">
        <v>14</v>
      </c>
      <c r="H168" s="1" t="s">
        <v>12</v>
      </c>
      <c r="I168" s="14">
        <v>1</v>
      </c>
      <c r="J168" s="14"/>
      <c r="K168" s="28"/>
      <c r="L168" s="28"/>
      <c r="M168" s="28"/>
      <c r="N168" s="32"/>
      <c r="O168" s="32"/>
      <c r="P168" s="32">
        <v>1</v>
      </c>
      <c r="Q168" s="6"/>
    </row>
    <row r="169" spans="2:17" s="17" customFormat="1" ht="18.75" x14ac:dyDescent="0.25">
      <c r="B169" s="4">
        <v>169</v>
      </c>
      <c r="C169" s="8" t="s">
        <v>690</v>
      </c>
      <c r="D169" s="8" t="s">
        <v>691</v>
      </c>
      <c r="E169" s="3">
        <v>24</v>
      </c>
      <c r="F169" s="1">
        <v>22</v>
      </c>
      <c r="G169" s="1">
        <v>12</v>
      </c>
      <c r="H169" s="1" t="s">
        <v>12</v>
      </c>
      <c r="I169" s="14">
        <v>1</v>
      </c>
      <c r="J169" s="14"/>
      <c r="K169" s="28"/>
      <c r="L169" s="28"/>
      <c r="M169" s="28"/>
      <c r="N169" s="32">
        <v>1</v>
      </c>
      <c r="O169" s="32"/>
      <c r="P169" s="32"/>
      <c r="Q169" s="6"/>
    </row>
    <row r="170" spans="2:17" s="17" customFormat="1" ht="18.75" x14ac:dyDescent="0.25">
      <c r="B170" s="4">
        <v>170</v>
      </c>
      <c r="C170" s="8" t="s">
        <v>154</v>
      </c>
      <c r="D170" s="8" t="s">
        <v>692</v>
      </c>
      <c r="E170" s="3">
        <v>24</v>
      </c>
      <c r="F170" s="1">
        <v>48</v>
      </c>
      <c r="G170" s="1">
        <v>16</v>
      </c>
      <c r="H170" s="19" t="s">
        <v>26</v>
      </c>
      <c r="I170" s="14"/>
      <c r="J170" s="14">
        <v>1</v>
      </c>
      <c r="K170" s="28"/>
      <c r="L170" s="28"/>
      <c r="M170" s="28"/>
      <c r="N170" s="32"/>
      <c r="O170" s="32"/>
      <c r="P170" s="32"/>
      <c r="Q170" s="6"/>
    </row>
    <row r="171" spans="2:17" s="17" customFormat="1" ht="18.75" x14ac:dyDescent="0.25">
      <c r="B171" s="4">
        <v>171</v>
      </c>
      <c r="C171" s="8" t="s">
        <v>693</v>
      </c>
      <c r="D171" s="8" t="s">
        <v>694</v>
      </c>
      <c r="E171" s="3">
        <v>24</v>
      </c>
      <c r="F171" s="1">
        <v>5</v>
      </c>
      <c r="G171" s="1">
        <v>15</v>
      </c>
      <c r="H171" s="1" t="s">
        <v>12</v>
      </c>
      <c r="I171" s="14">
        <v>1</v>
      </c>
      <c r="J171" s="14"/>
      <c r="K171" s="28"/>
      <c r="L171" s="28"/>
      <c r="M171" s="28"/>
      <c r="N171" s="32"/>
      <c r="O171" s="32"/>
      <c r="P171" s="32">
        <v>1</v>
      </c>
      <c r="Q171" s="6"/>
    </row>
    <row r="172" spans="2:17" s="17" customFormat="1" ht="18.75" x14ac:dyDescent="0.25">
      <c r="B172" s="4">
        <v>172</v>
      </c>
      <c r="C172" s="8" t="s">
        <v>695</v>
      </c>
      <c r="D172" s="8" t="s">
        <v>696</v>
      </c>
      <c r="E172" s="3">
        <v>24</v>
      </c>
      <c r="F172" s="1">
        <v>43</v>
      </c>
      <c r="G172" s="1">
        <v>13</v>
      </c>
      <c r="H172" s="19" t="s">
        <v>26</v>
      </c>
      <c r="I172" s="14"/>
      <c r="J172" s="14">
        <v>1</v>
      </c>
      <c r="K172" s="28"/>
      <c r="L172" s="28"/>
      <c r="M172" s="28"/>
      <c r="N172" s="32"/>
      <c r="O172" s="32"/>
      <c r="P172" s="32"/>
      <c r="Q172" s="6"/>
    </row>
    <row r="173" spans="2:17" s="17" customFormat="1" ht="18.75" x14ac:dyDescent="0.25">
      <c r="B173" s="4">
        <v>173</v>
      </c>
      <c r="C173" s="8" t="s">
        <v>697</v>
      </c>
      <c r="D173" s="8" t="s">
        <v>698</v>
      </c>
      <c r="E173" s="3">
        <v>24</v>
      </c>
      <c r="F173" s="1">
        <v>72</v>
      </c>
      <c r="G173" s="1">
        <v>3</v>
      </c>
      <c r="H173" s="1" t="s">
        <v>12</v>
      </c>
      <c r="I173" s="14">
        <v>1</v>
      </c>
      <c r="J173" s="14"/>
      <c r="K173" s="28"/>
      <c r="L173" s="28"/>
      <c r="M173" s="28"/>
      <c r="N173" s="32">
        <v>1</v>
      </c>
      <c r="O173" s="32"/>
      <c r="P173" s="32"/>
      <c r="Q173" s="6"/>
    </row>
    <row r="174" spans="2:17" s="17" customFormat="1" ht="18.75" x14ac:dyDescent="0.25">
      <c r="B174" s="4">
        <v>174</v>
      </c>
      <c r="C174" s="8" t="s">
        <v>33</v>
      </c>
      <c r="D174" s="8" t="s">
        <v>600</v>
      </c>
      <c r="E174" s="3">
        <v>24</v>
      </c>
      <c r="F174" s="1"/>
      <c r="G174" s="1">
        <v>24</v>
      </c>
      <c r="H174" s="1" t="s">
        <v>12</v>
      </c>
      <c r="I174" s="14">
        <v>1</v>
      </c>
      <c r="J174" s="14"/>
      <c r="K174" s="28"/>
      <c r="L174" s="28"/>
      <c r="M174" s="28"/>
      <c r="N174" s="32">
        <v>0</v>
      </c>
      <c r="O174" s="32"/>
      <c r="P174" s="32"/>
      <c r="Q174" s="6"/>
    </row>
    <row r="175" spans="2:17" s="17" customFormat="1" ht="18.75" x14ac:dyDescent="0.25">
      <c r="B175" s="4">
        <v>175</v>
      </c>
      <c r="C175" s="8" t="s">
        <v>699</v>
      </c>
      <c r="D175" s="8" t="s">
        <v>700</v>
      </c>
      <c r="E175" s="3">
        <v>24</v>
      </c>
      <c r="F175" s="1">
        <v>58</v>
      </c>
      <c r="G175" s="1">
        <v>21</v>
      </c>
      <c r="H175" s="19" t="s">
        <v>26</v>
      </c>
      <c r="I175" s="14"/>
      <c r="J175" s="14">
        <v>1</v>
      </c>
      <c r="K175" s="28"/>
      <c r="L175" s="28"/>
      <c r="M175" s="28"/>
      <c r="N175" s="32"/>
      <c r="O175" s="32"/>
      <c r="P175" s="32"/>
      <c r="Q175" s="6"/>
    </row>
    <row r="176" spans="2:17" s="17" customFormat="1" ht="18" x14ac:dyDescent="0.25">
      <c r="B176" s="4">
        <v>176</v>
      </c>
      <c r="C176" s="5" t="s">
        <v>701</v>
      </c>
      <c r="D176" s="5" t="s">
        <v>702</v>
      </c>
      <c r="E176" s="3">
        <v>24</v>
      </c>
      <c r="F176" s="1">
        <v>25</v>
      </c>
      <c r="G176" s="1">
        <v>29</v>
      </c>
      <c r="H176" s="1" t="s">
        <v>12</v>
      </c>
      <c r="I176" s="14">
        <v>1</v>
      </c>
      <c r="J176" s="14"/>
      <c r="K176" s="28"/>
      <c r="L176" s="28"/>
      <c r="M176" s="28"/>
      <c r="N176" s="32"/>
      <c r="O176" s="32">
        <v>1</v>
      </c>
      <c r="P176" s="32"/>
      <c r="Q176" s="6"/>
    </row>
    <row r="177" spans="2:17" s="17" customFormat="1" ht="18.75" x14ac:dyDescent="0.25">
      <c r="B177" s="4">
        <v>177</v>
      </c>
      <c r="C177" s="10" t="s">
        <v>600</v>
      </c>
      <c r="D177" s="10" t="s">
        <v>600</v>
      </c>
      <c r="E177" s="3">
        <v>24</v>
      </c>
      <c r="F177" s="1">
        <v>5</v>
      </c>
      <c r="G177" s="1">
        <v>9</v>
      </c>
      <c r="H177" s="19" t="s">
        <v>26</v>
      </c>
      <c r="I177" s="14"/>
      <c r="J177" s="14">
        <v>1</v>
      </c>
      <c r="K177" s="28"/>
      <c r="L177" s="28"/>
      <c r="M177" s="28"/>
      <c r="N177" s="32"/>
      <c r="O177" s="32"/>
      <c r="P177" s="32"/>
      <c r="Q177" s="6"/>
    </row>
    <row r="178" spans="2:17" s="17" customFormat="1" ht="18.75" x14ac:dyDescent="0.25">
      <c r="B178" s="4">
        <v>178</v>
      </c>
      <c r="C178" s="11" t="s">
        <v>703</v>
      </c>
      <c r="D178" s="11" t="s">
        <v>704</v>
      </c>
      <c r="E178" s="11">
        <v>24</v>
      </c>
      <c r="F178" s="7">
        <v>36</v>
      </c>
      <c r="G178" s="7">
        <v>43</v>
      </c>
      <c r="H178" s="12" t="s">
        <v>12</v>
      </c>
      <c r="I178" s="14">
        <v>1</v>
      </c>
      <c r="J178" s="16"/>
      <c r="K178" s="30"/>
      <c r="L178" s="30"/>
      <c r="M178" s="30"/>
      <c r="N178" s="34"/>
      <c r="O178" s="34"/>
      <c r="P178" s="34">
        <v>1</v>
      </c>
      <c r="Q178" s="13" t="s">
        <v>48</v>
      </c>
    </row>
    <row r="179" spans="2:17" s="17" customFormat="1" ht="18.75" x14ac:dyDescent="0.25">
      <c r="B179" s="4">
        <v>179</v>
      </c>
      <c r="C179" s="8" t="s">
        <v>136</v>
      </c>
      <c r="D179" s="8" t="s">
        <v>705</v>
      </c>
      <c r="E179" s="8">
        <v>24</v>
      </c>
      <c r="F179" s="7">
        <v>17</v>
      </c>
      <c r="G179" s="7">
        <v>42</v>
      </c>
      <c r="H179" s="7" t="s">
        <v>12</v>
      </c>
      <c r="I179" s="14">
        <v>1</v>
      </c>
      <c r="J179" s="16"/>
      <c r="K179" s="30"/>
      <c r="L179" s="30"/>
      <c r="M179" s="30"/>
      <c r="N179" s="34"/>
      <c r="O179" s="34"/>
      <c r="P179" s="34">
        <v>1</v>
      </c>
      <c r="Q179" s="9" t="s">
        <v>48</v>
      </c>
    </row>
    <row r="180" spans="2:17" s="17" customFormat="1" ht="18.75" x14ac:dyDescent="0.25">
      <c r="B180" s="4">
        <v>180</v>
      </c>
      <c r="C180" s="8" t="s">
        <v>706</v>
      </c>
      <c r="D180" s="8" t="s">
        <v>707</v>
      </c>
      <c r="E180" s="8">
        <v>24</v>
      </c>
      <c r="F180" s="7">
        <v>107</v>
      </c>
      <c r="G180" s="7">
        <v>39</v>
      </c>
      <c r="H180" s="7" t="s">
        <v>12</v>
      </c>
      <c r="I180" s="14">
        <v>1</v>
      </c>
      <c r="J180" s="16"/>
      <c r="K180" s="30"/>
      <c r="L180" s="30"/>
      <c r="M180" s="30"/>
      <c r="N180" s="34"/>
      <c r="O180" s="34"/>
      <c r="P180" s="34">
        <v>1</v>
      </c>
      <c r="Q180" s="9" t="s">
        <v>48</v>
      </c>
    </row>
    <row r="181" spans="2:17" s="17" customFormat="1" ht="18.75" x14ac:dyDescent="0.25">
      <c r="B181" s="4">
        <v>181</v>
      </c>
      <c r="C181" s="8" t="s">
        <v>708</v>
      </c>
      <c r="D181" s="8" t="s">
        <v>709</v>
      </c>
      <c r="E181" s="8">
        <v>24</v>
      </c>
      <c r="F181" s="7">
        <v>6</v>
      </c>
      <c r="G181" s="7">
        <v>46</v>
      </c>
      <c r="H181" s="7" t="s">
        <v>12</v>
      </c>
      <c r="I181" s="14">
        <v>1</v>
      </c>
      <c r="J181" s="16"/>
      <c r="K181" s="30"/>
      <c r="L181" s="30"/>
      <c r="M181" s="30"/>
      <c r="N181" s="34"/>
      <c r="O181" s="34"/>
      <c r="P181" s="34">
        <v>1</v>
      </c>
      <c r="Q181" s="9" t="s">
        <v>48</v>
      </c>
    </row>
    <row r="182" spans="2:17" s="17" customFormat="1" ht="18.75" x14ac:dyDescent="0.25">
      <c r="B182" s="4">
        <v>182</v>
      </c>
      <c r="C182" s="8" t="s">
        <v>132</v>
      </c>
      <c r="D182" s="8" t="s">
        <v>710</v>
      </c>
      <c r="E182" s="8">
        <v>24</v>
      </c>
      <c r="F182" s="7">
        <v>67</v>
      </c>
      <c r="G182" s="7">
        <v>37</v>
      </c>
      <c r="H182" s="7" t="s">
        <v>12</v>
      </c>
      <c r="I182" s="14">
        <v>1</v>
      </c>
      <c r="J182" s="16"/>
      <c r="K182" s="30"/>
      <c r="L182" s="30"/>
      <c r="M182" s="30"/>
      <c r="N182" s="34"/>
      <c r="O182" s="34"/>
      <c r="P182" s="34">
        <v>1</v>
      </c>
      <c r="Q182" s="9" t="s">
        <v>48</v>
      </c>
    </row>
    <row r="183" spans="2:17" s="17" customFormat="1" ht="18.75" x14ac:dyDescent="0.25">
      <c r="B183" s="4">
        <v>183</v>
      </c>
      <c r="C183" s="8" t="s">
        <v>600</v>
      </c>
      <c r="D183" s="8" t="s">
        <v>67</v>
      </c>
      <c r="E183" s="8">
        <v>24</v>
      </c>
      <c r="F183" s="7">
        <v>113</v>
      </c>
      <c r="G183" s="7">
        <v>39</v>
      </c>
      <c r="H183" s="7" t="s">
        <v>12</v>
      </c>
      <c r="I183" s="14">
        <v>1</v>
      </c>
      <c r="J183" s="16"/>
      <c r="K183" s="30"/>
      <c r="L183" s="30"/>
      <c r="M183" s="30"/>
      <c r="N183" s="34"/>
      <c r="O183" s="34"/>
      <c r="P183" s="34">
        <v>1</v>
      </c>
      <c r="Q183" s="9" t="s">
        <v>48</v>
      </c>
    </row>
    <row r="184" spans="2:17" s="17" customFormat="1" ht="18.75" x14ac:dyDescent="0.25">
      <c r="B184" s="4">
        <v>184</v>
      </c>
      <c r="C184" s="8" t="s">
        <v>640</v>
      </c>
      <c r="D184" s="8" t="s">
        <v>711</v>
      </c>
      <c r="E184" s="8">
        <v>24</v>
      </c>
      <c r="F184" s="7">
        <v>85</v>
      </c>
      <c r="G184" s="7">
        <v>38</v>
      </c>
      <c r="H184" s="7" t="s">
        <v>12</v>
      </c>
      <c r="I184" s="14">
        <v>1</v>
      </c>
      <c r="J184" s="16"/>
      <c r="K184" s="30"/>
      <c r="L184" s="30"/>
      <c r="M184" s="30"/>
      <c r="N184" s="34"/>
      <c r="O184" s="34"/>
      <c r="P184" s="34">
        <v>1</v>
      </c>
      <c r="Q184" s="9" t="s">
        <v>48</v>
      </c>
    </row>
    <row r="185" spans="2:17" s="17" customFormat="1" ht="18.75" x14ac:dyDescent="0.25">
      <c r="B185" s="4">
        <v>185</v>
      </c>
      <c r="C185" s="8" t="s">
        <v>712</v>
      </c>
      <c r="D185" s="8" t="s">
        <v>713</v>
      </c>
      <c r="E185" s="8">
        <v>24</v>
      </c>
      <c r="F185" s="7">
        <v>72</v>
      </c>
      <c r="G185" s="7">
        <v>36</v>
      </c>
      <c r="H185" s="7" t="s">
        <v>12</v>
      </c>
      <c r="I185" s="14">
        <v>1</v>
      </c>
      <c r="J185" s="16"/>
      <c r="K185" s="30"/>
      <c r="L185" s="30"/>
      <c r="M185" s="30"/>
      <c r="N185" s="34"/>
      <c r="O185" s="34"/>
      <c r="P185" s="34">
        <v>1</v>
      </c>
      <c r="Q185" s="9" t="s">
        <v>48</v>
      </c>
    </row>
    <row r="186" spans="2:17" s="17" customFormat="1" ht="18.75" x14ac:dyDescent="0.25">
      <c r="B186" s="4">
        <v>186</v>
      </c>
      <c r="C186" s="8" t="s">
        <v>619</v>
      </c>
      <c r="D186" s="8" t="s">
        <v>714</v>
      </c>
      <c r="E186" s="8">
        <v>24</v>
      </c>
      <c r="F186" s="7">
        <v>116</v>
      </c>
      <c r="G186" s="7">
        <v>42</v>
      </c>
      <c r="H186" s="7" t="s">
        <v>12</v>
      </c>
      <c r="I186" s="14">
        <v>1</v>
      </c>
      <c r="J186" s="16"/>
      <c r="K186" s="30"/>
      <c r="L186" s="30"/>
      <c r="M186" s="30"/>
      <c r="N186" s="34"/>
      <c r="O186" s="34"/>
      <c r="P186" s="34">
        <v>1</v>
      </c>
      <c r="Q186" s="9" t="s">
        <v>62</v>
      </c>
    </row>
    <row r="187" spans="2:17" s="17" customFormat="1" ht="18.75" x14ac:dyDescent="0.25">
      <c r="B187" s="4">
        <v>187</v>
      </c>
      <c r="C187" s="8" t="s">
        <v>619</v>
      </c>
      <c r="D187" s="8" t="s">
        <v>715</v>
      </c>
      <c r="E187" s="8">
        <v>24</v>
      </c>
      <c r="F187" s="7">
        <v>63</v>
      </c>
      <c r="G187" s="7">
        <v>43</v>
      </c>
      <c r="H187" s="7" t="s">
        <v>12</v>
      </c>
      <c r="I187" s="14">
        <v>1</v>
      </c>
      <c r="J187" s="16"/>
      <c r="K187" s="30"/>
      <c r="L187" s="30"/>
      <c r="M187" s="30"/>
      <c r="N187" s="34"/>
      <c r="O187" s="34"/>
      <c r="P187" s="34">
        <v>1</v>
      </c>
      <c r="Q187" s="9" t="s">
        <v>62</v>
      </c>
    </row>
    <row r="188" spans="2:17" s="17" customFormat="1" ht="18.75" x14ac:dyDescent="0.25">
      <c r="B188" s="4">
        <v>188</v>
      </c>
      <c r="C188" s="8" t="s">
        <v>716</v>
      </c>
      <c r="D188" s="8" t="s">
        <v>717</v>
      </c>
      <c r="E188" s="8">
        <v>24</v>
      </c>
      <c r="F188" s="7">
        <v>45</v>
      </c>
      <c r="G188" s="7">
        <v>45</v>
      </c>
      <c r="H188" s="7" t="s">
        <v>12</v>
      </c>
      <c r="I188" s="14">
        <v>1</v>
      </c>
      <c r="J188" s="16"/>
      <c r="K188" s="30"/>
      <c r="L188" s="30"/>
      <c r="M188" s="30"/>
      <c r="N188" s="34"/>
      <c r="O188" s="34"/>
      <c r="P188" s="34">
        <v>1</v>
      </c>
      <c r="Q188" s="9" t="s">
        <v>62</v>
      </c>
    </row>
    <row r="189" spans="2:17" s="17" customFormat="1" ht="18.75" x14ac:dyDescent="0.25">
      <c r="B189" s="4">
        <v>189</v>
      </c>
      <c r="C189" s="8" t="s">
        <v>181</v>
      </c>
      <c r="D189" s="8" t="s">
        <v>718</v>
      </c>
      <c r="E189" s="8">
        <v>24</v>
      </c>
      <c r="F189" s="7">
        <v>101</v>
      </c>
      <c r="G189" s="7">
        <v>45</v>
      </c>
      <c r="H189" s="7" t="s">
        <v>12</v>
      </c>
      <c r="I189" s="14">
        <v>1</v>
      </c>
      <c r="J189" s="16"/>
      <c r="K189" s="30"/>
      <c r="L189" s="30"/>
      <c r="M189" s="30"/>
      <c r="N189" s="34"/>
      <c r="O189" s="34"/>
      <c r="P189" s="34">
        <v>1</v>
      </c>
      <c r="Q189" s="9" t="s">
        <v>62</v>
      </c>
    </row>
    <row r="190" spans="2:17" s="17" customFormat="1" ht="18.75" x14ac:dyDescent="0.25">
      <c r="B190" s="4">
        <v>190</v>
      </c>
      <c r="C190" s="8" t="s">
        <v>135</v>
      </c>
      <c r="D190" s="8" t="s">
        <v>719</v>
      </c>
      <c r="E190" s="8">
        <v>24</v>
      </c>
      <c r="F190" s="7">
        <v>50</v>
      </c>
      <c r="G190" s="7">
        <v>1</v>
      </c>
      <c r="H190" s="7" t="s">
        <v>12</v>
      </c>
      <c r="I190" s="14">
        <v>1</v>
      </c>
      <c r="J190" s="16"/>
      <c r="K190" s="30"/>
      <c r="L190" s="30"/>
      <c r="M190" s="30"/>
      <c r="N190" s="34"/>
      <c r="O190" s="34"/>
      <c r="P190" s="34">
        <v>1</v>
      </c>
      <c r="Q190" s="9" t="s">
        <v>62</v>
      </c>
    </row>
    <row r="191" spans="2:17" s="17" customFormat="1" ht="18.75" x14ac:dyDescent="0.25">
      <c r="B191" s="4">
        <v>191</v>
      </c>
      <c r="C191" s="8" t="s">
        <v>720</v>
      </c>
      <c r="D191" s="8" t="s">
        <v>721</v>
      </c>
      <c r="E191" s="8">
        <v>24</v>
      </c>
      <c r="F191" s="7">
        <v>76</v>
      </c>
      <c r="G191" s="7">
        <v>42</v>
      </c>
      <c r="H191" s="7" t="s">
        <v>12</v>
      </c>
      <c r="I191" s="14">
        <v>1</v>
      </c>
      <c r="J191" s="16"/>
      <c r="K191" s="30"/>
      <c r="L191" s="30"/>
      <c r="M191" s="30"/>
      <c r="N191" s="34"/>
      <c r="O191" s="34"/>
      <c r="P191" s="34">
        <v>1</v>
      </c>
      <c r="Q191" s="9" t="s">
        <v>62</v>
      </c>
    </row>
    <row r="192" spans="2:17" s="17" customFormat="1" ht="18.75" x14ac:dyDescent="0.25">
      <c r="B192" s="4">
        <v>193</v>
      </c>
      <c r="C192" s="8" t="s">
        <v>659</v>
      </c>
      <c r="D192" s="8" t="s">
        <v>722</v>
      </c>
      <c r="E192" s="8">
        <v>24</v>
      </c>
      <c r="F192" s="7">
        <v>25</v>
      </c>
      <c r="G192" s="7">
        <v>38</v>
      </c>
      <c r="H192" s="7" t="s">
        <v>12</v>
      </c>
      <c r="I192" s="14">
        <v>1</v>
      </c>
      <c r="J192" s="16"/>
      <c r="K192" s="30"/>
      <c r="L192" s="30"/>
      <c r="M192" s="30"/>
      <c r="N192" s="34"/>
      <c r="O192" s="34"/>
      <c r="P192" s="34">
        <v>1</v>
      </c>
      <c r="Q192" s="9" t="s">
        <v>62</v>
      </c>
    </row>
    <row r="193" spans="2:17" s="17" customFormat="1" ht="18.75" x14ac:dyDescent="0.25">
      <c r="B193" s="4">
        <v>194</v>
      </c>
      <c r="C193" s="8" t="s">
        <v>659</v>
      </c>
      <c r="D193" s="8" t="s">
        <v>723</v>
      </c>
      <c r="E193" s="8">
        <v>24</v>
      </c>
      <c r="F193" s="7">
        <v>57</v>
      </c>
      <c r="G193" s="7">
        <v>43</v>
      </c>
      <c r="H193" s="7" t="s">
        <v>12</v>
      </c>
      <c r="I193" s="14">
        <v>1</v>
      </c>
      <c r="J193" s="16"/>
      <c r="K193" s="30"/>
      <c r="L193" s="30"/>
      <c r="M193" s="30"/>
      <c r="N193" s="34"/>
      <c r="O193" s="34"/>
      <c r="P193" s="34">
        <v>1</v>
      </c>
      <c r="Q193" s="9" t="s">
        <v>62</v>
      </c>
    </row>
    <row r="194" spans="2:17" s="17" customFormat="1" ht="18.75" x14ac:dyDescent="0.25">
      <c r="B194" s="4">
        <v>195</v>
      </c>
      <c r="C194" s="8" t="s">
        <v>657</v>
      </c>
      <c r="D194" s="8" t="s">
        <v>724</v>
      </c>
      <c r="E194" s="8">
        <v>24</v>
      </c>
      <c r="F194" s="7">
        <v>68</v>
      </c>
      <c r="G194" s="7">
        <v>34</v>
      </c>
      <c r="H194" s="7" t="s">
        <v>12</v>
      </c>
      <c r="I194" s="14">
        <v>1</v>
      </c>
      <c r="J194" s="16"/>
      <c r="K194" s="30"/>
      <c r="L194" s="30"/>
      <c r="M194" s="30"/>
      <c r="N194" s="34"/>
      <c r="O194" s="34"/>
      <c r="P194" s="34">
        <v>1</v>
      </c>
      <c r="Q194" s="9" t="s">
        <v>62</v>
      </c>
    </row>
    <row r="195" spans="2:17" s="17" customFormat="1" ht="18.75" x14ac:dyDescent="0.25">
      <c r="B195" s="4">
        <v>196</v>
      </c>
      <c r="C195" s="8" t="s">
        <v>203</v>
      </c>
      <c r="D195" s="8" t="s">
        <v>725</v>
      </c>
      <c r="E195" s="8">
        <v>24</v>
      </c>
      <c r="F195" s="7">
        <v>78</v>
      </c>
      <c r="G195" s="7">
        <v>39</v>
      </c>
      <c r="H195" s="7" t="s">
        <v>12</v>
      </c>
      <c r="I195" s="14">
        <v>1</v>
      </c>
      <c r="J195" s="16"/>
      <c r="K195" s="30"/>
      <c r="L195" s="30"/>
      <c r="M195" s="30"/>
      <c r="N195" s="34"/>
      <c r="O195" s="34"/>
      <c r="P195" s="34">
        <v>1</v>
      </c>
      <c r="Q195" s="9" t="s">
        <v>62</v>
      </c>
    </row>
    <row r="196" spans="2:17" s="17" customFormat="1" ht="18.75" x14ac:dyDescent="0.25">
      <c r="B196" s="4">
        <v>197</v>
      </c>
      <c r="C196" s="8" t="s">
        <v>726</v>
      </c>
      <c r="D196" s="8" t="s">
        <v>727</v>
      </c>
      <c r="E196" s="8">
        <v>24</v>
      </c>
      <c r="F196" s="7">
        <v>101</v>
      </c>
      <c r="G196" s="7">
        <v>39</v>
      </c>
      <c r="H196" s="7" t="s">
        <v>12</v>
      </c>
      <c r="I196" s="14">
        <v>1</v>
      </c>
      <c r="J196" s="16"/>
      <c r="K196" s="30"/>
      <c r="L196" s="30"/>
      <c r="M196" s="30"/>
      <c r="N196" s="34"/>
      <c r="O196" s="34"/>
      <c r="P196" s="34">
        <v>1</v>
      </c>
      <c r="Q196" s="9" t="s">
        <v>49</v>
      </c>
    </row>
    <row r="197" spans="2:17" s="17" customFormat="1" ht="18.75" x14ac:dyDescent="0.25">
      <c r="B197" s="4">
        <v>198</v>
      </c>
      <c r="C197" s="8" t="s">
        <v>662</v>
      </c>
      <c r="D197" s="8" t="s">
        <v>728</v>
      </c>
      <c r="E197" s="8">
        <v>24</v>
      </c>
      <c r="F197" s="8">
        <v>121</v>
      </c>
      <c r="G197" s="8">
        <v>41</v>
      </c>
      <c r="H197" s="8" t="s">
        <v>12</v>
      </c>
      <c r="I197" s="3">
        <v>1</v>
      </c>
      <c r="J197" s="8"/>
      <c r="K197" s="159"/>
      <c r="L197" s="159"/>
      <c r="M197" s="159"/>
      <c r="N197" s="160"/>
      <c r="O197" s="160"/>
      <c r="P197" s="160">
        <v>1</v>
      </c>
      <c r="Q197" s="8" t="s">
        <v>49</v>
      </c>
    </row>
    <row r="198" spans="2:17" s="17" customFormat="1" ht="18.75" x14ac:dyDescent="0.25">
      <c r="B198" s="4">
        <v>199</v>
      </c>
      <c r="C198" s="8" t="s">
        <v>697</v>
      </c>
      <c r="D198" s="8" t="s">
        <v>729</v>
      </c>
      <c r="E198" s="8">
        <v>24</v>
      </c>
      <c r="F198" s="7">
        <v>32</v>
      </c>
      <c r="G198" s="7">
        <v>38</v>
      </c>
      <c r="H198" s="7" t="s">
        <v>12</v>
      </c>
      <c r="I198" s="14">
        <v>1</v>
      </c>
      <c r="J198" s="16"/>
      <c r="K198" s="30"/>
      <c r="L198" s="30"/>
      <c r="M198" s="30"/>
      <c r="N198" s="34"/>
      <c r="O198" s="34"/>
      <c r="P198" s="34">
        <v>1</v>
      </c>
      <c r="Q198" s="9" t="s">
        <v>68</v>
      </c>
    </row>
    <row r="199" spans="2:17" s="17" customFormat="1" ht="18.75" x14ac:dyDescent="0.25">
      <c r="B199" s="4">
        <v>200</v>
      </c>
      <c r="C199" s="8" t="s">
        <v>214</v>
      </c>
      <c r="D199" s="8" t="s">
        <v>730</v>
      </c>
      <c r="E199" s="8">
        <v>24</v>
      </c>
      <c r="F199" s="7">
        <v>104</v>
      </c>
      <c r="G199" s="7">
        <v>45</v>
      </c>
      <c r="H199" s="7" t="s">
        <v>12</v>
      </c>
      <c r="I199" s="14">
        <v>1</v>
      </c>
      <c r="J199" s="16"/>
      <c r="K199" s="30"/>
      <c r="L199" s="30"/>
      <c r="M199" s="30"/>
      <c r="N199" s="34"/>
      <c r="O199" s="34"/>
      <c r="P199" s="34">
        <v>1</v>
      </c>
      <c r="Q199" s="9" t="s">
        <v>57</v>
      </c>
    </row>
    <row r="200" spans="2:17" s="17" customFormat="1" ht="18.75" x14ac:dyDescent="0.25">
      <c r="B200" s="4">
        <v>201</v>
      </c>
      <c r="C200" s="8" t="s">
        <v>731</v>
      </c>
      <c r="D200" s="8" t="s">
        <v>732</v>
      </c>
      <c r="E200" s="8">
        <v>24</v>
      </c>
      <c r="F200" s="7">
        <v>101</v>
      </c>
      <c r="G200" s="7">
        <v>36</v>
      </c>
      <c r="H200" s="7" t="s">
        <v>12</v>
      </c>
      <c r="I200" s="14">
        <v>1</v>
      </c>
      <c r="J200" s="16"/>
      <c r="K200" s="30"/>
      <c r="L200" s="30"/>
      <c r="M200" s="30"/>
      <c r="N200" s="34"/>
      <c r="O200" s="34"/>
      <c r="P200" s="34">
        <v>1</v>
      </c>
      <c r="Q200" s="9" t="s">
        <v>57</v>
      </c>
    </row>
    <row r="201" spans="2:17" s="17" customFormat="1" ht="18.75" x14ac:dyDescent="0.25">
      <c r="B201" s="4">
        <v>202</v>
      </c>
      <c r="C201" s="8" t="s">
        <v>125</v>
      </c>
      <c r="D201" s="8" t="s">
        <v>733</v>
      </c>
      <c r="E201" s="8">
        <v>24</v>
      </c>
      <c r="F201" s="7">
        <v>144</v>
      </c>
      <c r="G201" s="7">
        <v>44</v>
      </c>
      <c r="H201" s="7" t="s">
        <v>12</v>
      </c>
      <c r="I201" s="14">
        <v>1</v>
      </c>
      <c r="J201" s="16"/>
      <c r="K201" s="30"/>
      <c r="L201" s="30"/>
      <c r="M201" s="30"/>
      <c r="N201" s="34"/>
      <c r="O201" s="34"/>
      <c r="P201" s="34">
        <v>1</v>
      </c>
      <c r="Q201" s="9" t="s">
        <v>63</v>
      </c>
    </row>
    <row r="202" spans="2:17" s="17" customFormat="1" ht="18.75" x14ac:dyDescent="0.25">
      <c r="B202" s="4">
        <v>203</v>
      </c>
      <c r="C202" s="8" t="s">
        <v>600</v>
      </c>
      <c r="D202" s="8" t="s">
        <v>64</v>
      </c>
      <c r="E202" s="8">
        <v>24</v>
      </c>
      <c r="F202" s="7">
        <v>125</v>
      </c>
      <c r="G202" s="7">
        <v>45</v>
      </c>
      <c r="H202" s="7" t="s">
        <v>12</v>
      </c>
      <c r="I202" s="14">
        <v>1</v>
      </c>
      <c r="J202" s="16"/>
      <c r="K202" s="30"/>
      <c r="L202" s="30"/>
      <c r="M202" s="30"/>
      <c r="N202" s="34"/>
      <c r="O202" s="34"/>
      <c r="P202" s="34">
        <v>1</v>
      </c>
      <c r="Q202" s="9" t="s">
        <v>63</v>
      </c>
    </row>
    <row r="203" spans="2:17" s="17" customFormat="1" ht="18.75" x14ac:dyDescent="0.25">
      <c r="B203" s="4">
        <v>204</v>
      </c>
      <c r="C203" s="8" t="s">
        <v>734</v>
      </c>
      <c r="D203" s="8" t="s">
        <v>538</v>
      </c>
      <c r="E203" s="8">
        <v>24</v>
      </c>
      <c r="F203" s="7">
        <v>106</v>
      </c>
      <c r="G203" s="7">
        <v>44</v>
      </c>
      <c r="H203" s="7" t="s">
        <v>12</v>
      </c>
      <c r="I203" s="14">
        <v>1</v>
      </c>
      <c r="J203" s="16"/>
      <c r="K203" s="30"/>
      <c r="L203" s="30"/>
      <c r="M203" s="30"/>
      <c r="N203" s="34"/>
      <c r="O203" s="34"/>
      <c r="P203" s="34">
        <v>1</v>
      </c>
      <c r="Q203" s="9" t="s">
        <v>63</v>
      </c>
    </row>
    <row r="204" spans="2:17" s="17" customFormat="1" ht="18.75" x14ac:dyDescent="0.25">
      <c r="B204" s="4">
        <v>205</v>
      </c>
      <c r="C204" s="8" t="s">
        <v>65</v>
      </c>
      <c r="D204" s="8" t="s">
        <v>600</v>
      </c>
      <c r="E204" s="8">
        <v>24</v>
      </c>
      <c r="F204" s="7">
        <v>97</v>
      </c>
      <c r="G204" s="7">
        <v>37</v>
      </c>
      <c r="H204" s="7" t="s">
        <v>12</v>
      </c>
      <c r="I204" s="14">
        <v>1</v>
      </c>
      <c r="J204" s="16"/>
      <c r="K204" s="30"/>
      <c r="L204" s="30"/>
      <c r="M204" s="30"/>
      <c r="N204" s="34"/>
      <c r="O204" s="34"/>
      <c r="P204" s="34">
        <v>1</v>
      </c>
      <c r="Q204" s="9" t="s">
        <v>63</v>
      </c>
    </row>
    <row r="205" spans="2:17" s="17" customFormat="1" ht="18.75" x14ac:dyDescent="0.25">
      <c r="B205" s="4">
        <v>206</v>
      </c>
      <c r="C205" s="8" t="s">
        <v>65</v>
      </c>
      <c r="D205" s="8" t="s">
        <v>600</v>
      </c>
      <c r="E205" s="8">
        <v>24</v>
      </c>
      <c r="F205" s="7">
        <v>124</v>
      </c>
      <c r="G205" s="7">
        <v>43</v>
      </c>
      <c r="H205" s="7" t="s">
        <v>12</v>
      </c>
      <c r="I205" s="14">
        <v>1</v>
      </c>
      <c r="J205" s="16"/>
      <c r="K205" s="30"/>
      <c r="L205" s="30"/>
      <c r="M205" s="30"/>
      <c r="N205" s="34"/>
      <c r="O205" s="34"/>
      <c r="P205" s="34">
        <v>1</v>
      </c>
      <c r="Q205" s="9" t="s">
        <v>63</v>
      </c>
    </row>
    <row r="206" spans="2:17" s="17" customFormat="1" ht="18.75" x14ac:dyDescent="0.25">
      <c r="B206" s="4">
        <v>207</v>
      </c>
      <c r="C206" s="8" t="s">
        <v>735</v>
      </c>
      <c r="D206" s="8" t="s">
        <v>46</v>
      </c>
      <c r="E206" s="8">
        <v>24</v>
      </c>
      <c r="F206" s="7">
        <v>60</v>
      </c>
      <c r="G206" s="7">
        <v>24</v>
      </c>
      <c r="H206" s="7" t="s">
        <v>12</v>
      </c>
      <c r="I206" s="14">
        <v>1</v>
      </c>
      <c r="J206" s="16"/>
      <c r="K206" s="30"/>
      <c r="L206" s="30"/>
      <c r="M206" s="30"/>
      <c r="N206" s="34"/>
      <c r="O206" s="34"/>
      <c r="P206" s="34">
        <v>1</v>
      </c>
      <c r="Q206" s="9" t="s">
        <v>63</v>
      </c>
    </row>
    <row r="207" spans="2:17" s="17" customFormat="1" ht="18.75" x14ac:dyDescent="0.25">
      <c r="B207" s="4">
        <v>208</v>
      </c>
      <c r="C207" s="8" t="s">
        <v>600</v>
      </c>
      <c r="D207" s="8" t="s">
        <v>66</v>
      </c>
      <c r="E207" s="8">
        <v>24</v>
      </c>
      <c r="F207" s="7">
        <v>133</v>
      </c>
      <c r="G207" s="7">
        <v>46</v>
      </c>
      <c r="H207" s="7" t="s">
        <v>12</v>
      </c>
      <c r="I207" s="14">
        <v>1</v>
      </c>
      <c r="J207" s="16"/>
      <c r="K207" s="30"/>
      <c r="L207" s="30"/>
      <c r="M207" s="30"/>
      <c r="N207" s="34"/>
      <c r="O207" s="34"/>
      <c r="P207" s="34">
        <v>1</v>
      </c>
      <c r="Q207" s="9" t="s">
        <v>63</v>
      </c>
    </row>
    <row r="208" spans="2:17" s="17" customFormat="1" ht="18.75" x14ac:dyDescent="0.25">
      <c r="B208" s="4">
        <v>209</v>
      </c>
      <c r="C208" s="8" t="s">
        <v>736</v>
      </c>
      <c r="D208" s="8" t="s">
        <v>737</v>
      </c>
      <c r="E208" s="8">
        <v>24</v>
      </c>
      <c r="F208" s="7">
        <v>24</v>
      </c>
      <c r="G208" s="7">
        <v>43</v>
      </c>
      <c r="H208" s="7" t="s">
        <v>12</v>
      </c>
      <c r="I208" s="14">
        <v>1</v>
      </c>
      <c r="J208" s="16"/>
      <c r="K208" s="30"/>
      <c r="L208" s="30"/>
      <c r="M208" s="30"/>
      <c r="N208" s="34"/>
      <c r="O208" s="34"/>
      <c r="P208" s="34">
        <v>1</v>
      </c>
      <c r="Q208" s="9" t="s">
        <v>63</v>
      </c>
    </row>
    <row r="209" spans="2:17" s="17" customFormat="1" ht="18.75" x14ac:dyDescent="0.25">
      <c r="B209" s="4">
        <v>210</v>
      </c>
      <c r="C209" s="8" t="s">
        <v>738</v>
      </c>
      <c r="D209" s="8" t="s">
        <v>739</v>
      </c>
      <c r="E209" s="8">
        <v>24</v>
      </c>
      <c r="F209" s="7">
        <v>97</v>
      </c>
      <c r="G209" s="7">
        <v>43</v>
      </c>
      <c r="H209" s="7" t="s">
        <v>12</v>
      </c>
      <c r="I209" s="14">
        <v>1</v>
      </c>
      <c r="J209" s="16"/>
      <c r="K209" s="30"/>
      <c r="L209" s="30"/>
      <c r="M209" s="30"/>
      <c r="N209" s="34"/>
      <c r="O209" s="34"/>
      <c r="P209" s="34">
        <v>1</v>
      </c>
      <c r="Q209" s="9" t="s">
        <v>63</v>
      </c>
    </row>
    <row r="210" spans="2:17" s="17" customFormat="1" ht="18.75" x14ac:dyDescent="0.25">
      <c r="B210" s="4">
        <v>211</v>
      </c>
      <c r="C210" s="8" t="s">
        <v>740</v>
      </c>
      <c r="D210" s="8" t="s">
        <v>741</v>
      </c>
      <c r="E210" s="8">
        <v>24</v>
      </c>
      <c r="F210" s="7">
        <v>45</v>
      </c>
      <c r="G210" s="7">
        <v>48</v>
      </c>
      <c r="H210" s="7" t="s">
        <v>12</v>
      </c>
      <c r="I210" s="14">
        <v>1</v>
      </c>
      <c r="J210" s="16"/>
      <c r="K210" s="30"/>
      <c r="L210" s="30"/>
      <c r="M210" s="30"/>
      <c r="N210" s="34"/>
      <c r="O210" s="34"/>
      <c r="P210" s="34">
        <v>1</v>
      </c>
      <c r="Q210" s="9" t="s">
        <v>63</v>
      </c>
    </row>
    <row r="211" spans="2:17" s="17" customFormat="1" ht="18.75" x14ac:dyDescent="0.25">
      <c r="B211" s="4">
        <v>212</v>
      </c>
      <c r="C211" s="8" t="s">
        <v>131</v>
      </c>
      <c r="D211" s="8" t="s">
        <v>742</v>
      </c>
      <c r="E211" s="8">
        <v>24</v>
      </c>
      <c r="F211" s="7">
        <v>119</v>
      </c>
      <c r="G211" s="7">
        <v>33</v>
      </c>
      <c r="H211" s="7" t="s">
        <v>12</v>
      </c>
      <c r="I211" s="14">
        <v>1</v>
      </c>
      <c r="J211" s="16"/>
      <c r="K211" s="30"/>
      <c r="L211" s="30"/>
      <c r="M211" s="30"/>
      <c r="N211" s="34"/>
      <c r="O211" s="34"/>
      <c r="P211" s="34">
        <v>1</v>
      </c>
      <c r="Q211" s="9" t="s">
        <v>63</v>
      </c>
    </row>
    <row r="212" spans="2:17" s="17" customFormat="1" ht="18.75" x14ac:dyDescent="0.25">
      <c r="B212" s="4">
        <v>213</v>
      </c>
      <c r="C212" s="8" t="s">
        <v>575</v>
      </c>
      <c r="D212" s="8" t="s">
        <v>743</v>
      </c>
      <c r="E212" s="8">
        <v>24</v>
      </c>
      <c r="F212" s="7">
        <v>42</v>
      </c>
      <c r="G212" s="7">
        <v>40</v>
      </c>
      <c r="H212" s="7" t="s">
        <v>12</v>
      </c>
      <c r="I212" s="14">
        <v>1</v>
      </c>
      <c r="J212" s="16"/>
      <c r="K212" s="30"/>
      <c r="L212" s="30"/>
      <c r="M212" s="30"/>
      <c r="N212" s="34"/>
      <c r="O212" s="34"/>
      <c r="P212" s="34">
        <v>1</v>
      </c>
      <c r="Q212" s="9" t="s">
        <v>63</v>
      </c>
    </row>
    <row r="213" spans="2:17" s="17" customFormat="1" ht="18.75" x14ac:dyDescent="0.25">
      <c r="B213" s="4">
        <v>214</v>
      </c>
      <c r="C213" s="8" t="s">
        <v>575</v>
      </c>
      <c r="D213" s="8" t="s">
        <v>744</v>
      </c>
      <c r="E213" s="8">
        <v>24</v>
      </c>
      <c r="F213" s="7">
        <v>113</v>
      </c>
      <c r="G213" s="7">
        <v>38</v>
      </c>
      <c r="H213" s="7" t="s">
        <v>12</v>
      </c>
      <c r="I213" s="14">
        <v>1</v>
      </c>
      <c r="J213" s="16"/>
      <c r="K213" s="30"/>
      <c r="L213" s="30"/>
      <c r="M213" s="30"/>
      <c r="N213" s="34"/>
      <c r="O213" s="34"/>
      <c r="P213" s="34">
        <v>1</v>
      </c>
      <c r="Q213" s="9" t="s">
        <v>63</v>
      </c>
    </row>
    <row r="214" spans="2:17" s="17" customFormat="1" ht="18.75" x14ac:dyDescent="0.25">
      <c r="B214" s="4">
        <v>215</v>
      </c>
      <c r="C214" s="8" t="s">
        <v>131</v>
      </c>
      <c r="D214" s="8" t="s">
        <v>745</v>
      </c>
      <c r="E214" s="8">
        <v>24</v>
      </c>
      <c r="F214" s="7">
        <v>109</v>
      </c>
      <c r="G214" s="7">
        <v>41</v>
      </c>
      <c r="H214" s="7" t="s">
        <v>12</v>
      </c>
      <c r="I214" s="14">
        <v>1</v>
      </c>
      <c r="J214" s="16"/>
      <c r="K214" s="30"/>
      <c r="L214" s="30"/>
      <c r="M214" s="30"/>
      <c r="N214" s="34"/>
      <c r="O214" s="34"/>
      <c r="P214" s="34">
        <v>1</v>
      </c>
      <c r="Q214" s="9" t="s">
        <v>63</v>
      </c>
    </row>
    <row r="215" spans="2:17" s="17" customFormat="1" ht="18.75" x14ac:dyDescent="0.25">
      <c r="B215" s="4">
        <v>216</v>
      </c>
      <c r="C215" s="8" t="s">
        <v>138</v>
      </c>
      <c r="D215" s="8" t="s">
        <v>746</v>
      </c>
      <c r="E215" s="8">
        <v>24</v>
      </c>
      <c r="F215" s="7">
        <v>21</v>
      </c>
      <c r="G215" s="7">
        <v>44</v>
      </c>
      <c r="H215" s="7" t="s">
        <v>12</v>
      </c>
      <c r="I215" s="14">
        <v>1</v>
      </c>
      <c r="J215" s="16"/>
      <c r="K215" s="30"/>
      <c r="L215" s="30"/>
      <c r="M215" s="30"/>
      <c r="N215" s="34"/>
      <c r="O215" s="34"/>
      <c r="P215" s="34">
        <v>1</v>
      </c>
      <c r="Q215" s="9" t="s">
        <v>63</v>
      </c>
    </row>
    <row r="216" spans="2:17" s="17" customFormat="1" ht="18.75" x14ac:dyDescent="0.25">
      <c r="B216" s="4">
        <v>217</v>
      </c>
      <c r="C216" s="8" t="s">
        <v>326</v>
      </c>
      <c r="D216" s="8" t="s">
        <v>747</v>
      </c>
      <c r="E216" s="8">
        <v>24</v>
      </c>
      <c r="F216" s="7">
        <v>117</v>
      </c>
      <c r="G216" s="7">
        <v>40</v>
      </c>
      <c r="H216" s="7" t="s">
        <v>12</v>
      </c>
      <c r="I216" s="14">
        <v>1</v>
      </c>
      <c r="J216" s="16"/>
      <c r="K216" s="30"/>
      <c r="L216" s="30"/>
      <c r="M216" s="30"/>
      <c r="N216" s="34"/>
      <c r="O216" s="34"/>
      <c r="P216" s="34">
        <v>1</v>
      </c>
      <c r="Q216" s="9" t="s">
        <v>63</v>
      </c>
    </row>
    <row r="217" spans="2:17" s="17" customFormat="1" ht="18.75" x14ac:dyDescent="0.25">
      <c r="B217" s="4">
        <v>218</v>
      </c>
      <c r="C217" s="8" t="s">
        <v>166</v>
      </c>
      <c r="D217" s="8" t="s">
        <v>748</v>
      </c>
      <c r="E217" s="8">
        <v>24</v>
      </c>
      <c r="F217" s="7">
        <v>89</v>
      </c>
      <c r="G217" s="7">
        <v>37</v>
      </c>
      <c r="H217" s="7" t="s">
        <v>12</v>
      </c>
      <c r="I217" s="14">
        <v>1</v>
      </c>
      <c r="J217" s="16"/>
      <c r="K217" s="30"/>
      <c r="L217" s="30"/>
      <c r="M217" s="30"/>
      <c r="N217" s="34"/>
      <c r="O217" s="34"/>
      <c r="P217" s="34">
        <v>1</v>
      </c>
      <c r="Q217" s="9" t="s">
        <v>63</v>
      </c>
    </row>
    <row r="218" spans="2:17" s="17" customFormat="1" ht="18.75" x14ac:dyDescent="0.25">
      <c r="B218" s="4">
        <v>219</v>
      </c>
      <c r="C218" s="8" t="s">
        <v>166</v>
      </c>
      <c r="D218" s="8" t="s">
        <v>749</v>
      </c>
      <c r="E218" s="8">
        <v>24</v>
      </c>
      <c r="F218" s="7">
        <v>121</v>
      </c>
      <c r="G218" s="7">
        <v>40</v>
      </c>
      <c r="H218" s="7" t="s">
        <v>12</v>
      </c>
      <c r="I218" s="14">
        <v>1</v>
      </c>
      <c r="J218" s="16"/>
      <c r="K218" s="30"/>
      <c r="L218" s="30"/>
      <c r="M218" s="30"/>
      <c r="N218" s="34"/>
      <c r="O218" s="34"/>
      <c r="P218" s="34">
        <v>1</v>
      </c>
      <c r="Q218" s="9" t="s">
        <v>63</v>
      </c>
    </row>
    <row r="219" spans="2:17" s="17" customFormat="1" ht="18.75" x14ac:dyDescent="0.25">
      <c r="B219" s="4">
        <v>220</v>
      </c>
      <c r="C219" s="8" t="s">
        <v>166</v>
      </c>
      <c r="D219" s="8" t="s">
        <v>750</v>
      </c>
      <c r="E219" s="8">
        <v>24</v>
      </c>
      <c r="F219" s="7">
        <v>122</v>
      </c>
      <c r="G219" s="7">
        <v>41</v>
      </c>
      <c r="H219" s="7" t="s">
        <v>12</v>
      </c>
      <c r="I219" s="14">
        <v>1</v>
      </c>
      <c r="J219" s="16"/>
      <c r="K219" s="30"/>
      <c r="L219" s="30"/>
      <c r="M219" s="30"/>
      <c r="N219" s="34"/>
      <c r="O219" s="34"/>
      <c r="P219" s="34">
        <v>1</v>
      </c>
      <c r="Q219" s="9" t="s">
        <v>63</v>
      </c>
    </row>
    <row r="220" spans="2:17" s="17" customFormat="1" ht="18.75" x14ac:dyDescent="0.25">
      <c r="B220" s="4">
        <v>221</v>
      </c>
      <c r="C220" s="8" t="s">
        <v>677</v>
      </c>
      <c r="D220" s="8" t="s">
        <v>751</v>
      </c>
      <c r="E220" s="8">
        <v>24</v>
      </c>
      <c r="F220" s="7">
        <v>91</v>
      </c>
      <c r="G220" s="7">
        <v>39</v>
      </c>
      <c r="H220" s="7" t="s">
        <v>12</v>
      </c>
      <c r="I220" s="14">
        <v>1</v>
      </c>
      <c r="J220" s="16"/>
      <c r="K220" s="30"/>
      <c r="L220" s="30"/>
      <c r="M220" s="30"/>
      <c r="N220" s="34"/>
      <c r="O220" s="34"/>
      <c r="P220" s="34">
        <v>1</v>
      </c>
      <c r="Q220" s="9" t="s">
        <v>63</v>
      </c>
    </row>
    <row r="221" spans="2:17" s="17" customFormat="1" ht="18.75" x14ac:dyDescent="0.25">
      <c r="B221" s="4">
        <v>222</v>
      </c>
      <c r="C221" s="8" t="s">
        <v>677</v>
      </c>
      <c r="D221" s="8" t="s">
        <v>752</v>
      </c>
      <c r="E221" s="8">
        <v>24</v>
      </c>
      <c r="F221" s="7">
        <v>93</v>
      </c>
      <c r="G221" s="7">
        <v>33</v>
      </c>
      <c r="H221" s="7" t="s">
        <v>12</v>
      </c>
      <c r="I221" s="14">
        <v>1</v>
      </c>
      <c r="J221" s="16"/>
      <c r="K221" s="30"/>
      <c r="L221" s="30"/>
      <c r="M221" s="30"/>
      <c r="N221" s="34"/>
      <c r="O221" s="34"/>
      <c r="P221" s="34">
        <v>1</v>
      </c>
      <c r="Q221" s="9" t="s">
        <v>63</v>
      </c>
    </row>
    <row r="222" spans="2:17" s="17" customFormat="1" ht="18.75" x14ac:dyDescent="0.25">
      <c r="B222" s="4">
        <v>223</v>
      </c>
      <c r="C222" s="8" t="s">
        <v>677</v>
      </c>
      <c r="D222" s="8" t="s">
        <v>426</v>
      </c>
      <c r="E222" s="8">
        <v>24</v>
      </c>
      <c r="F222" s="7">
        <v>104</v>
      </c>
      <c r="G222" s="7">
        <v>41</v>
      </c>
      <c r="H222" s="7" t="s">
        <v>12</v>
      </c>
      <c r="I222" s="14">
        <v>1</v>
      </c>
      <c r="J222" s="16"/>
      <c r="K222" s="30"/>
      <c r="L222" s="30"/>
      <c r="M222" s="30"/>
      <c r="N222" s="34"/>
      <c r="O222" s="34"/>
      <c r="P222" s="34">
        <v>1</v>
      </c>
      <c r="Q222" s="9" t="s">
        <v>63</v>
      </c>
    </row>
    <row r="223" spans="2:17" s="17" customFormat="1" ht="18.75" x14ac:dyDescent="0.25">
      <c r="B223" s="4">
        <v>224</v>
      </c>
      <c r="C223" s="8" t="s">
        <v>188</v>
      </c>
      <c r="D223" s="8" t="s">
        <v>753</v>
      </c>
      <c r="E223" s="8">
        <v>24</v>
      </c>
      <c r="F223" s="7">
        <v>102</v>
      </c>
      <c r="G223" s="7">
        <v>36</v>
      </c>
      <c r="H223" s="7" t="s">
        <v>12</v>
      </c>
      <c r="I223" s="14">
        <v>1</v>
      </c>
      <c r="J223" s="16"/>
      <c r="K223" s="30"/>
      <c r="L223" s="30"/>
      <c r="M223" s="30"/>
      <c r="N223" s="34"/>
      <c r="O223" s="34"/>
      <c r="P223" s="34">
        <v>1</v>
      </c>
      <c r="Q223" s="9" t="s">
        <v>63</v>
      </c>
    </row>
    <row r="224" spans="2:17" s="17" customFormat="1" ht="18.75" x14ac:dyDescent="0.25">
      <c r="B224" s="4">
        <v>225</v>
      </c>
      <c r="C224" s="8" t="s">
        <v>183</v>
      </c>
      <c r="D224" s="8" t="s">
        <v>754</v>
      </c>
      <c r="E224" s="8">
        <v>24</v>
      </c>
      <c r="F224" s="7">
        <v>21</v>
      </c>
      <c r="G224" s="7">
        <v>39</v>
      </c>
      <c r="H224" s="7" t="s">
        <v>12</v>
      </c>
      <c r="I224" s="14">
        <v>1</v>
      </c>
      <c r="J224" s="16"/>
      <c r="K224" s="30"/>
      <c r="L224" s="30"/>
      <c r="M224" s="30"/>
      <c r="N224" s="34"/>
      <c r="O224" s="34"/>
      <c r="P224" s="34">
        <v>1</v>
      </c>
      <c r="Q224" s="9" t="s">
        <v>63</v>
      </c>
    </row>
    <row r="225" spans="2:17" s="17" customFormat="1" ht="18.75" x14ac:dyDescent="0.25">
      <c r="B225" s="4">
        <v>226</v>
      </c>
      <c r="C225" s="8" t="s">
        <v>682</v>
      </c>
      <c r="D225" s="8" t="s">
        <v>755</v>
      </c>
      <c r="E225" s="8">
        <v>24</v>
      </c>
      <c r="F225" s="7">
        <v>127</v>
      </c>
      <c r="G225" s="7">
        <v>45</v>
      </c>
      <c r="H225" s="7" t="s">
        <v>12</v>
      </c>
      <c r="I225" s="14">
        <v>1</v>
      </c>
      <c r="J225" s="16"/>
      <c r="K225" s="30"/>
      <c r="L225" s="30"/>
      <c r="M225" s="30"/>
      <c r="N225" s="34"/>
      <c r="O225" s="34"/>
      <c r="P225" s="34">
        <v>1</v>
      </c>
      <c r="Q225" s="9" t="s">
        <v>63</v>
      </c>
    </row>
    <row r="226" spans="2:17" s="17" customFormat="1" ht="18.75" x14ac:dyDescent="0.25">
      <c r="B226" s="4">
        <v>227</v>
      </c>
      <c r="C226" s="8" t="s">
        <v>280</v>
      </c>
      <c r="D226" s="8" t="s">
        <v>756</v>
      </c>
      <c r="E226" s="8">
        <v>24</v>
      </c>
      <c r="F226" s="7">
        <v>117</v>
      </c>
      <c r="G226" s="7">
        <v>33</v>
      </c>
      <c r="H226" s="7" t="s">
        <v>12</v>
      </c>
      <c r="I226" s="14">
        <v>1</v>
      </c>
      <c r="J226" s="16"/>
      <c r="K226" s="30"/>
      <c r="L226" s="30"/>
      <c r="M226" s="30"/>
      <c r="N226" s="34"/>
      <c r="O226" s="34"/>
      <c r="P226" s="34">
        <v>1</v>
      </c>
      <c r="Q226" s="9" t="s">
        <v>63</v>
      </c>
    </row>
    <row r="227" spans="2:17" s="17" customFormat="1" ht="18.75" x14ac:dyDescent="0.25">
      <c r="B227" s="4">
        <v>228</v>
      </c>
      <c r="C227" s="18" t="s">
        <v>247</v>
      </c>
      <c r="D227" s="18" t="s">
        <v>757</v>
      </c>
      <c r="E227" s="18">
        <v>24</v>
      </c>
      <c r="F227" s="19">
        <v>85</v>
      </c>
      <c r="G227" s="19">
        <v>41</v>
      </c>
      <c r="H227" s="19" t="s">
        <v>12</v>
      </c>
      <c r="I227" s="14">
        <v>1</v>
      </c>
      <c r="J227" s="20"/>
      <c r="K227" s="31"/>
      <c r="L227" s="31"/>
      <c r="M227" s="31"/>
      <c r="N227" s="35"/>
      <c r="O227" s="35"/>
      <c r="P227" s="34">
        <v>1</v>
      </c>
      <c r="Q227" s="21" t="s">
        <v>63</v>
      </c>
    </row>
    <row r="228" spans="2:17" s="17" customFormat="1" ht="18.75" x14ac:dyDescent="0.25">
      <c r="B228" s="4">
        <v>229</v>
      </c>
      <c r="C228" s="18" t="s">
        <v>758</v>
      </c>
      <c r="D228" s="18" t="s">
        <v>759</v>
      </c>
      <c r="E228" s="18">
        <v>24</v>
      </c>
      <c r="F228" s="19">
        <v>101</v>
      </c>
      <c r="G228" s="19">
        <v>1</v>
      </c>
      <c r="H228" s="19" t="s">
        <v>12</v>
      </c>
      <c r="I228" s="14">
        <v>1</v>
      </c>
      <c r="J228" s="20"/>
      <c r="K228" s="31"/>
      <c r="L228" s="31"/>
      <c r="M228" s="31"/>
      <c r="N228" s="35"/>
      <c r="O228" s="35"/>
      <c r="P228" s="34">
        <v>1</v>
      </c>
      <c r="Q228" s="21"/>
    </row>
    <row r="229" spans="2:17" s="17" customFormat="1" ht="18.75" x14ac:dyDescent="0.25">
      <c r="B229" s="4">
        <v>230</v>
      </c>
      <c r="C229" s="18" t="s">
        <v>731</v>
      </c>
      <c r="D229" s="18" t="s">
        <v>761</v>
      </c>
      <c r="E229" s="18">
        <v>24</v>
      </c>
      <c r="F229" s="19">
        <v>99</v>
      </c>
      <c r="G229" s="19">
        <v>1</v>
      </c>
      <c r="H229" s="19" t="s">
        <v>12</v>
      </c>
      <c r="I229" s="14">
        <v>1</v>
      </c>
      <c r="J229" s="20"/>
      <c r="K229" s="31"/>
      <c r="L229" s="31"/>
      <c r="M229" s="31"/>
      <c r="N229" s="35"/>
      <c r="O229" s="35"/>
      <c r="P229" s="34">
        <v>1</v>
      </c>
      <c r="Q229" s="21"/>
    </row>
    <row r="230" spans="2:17" s="17" customFormat="1" ht="18.75" x14ac:dyDescent="0.25">
      <c r="B230" s="4">
        <v>231</v>
      </c>
      <c r="C230" s="18" t="s">
        <v>762</v>
      </c>
      <c r="D230" s="18" t="s">
        <v>2716</v>
      </c>
      <c r="E230" s="18">
        <v>24</v>
      </c>
      <c r="F230" s="19">
        <v>98</v>
      </c>
      <c r="G230" s="19">
        <v>1</v>
      </c>
      <c r="H230" s="19" t="s">
        <v>12</v>
      </c>
      <c r="I230" s="14">
        <v>1</v>
      </c>
      <c r="J230" s="20"/>
      <c r="K230" s="31"/>
      <c r="L230" s="31"/>
      <c r="M230" s="31"/>
      <c r="N230" s="35"/>
      <c r="O230" s="35"/>
      <c r="P230" s="34">
        <v>1</v>
      </c>
      <c r="Q230" s="21"/>
    </row>
    <row r="231" spans="2:17" s="17" customFormat="1" ht="18.75" x14ac:dyDescent="0.25">
      <c r="B231" s="4">
        <v>232</v>
      </c>
      <c r="C231" s="18" t="s">
        <v>125</v>
      </c>
      <c r="D231" s="18" t="s">
        <v>312</v>
      </c>
      <c r="E231" s="18">
        <v>24</v>
      </c>
      <c r="F231" s="19">
        <v>103</v>
      </c>
      <c r="G231" s="19">
        <v>1</v>
      </c>
      <c r="H231" s="19" t="s">
        <v>12</v>
      </c>
      <c r="I231" s="14">
        <v>1</v>
      </c>
      <c r="J231" s="20"/>
      <c r="K231" s="31"/>
      <c r="L231" s="31"/>
      <c r="M231" s="31"/>
      <c r="N231" s="35"/>
      <c r="O231" s="35"/>
      <c r="P231" s="34">
        <v>1</v>
      </c>
      <c r="Q231" s="21"/>
    </row>
    <row r="232" spans="2:17" s="17" customFormat="1" ht="18.75" x14ac:dyDescent="0.25">
      <c r="B232" s="4">
        <v>233</v>
      </c>
      <c r="C232" s="18" t="s">
        <v>258</v>
      </c>
      <c r="D232" s="18" t="s">
        <v>763</v>
      </c>
      <c r="E232" s="18">
        <v>24</v>
      </c>
      <c r="F232" s="19"/>
      <c r="G232" s="19"/>
      <c r="H232" s="19" t="s">
        <v>26</v>
      </c>
      <c r="I232" s="14"/>
      <c r="J232" s="20">
        <v>1</v>
      </c>
      <c r="K232" s="31"/>
      <c r="L232" s="31"/>
      <c r="M232" s="31"/>
      <c r="N232" s="35"/>
      <c r="O232" s="35"/>
      <c r="P232" s="34"/>
      <c r="Q232" s="21"/>
    </row>
    <row r="233" spans="2:17" s="17" customFormat="1" ht="18.75" x14ac:dyDescent="0.25">
      <c r="B233" s="4">
        <v>234</v>
      </c>
      <c r="C233" s="18" t="s">
        <v>2561</v>
      </c>
      <c r="D233" s="18" t="s">
        <v>2562</v>
      </c>
      <c r="E233" s="18">
        <v>24</v>
      </c>
      <c r="F233" s="19">
        <v>38</v>
      </c>
      <c r="G233" s="19">
        <v>29</v>
      </c>
      <c r="H233" s="19" t="s">
        <v>26</v>
      </c>
      <c r="I233" s="37"/>
      <c r="J233" s="20">
        <v>1</v>
      </c>
      <c r="K233" s="31"/>
      <c r="L233" s="31"/>
      <c r="M233" s="31">
        <v>1</v>
      </c>
      <c r="N233" s="35"/>
      <c r="O233" s="35"/>
      <c r="P233" s="34"/>
      <c r="Q233" s="21"/>
    </row>
    <row r="234" spans="2:17" s="17" customFormat="1" ht="18.75" x14ac:dyDescent="0.25">
      <c r="B234" s="4">
        <v>235</v>
      </c>
      <c r="C234" s="18" t="s">
        <v>324</v>
      </c>
      <c r="D234" s="18" t="s">
        <v>2563</v>
      </c>
      <c r="E234" s="18">
        <v>24</v>
      </c>
      <c r="F234" s="19">
        <v>27</v>
      </c>
      <c r="G234" s="19">
        <v>4</v>
      </c>
      <c r="H234" s="19" t="s">
        <v>26</v>
      </c>
      <c r="I234" s="37"/>
      <c r="J234" s="20">
        <v>1</v>
      </c>
      <c r="K234" s="31"/>
      <c r="L234" s="31"/>
      <c r="M234" s="31">
        <v>1</v>
      </c>
      <c r="N234" s="35"/>
      <c r="O234" s="35"/>
      <c r="P234" s="34"/>
      <c r="Q234" s="21"/>
    </row>
    <row r="235" spans="2:17" s="17" customFormat="1" ht="18.75" x14ac:dyDescent="0.25">
      <c r="B235" s="4">
        <v>236</v>
      </c>
      <c r="C235" s="18" t="s">
        <v>832</v>
      </c>
      <c r="D235" s="18" t="s">
        <v>2564</v>
      </c>
      <c r="E235" s="18">
        <v>24</v>
      </c>
      <c r="F235" s="19">
        <v>92</v>
      </c>
      <c r="G235" s="19">
        <v>3</v>
      </c>
      <c r="H235" s="19" t="s">
        <v>26</v>
      </c>
      <c r="I235" s="37"/>
      <c r="J235" s="20">
        <v>1</v>
      </c>
      <c r="K235" s="31"/>
      <c r="L235" s="31"/>
      <c r="M235" s="31">
        <v>1</v>
      </c>
      <c r="N235" s="35"/>
      <c r="O235" s="35"/>
      <c r="P235" s="34"/>
      <c r="Q235" s="21"/>
    </row>
    <row r="236" spans="2:17" s="17" customFormat="1" ht="18.75" x14ac:dyDescent="0.25">
      <c r="B236" s="4">
        <v>237</v>
      </c>
      <c r="C236" s="18" t="s">
        <v>932</v>
      </c>
      <c r="D236" s="18" t="s">
        <v>2565</v>
      </c>
      <c r="E236" s="18">
        <v>24</v>
      </c>
      <c r="F236" s="19">
        <v>121</v>
      </c>
      <c r="G236" s="19">
        <v>14</v>
      </c>
      <c r="H236" s="19" t="s">
        <v>26</v>
      </c>
      <c r="I236" s="37"/>
      <c r="J236" s="20">
        <v>1</v>
      </c>
      <c r="K236" s="31"/>
      <c r="L236" s="31"/>
      <c r="M236" s="31">
        <v>1</v>
      </c>
      <c r="N236" s="35"/>
      <c r="O236" s="35"/>
      <c r="P236" s="34"/>
      <c r="Q236" s="21"/>
    </row>
    <row r="237" spans="2:17" s="17" customFormat="1" ht="18.75" x14ac:dyDescent="0.25">
      <c r="B237" s="4">
        <v>238</v>
      </c>
      <c r="C237" s="18" t="s">
        <v>662</v>
      </c>
      <c r="D237" s="18" t="s">
        <v>2566</v>
      </c>
      <c r="E237" s="18">
        <v>24</v>
      </c>
      <c r="F237" s="19">
        <v>113</v>
      </c>
      <c r="G237" s="19">
        <v>8</v>
      </c>
      <c r="H237" s="19" t="s">
        <v>26</v>
      </c>
      <c r="I237" s="37"/>
      <c r="J237" s="20">
        <v>1</v>
      </c>
      <c r="K237" s="31"/>
      <c r="L237" s="31"/>
      <c r="M237" s="31">
        <v>1</v>
      </c>
      <c r="N237" s="35"/>
      <c r="O237" s="35"/>
      <c r="P237" s="34"/>
      <c r="Q237" s="21"/>
    </row>
    <row r="238" spans="2:17" s="17" customFormat="1" ht="18.75" x14ac:dyDescent="0.25">
      <c r="B238" s="4">
        <v>239</v>
      </c>
      <c r="C238" s="18" t="s">
        <v>600</v>
      </c>
      <c r="D238" s="18" t="s">
        <v>2567</v>
      </c>
      <c r="E238" s="18">
        <v>24</v>
      </c>
      <c r="F238" s="19">
        <v>78</v>
      </c>
      <c r="G238" s="19">
        <v>8</v>
      </c>
      <c r="H238" s="19" t="s">
        <v>26</v>
      </c>
      <c r="I238" s="37"/>
      <c r="J238" s="20">
        <v>1</v>
      </c>
      <c r="K238" s="31"/>
      <c r="L238" s="31"/>
      <c r="M238" s="31">
        <v>1</v>
      </c>
      <c r="N238" s="35"/>
      <c r="O238" s="35"/>
      <c r="P238" s="34"/>
      <c r="Q238" s="21"/>
    </row>
    <row r="239" spans="2:17" s="17" customFormat="1" ht="18.75" x14ac:dyDescent="0.25">
      <c r="B239" s="4">
        <v>240</v>
      </c>
      <c r="C239" s="18" t="s">
        <v>135</v>
      </c>
      <c r="D239" s="18" t="s">
        <v>2568</v>
      </c>
      <c r="E239" s="18">
        <v>24</v>
      </c>
      <c r="F239" s="19">
        <v>27</v>
      </c>
      <c r="G239" s="19">
        <v>26</v>
      </c>
      <c r="H239" s="19" t="s">
        <v>26</v>
      </c>
      <c r="I239" s="37"/>
      <c r="J239" s="20">
        <v>1</v>
      </c>
      <c r="K239" s="31"/>
      <c r="L239" s="31"/>
      <c r="M239" s="31">
        <v>1</v>
      </c>
      <c r="N239" s="35"/>
      <c r="O239" s="35"/>
      <c r="P239" s="34"/>
      <c r="Q239" s="21"/>
    </row>
    <row r="240" spans="2:17" s="17" customFormat="1" ht="18.75" x14ac:dyDescent="0.25">
      <c r="B240" s="4">
        <v>241</v>
      </c>
      <c r="C240" s="18" t="s">
        <v>132</v>
      </c>
      <c r="D240" s="18" t="s">
        <v>2569</v>
      </c>
      <c r="E240" s="18">
        <v>24</v>
      </c>
      <c r="F240" s="19">
        <v>90</v>
      </c>
      <c r="G240" s="19">
        <v>29</v>
      </c>
      <c r="H240" s="19" t="s">
        <v>26</v>
      </c>
      <c r="I240" s="37"/>
      <c r="J240" s="20">
        <v>1</v>
      </c>
      <c r="K240" s="31"/>
      <c r="L240" s="31"/>
      <c r="M240" s="31">
        <v>1</v>
      </c>
      <c r="N240" s="35"/>
      <c r="O240" s="35"/>
      <c r="P240" s="34"/>
      <c r="Q240" s="21"/>
    </row>
    <row r="241" spans="2:17" s="17" customFormat="1" ht="18.75" x14ac:dyDescent="0.25">
      <c r="B241" s="4">
        <v>242</v>
      </c>
      <c r="C241" s="18" t="s">
        <v>602</v>
      </c>
      <c r="D241" s="18" t="s">
        <v>2570</v>
      </c>
      <c r="E241" s="18">
        <v>24</v>
      </c>
      <c r="F241" s="19">
        <v>94</v>
      </c>
      <c r="G241" s="19">
        <v>1</v>
      </c>
      <c r="H241" s="19" t="s">
        <v>26</v>
      </c>
      <c r="I241" s="37"/>
      <c r="J241" s="20">
        <v>1</v>
      </c>
      <c r="K241" s="31"/>
      <c r="L241" s="31"/>
      <c r="M241" s="31">
        <v>1</v>
      </c>
      <c r="N241" s="35"/>
      <c r="O241" s="35"/>
      <c r="P241" s="34"/>
      <c r="Q241" s="21"/>
    </row>
    <row r="242" spans="2:17" s="17" customFormat="1" ht="18.75" x14ac:dyDescent="0.25">
      <c r="B242" s="4">
        <v>243</v>
      </c>
      <c r="C242" s="18" t="s">
        <v>891</v>
      </c>
      <c r="D242" s="18" t="s">
        <v>2580</v>
      </c>
      <c r="E242" s="18">
        <v>24</v>
      </c>
      <c r="F242" s="19">
        <v>77</v>
      </c>
      <c r="G242" s="19">
        <v>1</v>
      </c>
      <c r="H242" s="19" t="s">
        <v>26</v>
      </c>
      <c r="I242" s="37"/>
      <c r="J242" s="20">
        <v>1</v>
      </c>
      <c r="K242" s="31"/>
      <c r="L242" s="31"/>
      <c r="M242" s="31">
        <v>1</v>
      </c>
      <c r="N242" s="35"/>
      <c r="O242" s="35"/>
      <c r="P242" s="34"/>
      <c r="Q242" s="21"/>
    </row>
    <row r="243" spans="2:17" s="17" customFormat="1" ht="18.75" x14ac:dyDescent="0.25">
      <c r="B243" s="4">
        <v>244</v>
      </c>
      <c r="C243" s="18" t="s">
        <v>2581</v>
      </c>
      <c r="D243" s="18" t="s">
        <v>2582</v>
      </c>
      <c r="E243" s="18">
        <v>24</v>
      </c>
      <c r="F243" s="19">
        <v>77</v>
      </c>
      <c r="G243" s="19">
        <v>16</v>
      </c>
      <c r="H243" s="19" t="s">
        <v>26</v>
      </c>
      <c r="I243" s="37"/>
      <c r="J243" s="20">
        <v>1</v>
      </c>
      <c r="K243" s="31"/>
      <c r="L243" s="31"/>
      <c r="M243" s="31">
        <v>1</v>
      </c>
      <c r="N243" s="35"/>
      <c r="O243" s="35"/>
      <c r="P243" s="34"/>
      <c r="Q243" s="21"/>
    </row>
    <row r="244" spans="2:17" s="17" customFormat="1" ht="18.75" x14ac:dyDescent="0.25">
      <c r="B244" s="4">
        <v>245</v>
      </c>
      <c r="C244" s="18" t="s">
        <v>2714</v>
      </c>
      <c r="D244" s="18" t="s">
        <v>2715</v>
      </c>
      <c r="E244" s="18">
        <v>24</v>
      </c>
      <c r="F244" s="19">
        <v>89</v>
      </c>
      <c r="G244" s="19">
        <v>1</v>
      </c>
      <c r="H244" s="19" t="s">
        <v>12</v>
      </c>
      <c r="I244" s="37">
        <v>1</v>
      </c>
      <c r="J244" s="20"/>
      <c r="K244" s="31"/>
      <c r="L244" s="31"/>
      <c r="M244" s="31"/>
      <c r="N244" s="35"/>
      <c r="O244" s="35"/>
      <c r="P244" s="34"/>
      <c r="Q244" s="21"/>
    </row>
    <row r="245" spans="2:17" s="17" customFormat="1" ht="18.75" x14ac:dyDescent="0.25">
      <c r="B245" s="4">
        <v>246</v>
      </c>
      <c r="C245" s="18" t="s">
        <v>396</v>
      </c>
      <c r="D245" s="18" t="s">
        <v>2474</v>
      </c>
      <c r="E245" s="18">
        <v>24</v>
      </c>
      <c r="F245" s="19">
        <v>113</v>
      </c>
      <c r="G245" s="19">
        <v>1</v>
      </c>
      <c r="H245" s="19" t="s">
        <v>12</v>
      </c>
      <c r="I245" s="37">
        <v>1</v>
      </c>
      <c r="J245" s="20"/>
      <c r="K245" s="31"/>
      <c r="L245" s="31"/>
      <c r="M245" s="31"/>
      <c r="N245" s="35"/>
      <c r="O245" s="35"/>
      <c r="P245" s="34">
        <v>1</v>
      </c>
      <c r="Q245" s="21"/>
    </row>
    <row r="246" spans="2:17" s="17" customFormat="1" ht="18.75" x14ac:dyDescent="0.25">
      <c r="B246" s="4">
        <v>247</v>
      </c>
      <c r="C246" s="18" t="s">
        <v>734</v>
      </c>
      <c r="D246" s="18" t="s">
        <v>2717</v>
      </c>
      <c r="E246" s="18">
        <v>24</v>
      </c>
      <c r="F246" s="19">
        <v>118</v>
      </c>
      <c r="G246" s="19">
        <v>1</v>
      </c>
      <c r="H246" s="19" t="s">
        <v>12</v>
      </c>
      <c r="I246" s="37">
        <v>1</v>
      </c>
      <c r="J246" s="20"/>
      <c r="K246" s="31"/>
      <c r="L246" s="31"/>
      <c r="M246" s="31"/>
      <c r="N246" s="35"/>
      <c r="O246" s="35"/>
      <c r="P246" s="34">
        <v>1</v>
      </c>
      <c r="Q246" s="21"/>
    </row>
    <row r="247" spans="2:17" s="17" customFormat="1" ht="18.75" x14ac:dyDescent="0.25">
      <c r="B247" s="4">
        <v>248</v>
      </c>
      <c r="C247" s="18" t="s">
        <v>131</v>
      </c>
      <c r="D247" s="18" t="s">
        <v>2718</v>
      </c>
      <c r="E247" s="18">
        <v>24</v>
      </c>
      <c r="F247" s="19">
        <v>120</v>
      </c>
      <c r="G247" s="19">
        <v>2</v>
      </c>
      <c r="H247" s="19" t="s">
        <v>12</v>
      </c>
      <c r="I247" s="37">
        <v>1</v>
      </c>
      <c r="J247" s="20"/>
      <c r="K247" s="31"/>
      <c r="L247" s="31"/>
      <c r="M247" s="31"/>
      <c r="N247" s="35"/>
      <c r="O247" s="35"/>
      <c r="P247" s="34">
        <v>1</v>
      </c>
      <c r="Q247" s="21"/>
    </row>
    <row r="248" spans="2:17" s="17" customFormat="1" ht="18.75" x14ac:dyDescent="0.25">
      <c r="B248" s="4">
        <v>249</v>
      </c>
      <c r="C248" s="18" t="s">
        <v>123</v>
      </c>
      <c r="D248" s="18" t="s">
        <v>2719</v>
      </c>
      <c r="E248" s="18">
        <v>24</v>
      </c>
      <c r="F248" s="19">
        <v>102</v>
      </c>
      <c r="G248" s="19">
        <v>2</v>
      </c>
      <c r="H248" s="19" t="s">
        <v>26</v>
      </c>
      <c r="I248" s="37"/>
      <c r="J248" s="20">
        <v>1</v>
      </c>
      <c r="K248" s="31"/>
      <c r="L248" s="31"/>
      <c r="M248" s="31"/>
      <c r="N248" s="35"/>
      <c r="O248" s="35"/>
      <c r="P248" s="34"/>
      <c r="Q248" s="21"/>
    </row>
    <row r="249" spans="2:17" s="17" customFormat="1" ht="18.75" x14ac:dyDescent="0.25">
      <c r="B249" s="4">
        <v>250</v>
      </c>
      <c r="C249" s="18" t="s">
        <v>166</v>
      </c>
      <c r="D249" s="18" t="s">
        <v>2720</v>
      </c>
      <c r="E249" s="18">
        <v>24</v>
      </c>
      <c r="F249" s="19">
        <v>82</v>
      </c>
      <c r="G249" s="19">
        <v>1</v>
      </c>
      <c r="H249" s="19" t="s">
        <v>26</v>
      </c>
      <c r="I249" s="37"/>
      <c r="J249" s="20">
        <v>1</v>
      </c>
      <c r="K249" s="31"/>
      <c r="L249" s="31"/>
      <c r="M249" s="31"/>
      <c r="N249" s="35"/>
      <c r="O249" s="35"/>
      <c r="P249" s="34"/>
      <c r="Q249" s="21"/>
    </row>
    <row r="250" spans="2:17" s="17" customFormat="1" ht="18.75" x14ac:dyDescent="0.25">
      <c r="B250" s="4">
        <v>251</v>
      </c>
      <c r="C250" s="18" t="s">
        <v>280</v>
      </c>
      <c r="D250" s="18" t="s">
        <v>2721</v>
      </c>
      <c r="E250" s="18">
        <v>24</v>
      </c>
      <c r="F250" s="19">
        <v>107</v>
      </c>
      <c r="G250" s="19">
        <v>3</v>
      </c>
      <c r="H250" s="19" t="s">
        <v>26</v>
      </c>
      <c r="I250" s="37"/>
      <c r="J250" s="20">
        <v>1</v>
      </c>
      <c r="K250" s="31"/>
      <c r="L250" s="31"/>
      <c r="M250" s="31">
        <v>1</v>
      </c>
      <c r="N250" s="35"/>
      <c r="O250" s="35"/>
      <c r="P250" s="34"/>
      <c r="Q250" s="21"/>
    </row>
    <row r="251" spans="2:17" s="17" customFormat="1" ht="18.75" x14ac:dyDescent="0.25">
      <c r="B251" s="4">
        <v>252</v>
      </c>
      <c r="C251" s="18" t="s">
        <v>1799</v>
      </c>
      <c r="D251" s="18" t="s">
        <v>2722</v>
      </c>
      <c r="E251" s="18">
        <v>24</v>
      </c>
      <c r="F251" s="19">
        <v>118</v>
      </c>
      <c r="G251" s="19">
        <v>4</v>
      </c>
      <c r="H251" s="19" t="s">
        <v>12</v>
      </c>
      <c r="I251" s="37">
        <v>1</v>
      </c>
      <c r="J251" s="20"/>
      <c r="K251" s="31"/>
      <c r="L251" s="31"/>
      <c r="M251" s="31"/>
      <c r="N251" s="35"/>
      <c r="O251" s="35"/>
      <c r="P251" s="34"/>
      <c r="Q251" s="21"/>
    </row>
    <row r="252" spans="2:17" s="17" customFormat="1" ht="18.75" x14ac:dyDescent="0.25">
      <c r="B252" s="4">
        <v>253</v>
      </c>
      <c r="C252" s="18" t="s">
        <v>2723</v>
      </c>
      <c r="D252" s="18" t="s">
        <v>2727</v>
      </c>
      <c r="E252" s="18">
        <v>24</v>
      </c>
      <c r="F252" s="19">
        <v>91</v>
      </c>
      <c r="G252" s="19">
        <v>4</v>
      </c>
      <c r="H252" s="19" t="s">
        <v>12</v>
      </c>
      <c r="I252" s="37">
        <v>1</v>
      </c>
      <c r="J252" s="20"/>
      <c r="K252" s="31"/>
      <c r="L252" s="31"/>
      <c r="M252" s="31"/>
      <c r="N252" s="35"/>
      <c r="O252" s="35"/>
      <c r="P252" s="34"/>
      <c r="Q252" s="21"/>
    </row>
    <row r="253" spans="2:17" s="17" customFormat="1" ht="18.75" x14ac:dyDescent="0.25">
      <c r="B253" s="4">
        <v>254</v>
      </c>
      <c r="C253" s="18" t="s">
        <v>2724</v>
      </c>
      <c r="D253" s="18" t="s">
        <v>2725</v>
      </c>
      <c r="E253" s="18">
        <v>24</v>
      </c>
      <c r="F253" s="19">
        <v>85</v>
      </c>
      <c r="G253" s="19">
        <v>5</v>
      </c>
      <c r="H253" s="19" t="s">
        <v>12</v>
      </c>
      <c r="I253" s="37">
        <v>1</v>
      </c>
      <c r="J253" s="20"/>
      <c r="K253" s="31"/>
      <c r="L253" s="31"/>
      <c r="M253" s="31"/>
      <c r="N253" s="35"/>
      <c r="O253" s="35"/>
      <c r="P253" s="34"/>
      <c r="Q253" s="21"/>
    </row>
    <row r="254" spans="2:17" s="17" customFormat="1" ht="18.75" x14ac:dyDescent="0.25">
      <c r="B254" s="4">
        <v>255</v>
      </c>
      <c r="C254" s="18" t="s">
        <v>577</v>
      </c>
      <c r="D254" s="18" t="s">
        <v>180</v>
      </c>
      <c r="E254" s="18">
        <v>24</v>
      </c>
      <c r="F254" s="19">
        <v>108</v>
      </c>
      <c r="G254" s="19">
        <v>5</v>
      </c>
      <c r="H254" s="19" t="s">
        <v>12</v>
      </c>
      <c r="I254" s="37">
        <v>1</v>
      </c>
      <c r="J254" s="20"/>
      <c r="K254" s="31"/>
      <c r="L254" s="31"/>
      <c r="M254" s="31"/>
      <c r="N254" s="35"/>
      <c r="O254" s="35"/>
      <c r="P254" s="34"/>
      <c r="Q254" s="21"/>
    </row>
    <row r="255" spans="2:17" s="17" customFormat="1" ht="18.75" x14ac:dyDescent="0.25">
      <c r="B255" s="4">
        <v>256</v>
      </c>
      <c r="C255" s="18" t="s">
        <v>396</v>
      </c>
      <c r="D255" s="18" t="s">
        <v>2726</v>
      </c>
      <c r="E255" s="18">
        <v>24</v>
      </c>
      <c r="F255" s="19">
        <v>110</v>
      </c>
      <c r="G255" s="19">
        <v>5</v>
      </c>
      <c r="H255" s="19" t="s">
        <v>12</v>
      </c>
      <c r="I255" s="37">
        <v>1</v>
      </c>
      <c r="J255" s="20"/>
      <c r="K255" s="31"/>
      <c r="L255" s="31"/>
      <c r="M255" s="31"/>
      <c r="N255" s="35"/>
      <c r="O255" s="35"/>
      <c r="P255" s="34"/>
      <c r="Q255" s="21"/>
    </row>
    <row r="256" spans="2:17" s="17" customFormat="1" ht="18.75" x14ac:dyDescent="0.25">
      <c r="B256" s="4">
        <v>257</v>
      </c>
      <c r="C256" s="18" t="s">
        <v>1088</v>
      </c>
      <c r="D256" s="18" t="s">
        <v>2728</v>
      </c>
      <c r="E256" s="18">
        <v>24</v>
      </c>
      <c r="F256" s="19">
        <v>115</v>
      </c>
      <c r="G256" s="19">
        <v>5</v>
      </c>
      <c r="H256" s="19" t="s">
        <v>12</v>
      </c>
      <c r="I256" s="37">
        <v>1</v>
      </c>
      <c r="J256" s="20"/>
      <c r="K256" s="31"/>
      <c r="L256" s="31"/>
      <c r="M256" s="31"/>
      <c r="N256" s="35"/>
      <c r="O256" s="35"/>
      <c r="P256" s="34"/>
      <c r="Q256" s="21"/>
    </row>
    <row r="257" spans="1:17" s="17" customFormat="1" ht="18.75" x14ac:dyDescent="0.25">
      <c r="B257" s="4">
        <v>258</v>
      </c>
      <c r="C257" s="18" t="s">
        <v>1150</v>
      </c>
      <c r="D257" s="18" t="s">
        <v>2603</v>
      </c>
      <c r="E257" s="18">
        <v>24</v>
      </c>
      <c r="F257" s="19">
        <v>116</v>
      </c>
      <c r="G257" s="19">
        <v>5</v>
      </c>
      <c r="H257" s="19" t="s">
        <v>12</v>
      </c>
      <c r="I257" s="37">
        <v>1</v>
      </c>
      <c r="J257" s="20"/>
      <c r="K257" s="31"/>
      <c r="L257" s="31"/>
      <c r="M257" s="31"/>
      <c r="N257" s="35"/>
      <c r="O257" s="35"/>
      <c r="P257" s="34"/>
      <c r="Q257" s="21"/>
    </row>
    <row r="258" spans="1:17" s="17" customFormat="1" ht="18.75" x14ac:dyDescent="0.25">
      <c r="B258" s="4">
        <v>259</v>
      </c>
      <c r="C258" s="18" t="s">
        <v>1369</v>
      </c>
      <c r="D258" s="18" t="s">
        <v>2729</v>
      </c>
      <c r="E258" s="18">
        <v>24</v>
      </c>
      <c r="F258" s="19">
        <v>120</v>
      </c>
      <c r="G258" s="19">
        <v>5</v>
      </c>
      <c r="H258" s="19" t="s">
        <v>26</v>
      </c>
      <c r="I258" s="37"/>
      <c r="J258" s="20">
        <v>1</v>
      </c>
      <c r="K258" s="31"/>
      <c r="L258" s="31"/>
      <c r="M258" s="31"/>
      <c r="N258" s="24"/>
      <c r="O258" s="24"/>
      <c r="P258" s="24"/>
      <c r="Q258" s="21"/>
    </row>
    <row r="259" spans="1:17" s="17" customFormat="1" ht="32.25" customHeight="1" x14ac:dyDescent="0.25">
      <c r="B259" s="4">
        <v>260</v>
      </c>
      <c r="C259" s="7" t="s">
        <v>1507</v>
      </c>
      <c r="D259" s="7" t="s">
        <v>461</v>
      </c>
      <c r="E259" s="7">
        <v>24</v>
      </c>
      <c r="F259" s="7">
        <v>125</v>
      </c>
      <c r="G259" s="7">
        <v>6</v>
      </c>
      <c r="H259" s="7" t="s">
        <v>12</v>
      </c>
      <c r="I259" s="7">
        <v>1</v>
      </c>
      <c r="J259" s="7"/>
      <c r="K259" s="31"/>
      <c r="L259" s="31"/>
      <c r="M259" s="31"/>
      <c r="N259" s="24"/>
      <c r="O259" s="24"/>
      <c r="P259" s="24"/>
      <c r="Q259" s="7"/>
    </row>
    <row r="260" spans="1:17" x14ac:dyDescent="0.25">
      <c r="A260" s="114"/>
      <c r="B260" s="4">
        <v>261</v>
      </c>
      <c r="C260" s="114" t="s">
        <v>166</v>
      </c>
      <c r="D260" s="114" t="s">
        <v>2730</v>
      </c>
      <c r="E260" s="114">
        <v>24</v>
      </c>
      <c r="F260" s="114">
        <v>120</v>
      </c>
      <c r="G260" s="114">
        <v>6</v>
      </c>
      <c r="H260" s="114" t="s">
        <v>12</v>
      </c>
      <c r="I260" s="114">
        <v>1</v>
      </c>
      <c r="J260" s="115"/>
      <c r="K260" s="120"/>
      <c r="L260" s="120"/>
      <c r="M260" s="120"/>
      <c r="N260" s="121"/>
      <c r="O260" s="121"/>
      <c r="P260" s="121"/>
      <c r="Q260" s="114"/>
    </row>
    <row r="261" spans="1:17" x14ac:dyDescent="0.25">
      <c r="A261" s="114"/>
      <c r="B261" s="4">
        <v>262</v>
      </c>
      <c r="C261" s="114" t="s">
        <v>270</v>
      </c>
      <c r="D261" s="114" t="s">
        <v>2731</v>
      </c>
      <c r="E261" s="114">
        <v>24</v>
      </c>
      <c r="F261" s="114">
        <v>96</v>
      </c>
      <c r="G261" s="114">
        <v>6</v>
      </c>
      <c r="H261" s="114" t="s">
        <v>12</v>
      </c>
      <c r="I261" s="114">
        <v>1</v>
      </c>
      <c r="J261" s="115"/>
      <c r="K261" s="120"/>
      <c r="L261" s="120"/>
      <c r="M261" s="120"/>
      <c r="N261" s="121"/>
      <c r="O261" s="121"/>
      <c r="P261" s="121"/>
      <c r="Q261" s="114"/>
    </row>
    <row r="262" spans="1:17" x14ac:dyDescent="0.25">
      <c r="A262" s="114"/>
      <c r="B262" s="4">
        <v>263</v>
      </c>
      <c r="C262" s="114" t="s">
        <v>143</v>
      </c>
      <c r="D262" s="114" t="s">
        <v>2732</v>
      </c>
      <c r="E262" s="114">
        <v>24</v>
      </c>
      <c r="F262" s="114">
        <v>90</v>
      </c>
      <c r="G262" s="114">
        <v>6</v>
      </c>
      <c r="H262" s="19" t="s">
        <v>26</v>
      </c>
      <c r="I262" s="114"/>
      <c r="J262" s="115">
        <v>1</v>
      </c>
      <c r="K262" s="120"/>
      <c r="L262" s="120"/>
      <c r="M262" s="120">
        <v>1</v>
      </c>
      <c r="N262" s="121"/>
      <c r="O262" s="121"/>
      <c r="P262" s="121"/>
      <c r="Q262" s="114"/>
    </row>
    <row r="263" spans="1:17" x14ac:dyDescent="0.25">
      <c r="A263" s="114"/>
      <c r="B263" s="4">
        <v>264</v>
      </c>
      <c r="C263" s="114" t="s">
        <v>898</v>
      </c>
      <c r="D263" s="114" t="s">
        <v>2553</v>
      </c>
      <c r="E263" s="114">
        <v>24</v>
      </c>
      <c r="F263" s="114">
        <v>88</v>
      </c>
      <c r="G263" s="114">
        <v>6</v>
      </c>
      <c r="H263" s="19" t="s">
        <v>26</v>
      </c>
      <c r="I263" s="114"/>
      <c r="J263" s="115">
        <v>1</v>
      </c>
      <c r="K263" s="120"/>
      <c r="L263" s="120"/>
      <c r="M263" s="120">
        <v>1</v>
      </c>
      <c r="N263" s="121"/>
      <c r="O263" s="121"/>
      <c r="P263" s="121"/>
      <c r="Q263" s="114"/>
    </row>
    <row r="264" spans="1:17" x14ac:dyDescent="0.25">
      <c r="A264" s="114"/>
      <c r="B264" s="4">
        <v>265</v>
      </c>
      <c r="C264" s="114" t="s">
        <v>2733</v>
      </c>
      <c r="D264" s="114" t="s">
        <v>2734</v>
      </c>
      <c r="E264" s="114">
        <v>24</v>
      </c>
      <c r="F264" s="114">
        <v>77</v>
      </c>
      <c r="G264" s="114">
        <v>5</v>
      </c>
      <c r="H264" s="19" t="s">
        <v>26</v>
      </c>
      <c r="I264" s="114"/>
      <c r="J264" s="115">
        <v>1</v>
      </c>
      <c r="K264" s="120"/>
      <c r="L264" s="120"/>
      <c r="M264" s="120"/>
      <c r="N264" s="121"/>
      <c r="O264" s="121"/>
      <c r="P264" s="121"/>
      <c r="Q264" s="114" t="s">
        <v>2735</v>
      </c>
    </row>
    <row r="265" spans="1:17" x14ac:dyDescent="0.25">
      <c r="A265" s="114"/>
      <c r="B265" s="4">
        <v>266</v>
      </c>
      <c r="C265" s="114" t="s">
        <v>145</v>
      </c>
      <c r="D265" s="114" t="s">
        <v>2736</v>
      </c>
      <c r="E265" s="114">
        <v>24</v>
      </c>
      <c r="F265" s="114">
        <v>77</v>
      </c>
      <c r="G265" s="114">
        <v>6</v>
      </c>
      <c r="H265" s="19" t="s">
        <v>26</v>
      </c>
      <c r="I265" s="114"/>
      <c r="J265" s="115">
        <v>1</v>
      </c>
      <c r="K265" s="120"/>
      <c r="L265" s="120"/>
      <c r="M265" s="120"/>
      <c r="N265" s="121"/>
      <c r="O265" s="121"/>
      <c r="P265" s="121"/>
      <c r="Q265" s="114"/>
    </row>
    <row r="266" spans="1:17" x14ac:dyDescent="0.25">
      <c r="A266" s="114"/>
      <c r="B266" s="4">
        <v>267</v>
      </c>
      <c r="C266" s="114" t="s">
        <v>2265</v>
      </c>
      <c r="D266" s="114" t="s">
        <v>1305</v>
      </c>
      <c r="E266" s="114">
        <v>24</v>
      </c>
      <c r="F266" s="114">
        <v>102</v>
      </c>
      <c r="G266" s="114">
        <v>7</v>
      </c>
      <c r="H266" s="114" t="s">
        <v>12</v>
      </c>
      <c r="I266" s="114">
        <v>1</v>
      </c>
      <c r="J266" s="115"/>
      <c r="K266" s="120"/>
      <c r="L266" s="120"/>
      <c r="M266" s="120"/>
      <c r="N266" s="121"/>
      <c r="O266" s="121"/>
      <c r="P266" s="121"/>
      <c r="Q266" s="114"/>
    </row>
    <row r="267" spans="1:17" x14ac:dyDescent="0.25">
      <c r="A267" s="114"/>
      <c r="B267" s="4">
        <v>268</v>
      </c>
      <c r="C267" s="114" t="s">
        <v>131</v>
      </c>
      <c r="D267" s="114" t="s">
        <v>1539</v>
      </c>
      <c r="E267" s="114">
        <v>24</v>
      </c>
      <c r="F267" s="114">
        <v>116</v>
      </c>
      <c r="G267" s="114">
        <v>7</v>
      </c>
      <c r="H267" s="114" t="s">
        <v>12</v>
      </c>
      <c r="I267" s="114">
        <v>1</v>
      </c>
      <c r="J267" s="115"/>
      <c r="K267" s="120"/>
      <c r="L267" s="120"/>
      <c r="M267" s="120"/>
      <c r="N267" s="121"/>
      <c r="O267" s="121"/>
      <c r="P267" s="121"/>
      <c r="Q267" s="114"/>
    </row>
    <row r="268" spans="1:17" x14ac:dyDescent="0.25">
      <c r="A268" s="114"/>
      <c r="B268" s="4">
        <v>269</v>
      </c>
      <c r="C268" s="114" t="s">
        <v>132</v>
      </c>
      <c r="D268" s="114" t="s">
        <v>2737</v>
      </c>
      <c r="E268" s="114">
        <v>24</v>
      </c>
      <c r="F268" s="114">
        <v>125</v>
      </c>
      <c r="G268" s="114">
        <v>7</v>
      </c>
      <c r="H268" s="19" t="s">
        <v>26</v>
      </c>
      <c r="I268" s="114"/>
      <c r="J268" s="115">
        <v>1</v>
      </c>
      <c r="K268" s="120"/>
      <c r="L268" s="120"/>
      <c r="M268" s="120"/>
      <c r="N268" s="121"/>
      <c r="O268" s="121"/>
      <c r="P268" s="121"/>
      <c r="Q268" s="114"/>
    </row>
    <row r="269" spans="1:17" x14ac:dyDescent="0.25">
      <c r="A269" s="114"/>
      <c r="B269" s="4">
        <v>270</v>
      </c>
      <c r="C269" s="114" t="s">
        <v>640</v>
      </c>
      <c r="D269" s="114" t="s">
        <v>1128</v>
      </c>
      <c r="E269" s="114">
        <v>24</v>
      </c>
      <c r="F269" s="114">
        <v>118</v>
      </c>
      <c r="G269" s="114">
        <v>8</v>
      </c>
      <c r="H269" s="114" t="s">
        <v>12</v>
      </c>
      <c r="I269" s="114">
        <v>1</v>
      </c>
      <c r="J269" s="115"/>
      <c r="K269" s="120"/>
      <c r="L269" s="120"/>
      <c r="M269" s="120"/>
      <c r="N269" s="121"/>
      <c r="O269" s="121"/>
      <c r="P269" s="121"/>
      <c r="Q269" s="114"/>
    </row>
    <row r="270" spans="1:17" x14ac:dyDescent="0.25">
      <c r="A270" s="114"/>
      <c r="B270" s="4">
        <v>271</v>
      </c>
      <c r="C270" s="114" t="s">
        <v>734</v>
      </c>
      <c r="D270" s="114" t="s">
        <v>2738</v>
      </c>
      <c r="E270" s="114">
        <v>24</v>
      </c>
      <c r="F270" s="114">
        <v>84</v>
      </c>
      <c r="G270" s="114">
        <v>8</v>
      </c>
      <c r="H270" s="114" t="s">
        <v>12</v>
      </c>
      <c r="I270" s="114">
        <v>1</v>
      </c>
      <c r="J270" s="115"/>
      <c r="K270" s="120"/>
      <c r="L270" s="120"/>
      <c r="M270" s="120"/>
      <c r="N270" s="121"/>
      <c r="O270" s="121"/>
      <c r="P270" s="121"/>
      <c r="Q270" s="114"/>
    </row>
    <row r="271" spans="1:17" x14ac:dyDescent="0.25">
      <c r="A271" s="114"/>
      <c r="B271" s="4">
        <v>272</v>
      </c>
      <c r="C271" s="114" t="s">
        <v>136</v>
      </c>
      <c r="D271" s="114" t="s">
        <v>2739</v>
      </c>
      <c r="E271" s="114">
        <v>24</v>
      </c>
      <c r="F271" s="114">
        <v>92</v>
      </c>
      <c r="G271" s="114">
        <v>9</v>
      </c>
      <c r="H271" s="114" t="s">
        <v>12</v>
      </c>
      <c r="I271" s="114">
        <v>1</v>
      </c>
      <c r="J271" s="115"/>
      <c r="K271" s="120"/>
      <c r="L271" s="120"/>
      <c r="M271" s="120"/>
      <c r="N271" s="121"/>
      <c r="O271" s="121"/>
      <c r="P271" s="121"/>
      <c r="Q271" s="114"/>
    </row>
    <row r="272" spans="1:17" x14ac:dyDescent="0.25">
      <c r="A272" s="114"/>
      <c r="B272" s="4">
        <v>273</v>
      </c>
      <c r="C272" s="114" t="s">
        <v>280</v>
      </c>
      <c r="D272" s="114" t="s">
        <v>2740</v>
      </c>
      <c r="E272" s="114">
        <v>24</v>
      </c>
      <c r="F272" s="114">
        <v>100</v>
      </c>
      <c r="G272" s="114">
        <v>9</v>
      </c>
      <c r="H272" s="114" t="s">
        <v>12</v>
      </c>
      <c r="I272" s="114">
        <v>1</v>
      </c>
      <c r="J272" s="115"/>
      <c r="K272" s="120"/>
      <c r="L272" s="120"/>
      <c r="M272" s="120"/>
      <c r="N272" s="121"/>
      <c r="O272" s="121"/>
      <c r="P272" s="121"/>
      <c r="Q272" s="114"/>
    </row>
    <row r="273" spans="1:17" x14ac:dyDescent="0.25">
      <c r="A273" s="114"/>
      <c r="B273" s="4">
        <v>274</v>
      </c>
      <c r="C273" s="114" t="s">
        <v>131</v>
      </c>
      <c r="D273" s="114" t="s">
        <v>2741</v>
      </c>
      <c r="E273" s="114">
        <v>24</v>
      </c>
      <c r="F273" s="114">
        <v>104</v>
      </c>
      <c r="G273" s="114">
        <v>9</v>
      </c>
      <c r="H273" s="114" t="s">
        <v>12</v>
      </c>
      <c r="I273" s="114">
        <v>1</v>
      </c>
      <c r="J273" s="115"/>
      <c r="K273" s="120"/>
      <c r="L273" s="120"/>
      <c r="M273" s="120"/>
      <c r="N273" s="121"/>
      <c r="O273" s="121"/>
      <c r="P273" s="121">
        <v>1</v>
      </c>
      <c r="Q273" s="114" t="s">
        <v>2742</v>
      </c>
    </row>
    <row r="274" spans="1:17" x14ac:dyDescent="0.25">
      <c r="A274" s="114"/>
      <c r="B274" s="4">
        <v>275</v>
      </c>
      <c r="C274" s="114" t="s">
        <v>2743</v>
      </c>
      <c r="D274" s="114" t="s">
        <v>2744</v>
      </c>
      <c r="E274" s="114">
        <v>24</v>
      </c>
      <c r="F274" s="114">
        <v>109</v>
      </c>
      <c r="G274" s="114">
        <v>9</v>
      </c>
      <c r="H274" s="19" t="s">
        <v>26</v>
      </c>
      <c r="I274" s="114"/>
      <c r="J274" s="115">
        <v>1</v>
      </c>
      <c r="K274" s="120"/>
      <c r="L274" s="120"/>
      <c r="M274" s="120"/>
      <c r="N274" s="121"/>
      <c r="O274" s="121"/>
      <c r="P274" s="121"/>
      <c r="Q274" s="114"/>
    </row>
    <row r="275" spans="1:17" x14ac:dyDescent="0.25">
      <c r="A275" s="114"/>
      <c r="B275" s="4">
        <v>276</v>
      </c>
      <c r="C275" s="114" t="s">
        <v>2745</v>
      </c>
      <c r="D275" s="114" t="s">
        <v>2746</v>
      </c>
      <c r="E275" s="114">
        <v>24</v>
      </c>
      <c r="F275" s="114">
        <v>121</v>
      </c>
      <c r="G275" s="114">
        <v>10</v>
      </c>
      <c r="H275" s="19" t="s">
        <v>26</v>
      </c>
      <c r="I275" s="114"/>
      <c r="J275" s="115">
        <v>1</v>
      </c>
      <c r="K275" s="120"/>
      <c r="L275" s="120"/>
      <c r="M275" s="120"/>
      <c r="N275" s="121"/>
      <c r="O275" s="121"/>
      <c r="P275" s="121"/>
      <c r="Q275" s="114"/>
    </row>
    <row r="276" spans="1:17" x14ac:dyDescent="0.25">
      <c r="A276" s="114"/>
      <c r="B276" s="4">
        <v>277</v>
      </c>
      <c r="C276" s="114" t="s">
        <v>125</v>
      </c>
      <c r="D276" s="114" t="s">
        <v>2747</v>
      </c>
      <c r="E276" s="114">
        <v>24</v>
      </c>
      <c r="F276" s="114">
        <v>106</v>
      </c>
      <c r="G276" s="114">
        <v>10</v>
      </c>
      <c r="H276" s="19" t="s">
        <v>26</v>
      </c>
      <c r="I276" s="114"/>
      <c r="J276" s="115">
        <v>1</v>
      </c>
      <c r="K276" s="120"/>
      <c r="L276" s="120"/>
      <c r="M276" s="120"/>
      <c r="N276" s="121"/>
      <c r="O276" s="121"/>
      <c r="P276" s="121"/>
      <c r="Q276" s="114"/>
    </row>
    <row r="277" spans="1:17" x14ac:dyDescent="0.25">
      <c r="A277" s="114"/>
      <c r="B277" s="4">
        <v>278</v>
      </c>
      <c r="C277" s="114" t="s">
        <v>2748</v>
      </c>
      <c r="D277" s="114" t="s">
        <v>2749</v>
      </c>
      <c r="E277" s="114">
        <v>24</v>
      </c>
      <c r="F277" s="114">
        <v>95</v>
      </c>
      <c r="G277" s="114">
        <v>10</v>
      </c>
      <c r="H277" s="19" t="s">
        <v>26</v>
      </c>
      <c r="I277" s="114"/>
      <c r="J277" s="115">
        <v>1</v>
      </c>
      <c r="K277" s="120"/>
      <c r="L277" s="120"/>
      <c r="M277" s="120"/>
      <c r="N277" s="121"/>
      <c r="O277" s="121"/>
      <c r="P277" s="121"/>
      <c r="Q277" s="114"/>
    </row>
    <row r="278" spans="1:17" x14ac:dyDescent="0.25">
      <c r="A278" s="114"/>
      <c r="B278" s="4">
        <v>279</v>
      </c>
      <c r="C278" s="114" t="s">
        <v>125</v>
      </c>
      <c r="D278" s="114" t="s">
        <v>2750</v>
      </c>
      <c r="E278" s="114">
        <v>24</v>
      </c>
      <c r="F278" s="114">
        <v>86</v>
      </c>
      <c r="G278" s="114">
        <v>10</v>
      </c>
      <c r="H278" s="114" t="s">
        <v>12</v>
      </c>
      <c r="I278" s="114">
        <v>1</v>
      </c>
      <c r="J278" s="115"/>
      <c r="K278" s="120"/>
      <c r="L278" s="120"/>
      <c r="M278" s="120"/>
      <c r="N278" s="121"/>
      <c r="O278" s="121"/>
      <c r="P278" s="121"/>
      <c r="Q278" s="114"/>
    </row>
    <row r="279" spans="1:17" x14ac:dyDescent="0.25">
      <c r="A279" s="114"/>
      <c r="B279" s="4">
        <v>280</v>
      </c>
      <c r="C279" s="114" t="s">
        <v>135</v>
      </c>
      <c r="D279" s="114" t="s">
        <v>2751</v>
      </c>
      <c r="E279" s="114">
        <v>24</v>
      </c>
      <c r="F279" s="114">
        <v>84</v>
      </c>
      <c r="G279" s="114">
        <v>10</v>
      </c>
      <c r="H279" s="114" t="s">
        <v>12</v>
      </c>
      <c r="I279" s="114">
        <v>1</v>
      </c>
      <c r="J279" s="115"/>
      <c r="K279" s="120"/>
      <c r="L279" s="120"/>
      <c r="M279" s="120"/>
      <c r="N279" s="121"/>
      <c r="O279" s="121"/>
      <c r="P279" s="121"/>
      <c r="Q279" s="114"/>
    </row>
    <row r="280" spans="1:17" x14ac:dyDescent="0.25">
      <c r="A280" s="114"/>
      <c r="B280" s="4">
        <v>281</v>
      </c>
      <c r="C280" s="114" t="s">
        <v>602</v>
      </c>
      <c r="D280" s="114" t="s">
        <v>172</v>
      </c>
      <c r="E280" s="114">
        <v>24</v>
      </c>
      <c r="F280" s="114">
        <v>77</v>
      </c>
      <c r="G280" s="114">
        <v>10</v>
      </c>
      <c r="H280" s="19" t="s">
        <v>26</v>
      </c>
      <c r="I280" s="114"/>
      <c r="J280" s="115">
        <v>1</v>
      </c>
      <c r="K280" s="120"/>
      <c r="L280" s="120"/>
      <c r="M280" s="120"/>
      <c r="N280" s="121"/>
      <c r="O280" s="121"/>
      <c r="P280" s="121"/>
      <c r="Q280" s="114"/>
    </row>
    <row r="281" spans="1:17" x14ac:dyDescent="0.25">
      <c r="A281" s="114"/>
      <c r="B281" s="4">
        <v>282</v>
      </c>
      <c r="C281" s="114" t="s">
        <v>311</v>
      </c>
      <c r="D281" s="114" t="s">
        <v>318</v>
      </c>
      <c r="E281" s="114">
        <v>24</v>
      </c>
      <c r="F281" s="114">
        <v>118</v>
      </c>
      <c r="G281" s="114">
        <v>11</v>
      </c>
      <c r="H281" s="114" t="s">
        <v>12</v>
      </c>
      <c r="I281" s="114">
        <v>1</v>
      </c>
      <c r="J281" s="115"/>
      <c r="K281" s="120"/>
      <c r="L281" s="120"/>
      <c r="M281" s="120"/>
      <c r="N281" s="121"/>
      <c r="O281" s="121"/>
      <c r="P281" s="121"/>
      <c r="Q281" s="114"/>
    </row>
    <row r="282" spans="1:17" x14ac:dyDescent="0.25">
      <c r="A282" s="114"/>
      <c r="B282" s="4">
        <v>283</v>
      </c>
      <c r="C282" s="114" t="s">
        <v>138</v>
      </c>
      <c r="D282" s="114" t="s">
        <v>2753</v>
      </c>
      <c r="E282" s="114">
        <v>24</v>
      </c>
      <c r="F282" s="114">
        <v>125</v>
      </c>
      <c r="G282" s="114">
        <v>12</v>
      </c>
      <c r="H282" s="114" t="s">
        <v>12</v>
      </c>
      <c r="I282" s="114">
        <v>1</v>
      </c>
      <c r="J282" s="115"/>
      <c r="K282" s="120"/>
      <c r="L282" s="120"/>
      <c r="M282" s="120"/>
      <c r="N282" s="121"/>
      <c r="O282" s="121"/>
      <c r="P282" s="121">
        <v>1</v>
      </c>
      <c r="Q282" s="114"/>
    </row>
    <row r="283" spans="1:17" x14ac:dyDescent="0.25">
      <c r="A283" s="114"/>
      <c r="B283" s="4">
        <v>284</v>
      </c>
      <c r="C283" s="114" t="s">
        <v>135</v>
      </c>
      <c r="D283" s="114" t="s">
        <v>2754</v>
      </c>
      <c r="E283" s="114">
        <v>24</v>
      </c>
      <c r="F283" s="114">
        <v>80</v>
      </c>
      <c r="G283" s="114">
        <v>13</v>
      </c>
      <c r="H283" s="19" t="s">
        <v>26</v>
      </c>
      <c r="I283" s="114"/>
      <c r="J283" s="115">
        <v>1</v>
      </c>
      <c r="K283" s="120"/>
      <c r="L283" s="120"/>
      <c r="M283" s="120"/>
      <c r="N283" s="121"/>
      <c r="O283" s="121"/>
      <c r="P283" s="121"/>
      <c r="Q283" s="114"/>
    </row>
    <row r="284" spans="1:17" x14ac:dyDescent="0.25">
      <c r="A284" s="114"/>
      <c r="B284" s="4">
        <v>285</v>
      </c>
      <c r="C284" s="114" t="s">
        <v>2755</v>
      </c>
      <c r="D284" s="114" t="s">
        <v>2426</v>
      </c>
      <c r="E284" s="114">
        <v>24</v>
      </c>
      <c r="F284" s="114">
        <v>81</v>
      </c>
      <c r="G284" s="114">
        <v>14</v>
      </c>
      <c r="H284" s="114" t="s">
        <v>12</v>
      </c>
      <c r="I284" s="114">
        <v>1</v>
      </c>
      <c r="J284" s="115"/>
      <c r="K284" s="120"/>
      <c r="L284" s="120"/>
      <c r="M284" s="120"/>
      <c r="N284" s="121"/>
      <c r="O284" s="121"/>
      <c r="P284" s="121"/>
      <c r="Q284" s="114"/>
    </row>
    <row r="285" spans="1:17" x14ac:dyDescent="0.25">
      <c r="A285" s="114"/>
      <c r="B285" s="4">
        <v>286</v>
      </c>
      <c r="C285" s="114" t="s">
        <v>483</v>
      </c>
      <c r="D285" s="114" t="s">
        <v>2756</v>
      </c>
      <c r="E285" s="114">
        <v>24</v>
      </c>
      <c r="F285" s="114">
        <v>80</v>
      </c>
      <c r="G285" s="114">
        <v>14</v>
      </c>
      <c r="H285" s="19" t="s">
        <v>26</v>
      </c>
      <c r="I285" s="114"/>
      <c r="J285" s="115">
        <v>1</v>
      </c>
      <c r="K285" s="120"/>
      <c r="L285" s="120"/>
      <c r="M285" s="120">
        <v>1</v>
      </c>
      <c r="N285" s="121"/>
      <c r="O285" s="121"/>
      <c r="P285" s="121"/>
      <c r="Q285" s="114"/>
    </row>
    <row r="286" spans="1:17" x14ac:dyDescent="0.25">
      <c r="A286" s="114"/>
      <c r="B286" s="4">
        <v>287</v>
      </c>
      <c r="C286" s="114" t="s">
        <v>2748</v>
      </c>
      <c r="D286" s="114" t="s">
        <v>1443</v>
      </c>
      <c r="E286" s="114">
        <v>24</v>
      </c>
      <c r="F286" s="114">
        <v>99</v>
      </c>
      <c r="G286" s="114">
        <v>13</v>
      </c>
      <c r="H286" s="114" t="s">
        <v>12</v>
      </c>
      <c r="I286" s="114">
        <v>1</v>
      </c>
      <c r="J286" s="115"/>
      <c r="K286" s="120"/>
      <c r="L286" s="120"/>
      <c r="M286" s="120"/>
      <c r="N286" s="121"/>
      <c r="O286" s="121"/>
      <c r="P286" s="121"/>
      <c r="Q286" s="114"/>
    </row>
    <row r="287" spans="1:17" x14ac:dyDescent="0.25">
      <c r="A287" s="114"/>
      <c r="B287" s="4">
        <v>288</v>
      </c>
      <c r="C287" s="114" t="s">
        <v>187</v>
      </c>
      <c r="D287" s="114" t="s">
        <v>2757</v>
      </c>
      <c r="E287" s="114">
        <v>24</v>
      </c>
      <c r="F287" s="114">
        <v>121</v>
      </c>
      <c r="G287" s="114">
        <v>14</v>
      </c>
      <c r="H287" s="114" t="s">
        <v>12</v>
      </c>
      <c r="I287" s="114">
        <v>1</v>
      </c>
      <c r="J287" s="115"/>
      <c r="K287" s="120"/>
      <c r="L287" s="120"/>
      <c r="M287" s="120"/>
      <c r="N287" s="121"/>
      <c r="O287" s="121"/>
      <c r="P287" s="121"/>
      <c r="Q287" s="114"/>
    </row>
    <row r="288" spans="1:17" x14ac:dyDescent="0.25">
      <c r="A288" s="114"/>
      <c r="B288" s="4">
        <v>289</v>
      </c>
      <c r="C288" s="114" t="s">
        <v>649</v>
      </c>
      <c r="D288" s="114" t="s">
        <v>2758</v>
      </c>
      <c r="E288" s="114">
        <v>24</v>
      </c>
      <c r="F288" s="114">
        <v>79</v>
      </c>
      <c r="G288" s="114">
        <v>16</v>
      </c>
      <c r="H288" s="114" t="s">
        <v>12</v>
      </c>
      <c r="I288" s="114">
        <v>1</v>
      </c>
      <c r="J288" s="115"/>
      <c r="K288" s="120"/>
      <c r="L288" s="120"/>
      <c r="M288" s="120"/>
      <c r="N288" s="121"/>
      <c r="O288" s="121"/>
      <c r="P288" s="121"/>
      <c r="Q288" s="114"/>
    </row>
    <row r="289" spans="1:17" x14ac:dyDescent="0.25">
      <c r="A289" s="114"/>
      <c r="B289" s="4">
        <v>290</v>
      </c>
      <c r="C289" s="114" t="s">
        <v>2069</v>
      </c>
      <c r="D289" s="114" t="s">
        <v>2486</v>
      </c>
      <c r="E289" s="114">
        <v>24</v>
      </c>
      <c r="F289" s="114">
        <v>78</v>
      </c>
      <c r="G289" s="114">
        <v>15</v>
      </c>
      <c r="H289" s="19" t="s">
        <v>26</v>
      </c>
      <c r="I289" s="114"/>
      <c r="J289" s="115">
        <v>1</v>
      </c>
      <c r="K289" s="120"/>
      <c r="L289" s="120"/>
      <c r="M289" s="120"/>
      <c r="N289" s="121"/>
      <c r="O289" s="121"/>
      <c r="P289" s="121"/>
      <c r="Q289" s="114"/>
    </row>
    <row r="290" spans="1:17" x14ac:dyDescent="0.25">
      <c r="A290" s="114"/>
      <c r="B290" s="4">
        <v>291</v>
      </c>
      <c r="C290" s="114" t="s">
        <v>734</v>
      </c>
      <c r="D290" s="114" t="s">
        <v>2759</v>
      </c>
      <c r="E290" s="114">
        <v>24</v>
      </c>
      <c r="F290" s="114">
        <v>92</v>
      </c>
      <c r="G290" s="114">
        <v>15</v>
      </c>
      <c r="H290" s="19" t="s">
        <v>26</v>
      </c>
      <c r="I290" s="114"/>
      <c r="J290" s="115">
        <v>1</v>
      </c>
      <c r="K290" s="120"/>
      <c r="L290" s="120"/>
      <c r="M290" s="120"/>
      <c r="N290" s="121"/>
      <c r="O290" s="121"/>
      <c r="P290" s="121"/>
      <c r="Q290" s="114"/>
    </row>
    <row r="291" spans="1:17" x14ac:dyDescent="0.25">
      <c r="A291" s="114"/>
      <c r="B291" s="4">
        <v>292</v>
      </c>
      <c r="C291" s="114" t="s">
        <v>138</v>
      </c>
      <c r="D291" s="114" t="s">
        <v>172</v>
      </c>
      <c r="E291" s="114">
        <v>24</v>
      </c>
      <c r="F291" s="114">
        <v>116</v>
      </c>
      <c r="G291" s="114">
        <v>15</v>
      </c>
      <c r="H291" s="19" t="s">
        <v>26</v>
      </c>
      <c r="I291" s="114"/>
      <c r="J291" s="115">
        <v>1</v>
      </c>
      <c r="K291" s="120"/>
      <c r="L291" s="120"/>
      <c r="M291" s="120">
        <v>1</v>
      </c>
      <c r="N291" s="121"/>
      <c r="O291" s="121"/>
      <c r="P291" s="121"/>
      <c r="Q291" s="114"/>
    </row>
    <row r="292" spans="1:17" x14ac:dyDescent="0.25">
      <c r="A292" s="114"/>
      <c r="B292" s="4">
        <v>293</v>
      </c>
      <c r="C292" s="114" t="s">
        <v>659</v>
      </c>
      <c r="D292" s="114" t="s">
        <v>2760</v>
      </c>
      <c r="E292" s="114">
        <v>24</v>
      </c>
      <c r="F292" s="114">
        <v>128</v>
      </c>
      <c r="G292" s="114">
        <v>16</v>
      </c>
      <c r="H292" s="114" t="s">
        <v>12</v>
      </c>
      <c r="I292" s="114">
        <v>1</v>
      </c>
      <c r="J292" s="115"/>
      <c r="K292" s="120"/>
      <c r="L292" s="120"/>
      <c r="M292" s="120"/>
      <c r="N292" s="121"/>
      <c r="O292" s="121"/>
      <c r="P292" s="121"/>
      <c r="Q292" s="114"/>
    </row>
    <row r="293" spans="1:17" x14ac:dyDescent="0.25">
      <c r="B293" s="4">
        <v>294</v>
      </c>
      <c r="C293" s="114" t="s">
        <v>311</v>
      </c>
      <c r="D293" s="114" t="s">
        <v>2761</v>
      </c>
      <c r="E293" s="114">
        <v>24</v>
      </c>
      <c r="F293" s="114">
        <v>118</v>
      </c>
      <c r="G293" s="114">
        <v>16</v>
      </c>
      <c r="H293" s="114" t="s">
        <v>12</v>
      </c>
      <c r="I293" s="114">
        <v>1</v>
      </c>
      <c r="J293" s="114"/>
      <c r="K293" s="120"/>
      <c r="L293" s="120"/>
      <c r="M293" s="120"/>
      <c r="N293" s="121"/>
      <c r="O293" s="121"/>
      <c r="P293" s="121"/>
      <c r="Q293" s="114"/>
    </row>
    <row r="294" spans="1:17" x14ac:dyDescent="0.25">
      <c r="B294" s="4">
        <v>295</v>
      </c>
      <c r="C294" s="114" t="s">
        <v>362</v>
      </c>
      <c r="D294" s="114" t="s">
        <v>2762</v>
      </c>
      <c r="E294" s="114">
        <v>24</v>
      </c>
      <c r="F294" s="114">
        <v>89</v>
      </c>
      <c r="G294" s="114">
        <v>18</v>
      </c>
      <c r="H294" s="19" t="s">
        <v>26</v>
      </c>
      <c r="I294" s="114"/>
      <c r="J294" s="114">
        <v>1</v>
      </c>
      <c r="K294" s="120"/>
      <c r="L294" s="120"/>
      <c r="M294" s="120"/>
      <c r="N294" s="121"/>
      <c r="O294" s="121"/>
      <c r="P294" s="121"/>
      <c r="Q294" s="114"/>
    </row>
    <row r="295" spans="1:17" x14ac:dyDescent="0.25">
      <c r="B295" s="4">
        <v>296</v>
      </c>
      <c r="C295" s="114" t="s">
        <v>799</v>
      </c>
      <c r="D295" s="114" t="s">
        <v>2763</v>
      </c>
      <c r="E295" s="114">
        <v>24</v>
      </c>
      <c r="F295" s="114">
        <v>77</v>
      </c>
      <c r="G295" s="114">
        <v>19</v>
      </c>
      <c r="H295" s="114" t="s">
        <v>12</v>
      </c>
      <c r="I295" s="114">
        <v>1</v>
      </c>
      <c r="J295" s="114"/>
      <c r="K295" s="120"/>
      <c r="L295" s="120"/>
      <c r="M295" s="120"/>
      <c r="N295" s="121"/>
      <c r="O295" s="121"/>
      <c r="P295" s="121"/>
      <c r="Q295" s="114"/>
    </row>
    <row r="296" spans="1:17" x14ac:dyDescent="0.25">
      <c r="B296" s="4">
        <v>297</v>
      </c>
      <c r="C296" s="114" t="s">
        <v>2764</v>
      </c>
      <c r="D296" s="114" t="s">
        <v>2765</v>
      </c>
      <c r="E296" s="114">
        <v>24</v>
      </c>
      <c r="F296" s="114">
        <v>79</v>
      </c>
      <c r="G296" s="114">
        <v>19</v>
      </c>
      <c r="H296" s="19" t="s">
        <v>26</v>
      </c>
      <c r="I296" s="114"/>
      <c r="J296" s="114">
        <v>1</v>
      </c>
      <c r="K296" s="120"/>
      <c r="L296" s="120"/>
      <c r="M296" s="120"/>
      <c r="N296" s="121"/>
      <c r="O296" s="121"/>
      <c r="P296" s="121"/>
      <c r="Q296" s="114"/>
    </row>
    <row r="297" spans="1:17" x14ac:dyDescent="0.25">
      <c r="B297" s="4">
        <v>298</v>
      </c>
      <c r="C297" s="114" t="s">
        <v>2766</v>
      </c>
      <c r="D297" s="114" t="s">
        <v>2767</v>
      </c>
      <c r="E297" s="114">
        <v>24</v>
      </c>
      <c r="F297" s="114">
        <v>82</v>
      </c>
      <c r="G297" s="114">
        <v>19</v>
      </c>
      <c r="H297" s="19" t="s">
        <v>26</v>
      </c>
      <c r="I297" s="114"/>
      <c r="J297" s="114">
        <v>1</v>
      </c>
      <c r="K297" s="120"/>
      <c r="L297" s="120"/>
      <c r="M297" s="120"/>
      <c r="N297" s="121"/>
      <c r="O297" s="121"/>
      <c r="P297" s="121"/>
      <c r="Q297" s="114"/>
    </row>
    <row r="298" spans="1:17" x14ac:dyDescent="0.25">
      <c r="B298" s="4">
        <v>299</v>
      </c>
      <c r="C298" s="114" t="s">
        <v>2768</v>
      </c>
      <c r="D298" s="114" t="s">
        <v>2769</v>
      </c>
      <c r="E298" s="114">
        <v>24</v>
      </c>
      <c r="F298" s="114">
        <v>87</v>
      </c>
      <c r="G298" s="114">
        <v>19</v>
      </c>
      <c r="H298" s="114" t="s">
        <v>12</v>
      </c>
      <c r="I298" s="114">
        <v>1</v>
      </c>
      <c r="J298" s="114"/>
      <c r="K298" s="120"/>
      <c r="L298" s="120"/>
      <c r="M298" s="120"/>
      <c r="N298" s="121"/>
      <c r="O298" s="121"/>
      <c r="P298" s="121"/>
      <c r="Q298" s="114"/>
    </row>
    <row r="299" spans="1:17" x14ac:dyDescent="0.25">
      <c r="B299" s="4">
        <v>300</v>
      </c>
      <c r="C299" s="114" t="s">
        <v>1532</v>
      </c>
      <c r="D299" s="114" t="s">
        <v>2770</v>
      </c>
      <c r="E299" s="114">
        <v>24</v>
      </c>
      <c r="F299" s="114">
        <v>89</v>
      </c>
      <c r="G299" s="114">
        <v>19</v>
      </c>
      <c r="H299" s="19" t="s">
        <v>26</v>
      </c>
      <c r="I299" s="114"/>
      <c r="J299" s="114">
        <v>1</v>
      </c>
      <c r="K299" s="120"/>
      <c r="L299" s="120"/>
      <c r="M299" s="120"/>
      <c r="N299" s="121"/>
      <c r="O299" s="121"/>
      <c r="P299" s="121"/>
      <c r="Q299" s="114"/>
    </row>
    <row r="300" spans="1:17" x14ac:dyDescent="0.25">
      <c r="B300" s="4">
        <v>301</v>
      </c>
      <c r="C300" s="114" t="s">
        <v>659</v>
      </c>
      <c r="D300" s="114" t="s">
        <v>2771</v>
      </c>
      <c r="E300" s="114">
        <v>24</v>
      </c>
      <c r="F300" s="114">
        <v>116</v>
      </c>
      <c r="G300" s="114">
        <v>16</v>
      </c>
      <c r="H300" s="114" t="s">
        <v>12</v>
      </c>
      <c r="I300" s="114">
        <v>1</v>
      </c>
      <c r="J300" s="114"/>
      <c r="K300" s="120"/>
      <c r="L300" s="120"/>
      <c r="M300" s="120"/>
      <c r="N300" s="121"/>
      <c r="O300" s="121"/>
      <c r="P300" s="121"/>
      <c r="Q300" s="114"/>
    </row>
    <row r="301" spans="1:17" x14ac:dyDescent="0.25">
      <c r="B301" s="4">
        <v>302</v>
      </c>
      <c r="C301" s="114" t="s">
        <v>125</v>
      </c>
      <c r="D301" s="114" t="s">
        <v>2772</v>
      </c>
      <c r="E301" s="114">
        <v>24</v>
      </c>
      <c r="F301" s="114">
        <v>105</v>
      </c>
      <c r="G301" s="114">
        <v>16</v>
      </c>
      <c r="H301" s="19" t="s">
        <v>26</v>
      </c>
      <c r="I301" s="114"/>
      <c r="J301" s="114">
        <v>1</v>
      </c>
      <c r="K301" s="120"/>
      <c r="L301" s="120"/>
      <c r="M301" s="120"/>
      <c r="N301" s="121"/>
      <c r="O301" s="121"/>
      <c r="P301" s="121"/>
      <c r="Q301" s="114"/>
    </row>
    <row r="302" spans="1:17" x14ac:dyDescent="0.25">
      <c r="B302" s="4">
        <v>303</v>
      </c>
      <c r="C302" s="114" t="s">
        <v>166</v>
      </c>
      <c r="D302" s="114" t="s">
        <v>2773</v>
      </c>
      <c r="E302" s="114">
        <v>24</v>
      </c>
      <c r="F302" s="114">
        <v>104</v>
      </c>
      <c r="G302" s="114">
        <v>15</v>
      </c>
      <c r="H302" s="19" t="s">
        <v>26</v>
      </c>
      <c r="I302" s="114"/>
      <c r="J302" s="114">
        <v>1</v>
      </c>
      <c r="K302" s="120"/>
      <c r="L302" s="120"/>
      <c r="M302" s="120"/>
      <c r="N302" s="121"/>
      <c r="O302" s="121"/>
      <c r="P302" s="121"/>
      <c r="Q302" s="114"/>
    </row>
    <row r="303" spans="1:17" x14ac:dyDescent="0.25">
      <c r="B303" s="4">
        <v>304</v>
      </c>
      <c r="C303" s="114" t="s">
        <v>138</v>
      </c>
      <c r="D303" s="114" t="s">
        <v>2775</v>
      </c>
      <c r="E303" s="114">
        <v>24</v>
      </c>
      <c r="F303" s="114">
        <v>79</v>
      </c>
      <c r="G303" s="114">
        <v>17</v>
      </c>
      <c r="H303" s="114" t="s">
        <v>12</v>
      </c>
      <c r="I303" s="114">
        <v>1</v>
      </c>
      <c r="J303" s="114"/>
      <c r="K303" s="120"/>
      <c r="L303" s="120"/>
      <c r="M303" s="120"/>
      <c r="N303" s="121"/>
      <c r="O303" s="121"/>
      <c r="P303" s="121"/>
      <c r="Q303" s="114"/>
    </row>
    <row r="304" spans="1:17" x14ac:dyDescent="0.25">
      <c r="B304" s="4">
        <v>305</v>
      </c>
      <c r="C304" s="114" t="s">
        <v>1338</v>
      </c>
      <c r="D304" s="114" t="s">
        <v>2776</v>
      </c>
      <c r="E304" s="114">
        <v>24</v>
      </c>
      <c r="F304" s="114">
        <v>96</v>
      </c>
      <c r="G304" s="114">
        <v>17</v>
      </c>
      <c r="H304" s="19" t="s">
        <v>26</v>
      </c>
      <c r="I304" s="114"/>
      <c r="J304" s="114">
        <v>1</v>
      </c>
      <c r="K304" s="120"/>
      <c r="L304" s="120"/>
      <c r="M304" s="120"/>
      <c r="N304" s="121"/>
      <c r="O304" s="121"/>
      <c r="P304" s="121"/>
      <c r="Q304" s="114"/>
    </row>
    <row r="305" spans="2:17" x14ac:dyDescent="0.25">
      <c r="B305" s="4">
        <v>306</v>
      </c>
      <c r="C305" s="114" t="s">
        <v>1553</v>
      </c>
      <c r="D305" s="114" t="s">
        <v>2777</v>
      </c>
      <c r="E305" s="114">
        <v>24</v>
      </c>
      <c r="F305" s="114">
        <v>123</v>
      </c>
      <c r="G305" s="114">
        <v>18</v>
      </c>
      <c r="H305" s="19" t="s">
        <v>26</v>
      </c>
      <c r="I305" s="114"/>
      <c r="J305" s="114">
        <v>1</v>
      </c>
      <c r="K305" s="120"/>
      <c r="L305" s="120"/>
      <c r="M305" s="120">
        <v>1</v>
      </c>
      <c r="N305" s="121"/>
      <c r="O305" s="121"/>
      <c r="P305" s="121"/>
      <c r="Q305" s="114"/>
    </row>
    <row r="306" spans="2:17" x14ac:dyDescent="0.25">
      <c r="B306" s="4">
        <v>307</v>
      </c>
      <c r="C306" s="114" t="s">
        <v>166</v>
      </c>
      <c r="D306" s="114" t="s">
        <v>2778</v>
      </c>
      <c r="E306" s="114">
        <v>24</v>
      </c>
      <c r="F306" s="114">
        <v>112</v>
      </c>
      <c r="G306" s="114">
        <v>18</v>
      </c>
      <c r="H306" s="114" t="s">
        <v>12</v>
      </c>
      <c r="I306" s="114">
        <v>1</v>
      </c>
      <c r="J306" s="114"/>
      <c r="K306" s="120"/>
      <c r="L306" s="120"/>
      <c r="M306" s="120"/>
      <c r="N306" s="121"/>
      <c r="O306" s="121"/>
      <c r="P306" s="121"/>
      <c r="Q306" s="114"/>
    </row>
    <row r="307" spans="2:17" x14ac:dyDescent="0.25">
      <c r="B307" s="4">
        <v>308</v>
      </c>
      <c r="C307" s="114" t="s">
        <v>697</v>
      </c>
      <c r="D307" s="114" t="s">
        <v>2779</v>
      </c>
      <c r="E307" s="114">
        <v>24</v>
      </c>
      <c r="F307" s="114">
        <v>110</v>
      </c>
      <c r="G307" s="114">
        <v>18</v>
      </c>
      <c r="H307" s="19" t="s">
        <v>26</v>
      </c>
      <c r="I307" s="114"/>
      <c r="J307" s="114">
        <v>1</v>
      </c>
      <c r="K307" s="120"/>
      <c r="L307" s="120"/>
      <c r="M307" s="120"/>
      <c r="N307" s="121"/>
      <c r="O307" s="121"/>
      <c r="P307" s="121"/>
      <c r="Q307" s="114"/>
    </row>
    <row r="308" spans="2:17" x14ac:dyDescent="0.25">
      <c r="B308" s="4">
        <v>309</v>
      </c>
      <c r="C308" s="114" t="s">
        <v>135</v>
      </c>
      <c r="D308" s="114" t="s">
        <v>2780</v>
      </c>
      <c r="E308" s="114">
        <v>24</v>
      </c>
      <c r="F308" s="114">
        <v>100</v>
      </c>
      <c r="G308" s="114">
        <v>19</v>
      </c>
      <c r="H308" s="114" t="s">
        <v>12</v>
      </c>
      <c r="I308" s="114">
        <v>1</v>
      </c>
      <c r="J308" s="114"/>
      <c r="K308" s="120"/>
      <c r="L308" s="120"/>
      <c r="M308" s="120"/>
      <c r="N308" s="121"/>
      <c r="O308" s="121"/>
      <c r="P308" s="121"/>
      <c r="Q308" s="114"/>
    </row>
    <row r="309" spans="2:17" x14ac:dyDescent="0.25">
      <c r="B309" s="4">
        <v>310</v>
      </c>
      <c r="C309" s="114" t="s">
        <v>731</v>
      </c>
      <c r="D309" s="114" t="s">
        <v>2557</v>
      </c>
      <c r="E309" s="114">
        <v>24</v>
      </c>
      <c r="F309" s="114">
        <v>103</v>
      </c>
      <c r="G309" s="114">
        <v>19</v>
      </c>
      <c r="H309" s="19" t="s">
        <v>26</v>
      </c>
      <c r="I309" s="114"/>
      <c r="J309" s="114">
        <v>1</v>
      </c>
      <c r="K309" s="120"/>
      <c r="L309" s="120"/>
      <c r="M309" s="120"/>
      <c r="N309" s="121"/>
      <c r="O309" s="121"/>
      <c r="P309" s="121"/>
      <c r="Q309" s="114"/>
    </row>
    <row r="310" spans="2:17" x14ac:dyDescent="0.25">
      <c r="B310" s="4">
        <v>311</v>
      </c>
      <c r="C310" s="114" t="s">
        <v>181</v>
      </c>
      <c r="D310" s="114" t="s">
        <v>2781</v>
      </c>
      <c r="E310" s="114">
        <v>24</v>
      </c>
      <c r="F310" s="114">
        <v>114</v>
      </c>
      <c r="G310" s="114">
        <v>19</v>
      </c>
      <c r="H310" s="19" t="s">
        <v>26</v>
      </c>
      <c r="I310" s="114"/>
      <c r="J310" s="114">
        <v>1</v>
      </c>
      <c r="K310" s="120"/>
      <c r="L310" s="120"/>
      <c r="M310" s="120"/>
      <c r="N310" s="121"/>
      <c r="O310" s="121"/>
      <c r="P310" s="121"/>
      <c r="Q310" s="114"/>
    </row>
    <row r="311" spans="2:17" x14ac:dyDescent="0.25">
      <c r="B311" s="4">
        <v>312</v>
      </c>
      <c r="C311" s="114" t="s">
        <v>799</v>
      </c>
      <c r="D311" s="114" t="s">
        <v>2782</v>
      </c>
      <c r="E311" s="114">
        <v>24</v>
      </c>
      <c r="F311" s="114">
        <v>122</v>
      </c>
      <c r="G311" s="114">
        <v>19</v>
      </c>
      <c r="H311" s="114" t="s">
        <v>12</v>
      </c>
      <c r="I311" s="114">
        <v>1</v>
      </c>
      <c r="J311" s="114"/>
      <c r="K311" s="120"/>
      <c r="L311" s="120"/>
      <c r="M311" s="120"/>
      <c r="N311" s="121"/>
      <c r="O311" s="121"/>
      <c r="P311" s="121"/>
      <c r="Q311" s="114"/>
    </row>
    <row r="312" spans="2:17" x14ac:dyDescent="0.25">
      <c r="B312" s="4">
        <v>313</v>
      </c>
      <c r="C312" s="114" t="s">
        <v>187</v>
      </c>
      <c r="D312" s="114" t="s">
        <v>2783</v>
      </c>
      <c r="E312" s="114">
        <v>24</v>
      </c>
      <c r="F312" s="114">
        <v>123</v>
      </c>
      <c r="G312" s="114">
        <v>20</v>
      </c>
      <c r="H312" s="114" t="s">
        <v>12</v>
      </c>
      <c r="I312" s="114">
        <v>1</v>
      </c>
      <c r="J312" s="114"/>
      <c r="K312" s="120"/>
      <c r="L312" s="120"/>
      <c r="M312" s="120"/>
      <c r="N312" s="121"/>
      <c r="O312" s="121"/>
      <c r="P312" s="121"/>
      <c r="Q312" s="114"/>
    </row>
    <row r="313" spans="2:17" x14ac:dyDescent="0.25">
      <c r="B313" s="4">
        <v>314</v>
      </c>
      <c r="C313" s="114" t="s">
        <v>616</v>
      </c>
      <c r="D313" s="114" t="s">
        <v>2787</v>
      </c>
      <c r="E313" s="114">
        <v>24</v>
      </c>
      <c r="F313" s="114">
        <v>122</v>
      </c>
      <c r="G313" s="114">
        <v>20</v>
      </c>
      <c r="H313" s="19" t="s">
        <v>26</v>
      </c>
      <c r="I313" s="114"/>
      <c r="J313" s="114">
        <v>1</v>
      </c>
      <c r="K313" s="120"/>
      <c r="L313" s="120"/>
      <c r="M313" s="120"/>
      <c r="N313" s="121"/>
      <c r="O313" s="121"/>
      <c r="P313" s="121"/>
      <c r="Q313" s="114"/>
    </row>
    <row r="314" spans="2:17" x14ac:dyDescent="0.25">
      <c r="B314" s="4">
        <v>315</v>
      </c>
      <c r="C314" s="114" t="s">
        <v>2784</v>
      </c>
      <c r="D314" s="114" t="s">
        <v>2785</v>
      </c>
      <c r="E314" s="114">
        <v>24</v>
      </c>
      <c r="F314" s="114">
        <v>110</v>
      </c>
      <c r="G314" s="114">
        <v>20</v>
      </c>
      <c r="H314" s="114" t="s">
        <v>12</v>
      </c>
      <c r="I314" s="114">
        <v>1</v>
      </c>
      <c r="J314" s="114"/>
      <c r="K314" s="120"/>
      <c r="L314" s="120"/>
      <c r="M314" s="120"/>
      <c r="N314" s="121"/>
      <c r="O314" s="121"/>
      <c r="P314" s="121"/>
      <c r="Q314" s="114"/>
    </row>
    <row r="315" spans="2:17" x14ac:dyDescent="0.25">
      <c r="B315" s="4">
        <v>316</v>
      </c>
      <c r="C315" s="114" t="s">
        <v>731</v>
      </c>
      <c r="D315" s="114" t="s">
        <v>2687</v>
      </c>
      <c r="E315" s="114">
        <v>24</v>
      </c>
      <c r="F315" s="114">
        <v>106</v>
      </c>
      <c r="G315" s="114">
        <v>20</v>
      </c>
      <c r="H315" s="114" t="s">
        <v>12</v>
      </c>
      <c r="I315" s="114">
        <v>1</v>
      </c>
      <c r="J315" s="114"/>
      <c r="K315" s="120"/>
      <c r="L315" s="120"/>
      <c r="M315" s="120"/>
      <c r="N315" s="121"/>
      <c r="O315" s="121"/>
      <c r="P315" s="121"/>
      <c r="Q315" s="114"/>
    </row>
    <row r="316" spans="2:17" x14ac:dyDescent="0.25">
      <c r="B316" s="4">
        <v>317</v>
      </c>
      <c r="C316" s="114" t="s">
        <v>125</v>
      </c>
      <c r="D316" s="114" t="s">
        <v>457</v>
      </c>
      <c r="E316" s="114">
        <v>24</v>
      </c>
      <c r="F316" s="114">
        <v>105</v>
      </c>
      <c r="G316" s="114">
        <v>20</v>
      </c>
      <c r="H316" s="114" t="s">
        <v>12</v>
      </c>
      <c r="I316" s="114">
        <v>1</v>
      </c>
      <c r="J316" s="114"/>
      <c r="K316" s="120"/>
      <c r="L316" s="120"/>
      <c r="M316" s="120"/>
      <c r="N316" s="121"/>
      <c r="O316" s="121"/>
      <c r="P316" s="121"/>
      <c r="Q316" s="114"/>
    </row>
    <row r="317" spans="2:17" x14ac:dyDescent="0.25">
      <c r="B317" s="4">
        <v>318</v>
      </c>
      <c r="C317" s="114" t="s">
        <v>131</v>
      </c>
      <c r="D317" s="114" t="s">
        <v>2786</v>
      </c>
      <c r="E317" s="114">
        <v>24</v>
      </c>
      <c r="F317" s="114">
        <v>100</v>
      </c>
      <c r="G317" s="114">
        <v>20</v>
      </c>
      <c r="H317" s="19" t="s">
        <v>26</v>
      </c>
      <c r="I317" s="114"/>
      <c r="J317" s="114">
        <v>1</v>
      </c>
      <c r="K317" s="120"/>
      <c r="L317" s="120"/>
      <c r="M317" s="120">
        <v>1</v>
      </c>
      <c r="N317" s="121"/>
      <c r="O317" s="121"/>
      <c r="P317" s="121"/>
      <c r="Q317" s="114"/>
    </row>
    <row r="318" spans="2:17" x14ac:dyDescent="0.25">
      <c r="B318" s="4">
        <v>319</v>
      </c>
      <c r="C318" s="114" t="s">
        <v>311</v>
      </c>
      <c r="D318" s="114" t="s">
        <v>2788</v>
      </c>
      <c r="E318" s="114">
        <v>24</v>
      </c>
      <c r="F318" s="114">
        <v>98</v>
      </c>
      <c r="G318" s="114">
        <v>20</v>
      </c>
      <c r="H318" s="114" t="s">
        <v>12</v>
      </c>
      <c r="I318" s="114">
        <v>1</v>
      </c>
      <c r="J318" s="114"/>
      <c r="K318" s="120"/>
      <c r="L318" s="120"/>
      <c r="M318" s="120"/>
      <c r="N318" s="121"/>
      <c r="O318" s="121"/>
      <c r="P318" s="121"/>
      <c r="Q318" s="114"/>
    </row>
    <row r="319" spans="2:17" x14ac:dyDescent="0.25">
      <c r="B319" s="4">
        <v>320</v>
      </c>
      <c r="C319" s="114" t="s">
        <v>2789</v>
      </c>
      <c r="D319" s="114" t="s">
        <v>1443</v>
      </c>
      <c r="E319" s="114">
        <v>24</v>
      </c>
      <c r="F319" s="114">
        <v>97</v>
      </c>
      <c r="G319" s="114">
        <v>20</v>
      </c>
      <c r="H319" s="114" t="s">
        <v>12</v>
      </c>
      <c r="I319" s="114">
        <v>1</v>
      </c>
      <c r="J319" s="114"/>
      <c r="K319" s="120"/>
      <c r="L319" s="120"/>
      <c r="M319" s="120"/>
      <c r="N319" s="121"/>
      <c r="O319" s="121"/>
      <c r="P319" s="121"/>
      <c r="Q319" s="114"/>
    </row>
    <row r="320" spans="2:17" x14ac:dyDescent="0.25">
      <c r="B320" s="4">
        <v>321</v>
      </c>
      <c r="C320" s="114" t="s">
        <v>712</v>
      </c>
      <c r="D320" s="114" t="s">
        <v>2790</v>
      </c>
      <c r="E320" s="114">
        <v>24</v>
      </c>
      <c r="F320" s="114">
        <v>77</v>
      </c>
      <c r="G320" s="114">
        <v>21</v>
      </c>
      <c r="H320" s="19" t="s">
        <v>26</v>
      </c>
      <c r="I320" s="114"/>
      <c r="J320" s="114">
        <v>1</v>
      </c>
      <c r="K320" s="120"/>
      <c r="L320" s="120"/>
      <c r="M320" s="120">
        <v>1</v>
      </c>
      <c r="N320" s="121"/>
      <c r="O320" s="121"/>
      <c r="P320" s="121"/>
      <c r="Q320" s="114"/>
    </row>
    <row r="321" spans="2:17" x14ac:dyDescent="0.25">
      <c r="B321" s="4">
        <v>322</v>
      </c>
      <c r="C321" s="114" t="s">
        <v>682</v>
      </c>
      <c r="D321" s="114" t="s">
        <v>119</v>
      </c>
      <c r="E321" s="114">
        <v>24</v>
      </c>
      <c r="F321" s="114">
        <v>78</v>
      </c>
      <c r="G321" s="114">
        <v>21</v>
      </c>
      <c r="H321" s="114" t="s">
        <v>12</v>
      </c>
      <c r="I321" s="114">
        <v>1</v>
      </c>
      <c r="J321" s="114"/>
      <c r="K321" s="120"/>
      <c r="L321" s="120"/>
      <c r="M321" s="120"/>
      <c r="N321" s="121"/>
      <c r="O321" s="121"/>
      <c r="P321" s="121"/>
      <c r="Q321" s="114"/>
    </row>
    <row r="322" spans="2:17" x14ac:dyDescent="0.25">
      <c r="B322" s="4">
        <v>323</v>
      </c>
      <c r="C322" s="114" t="s">
        <v>131</v>
      </c>
      <c r="D322" s="114" t="s">
        <v>2791</v>
      </c>
      <c r="E322" s="114">
        <v>24</v>
      </c>
      <c r="F322" s="114">
        <v>103</v>
      </c>
      <c r="G322" s="114">
        <v>21</v>
      </c>
      <c r="H322" s="19" t="s">
        <v>26</v>
      </c>
      <c r="I322" s="114"/>
      <c r="J322" s="114">
        <v>1</v>
      </c>
      <c r="K322" s="120"/>
      <c r="L322" s="120"/>
      <c r="M322" s="120"/>
      <c r="N322" s="121"/>
      <c r="O322" s="121"/>
      <c r="P322" s="121"/>
      <c r="Q322" s="114"/>
    </row>
    <row r="323" spans="2:17" x14ac:dyDescent="0.25">
      <c r="B323" s="4">
        <v>324</v>
      </c>
      <c r="C323" s="114" t="s">
        <v>662</v>
      </c>
      <c r="D323" s="114" t="s">
        <v>2792</v>
      </c>
      <c r="E323" s="114">
        <v>24</v>
      </c>
      <c r="F323" s="114">
        <v>110</v>
      </c>
      <c r="G323" s="114">
        <v>21</v>
      </c>
      <c r="H323" s="19" t="s">
        <v>26</v>
      </c>
      <c r="I323" s="114"/>
      <c r="J323" s="114">
        <v>1</v>
      </c>
      <c r="K323" s="120"/>
      <c r="L323" s="120"/>
      <c r="M323" s="120"/>
      <c r="N323" s="121"/>
      <c r="O323" s="121"/>
      <c r="P323" s="121"/>
      <c r="Q323" s="114"/>
    </row>
    <row r="324" spans="2:17" x14ac:dyDescent="0.25">
      <c r="B324" s="4">
        <v>325</v>
      </c>
      <c r="C324" s="114" t="s">
        <v>292</v>
      </c>
      <c r="D324" s="114" t="s">
        <v>2793</v>
      </c>
      <c r="E324" s="114">
        <v>24</v>
      </c>
      <c r="F324" s="114">
        <v>127</v>
      </c>
      <c r="G324" s="114">
        <v>21</v>
      </c>
      <c r="H324" s="19" t="s">
        <v>26</v>
      </c>
      <c r="I324" s="114"/>
      <c r="J324" s="114">
        <v>1</v>
      </c>
      <c r="K324" s="120"/>
      <c r="L324" s="120"/>
      <c r="M324" s="120">
        <v>1</v>
      </c>
      <c r="N324" s="121"/>
      <c r="O324" s="121"/>
      <c r="P324" s="121"/>
      <c r="Q324" s="114"/>
    </row>
    <row r="325" spans="2:17" x14ac:dyDescent="0.25">
      <c r="B325" s="4">
        <v>326</v>
      </c>
      <c r="C325" s="114" t="s">
        <v>143</v>
      </c>
      <c r="D325" s="114" t="s">
        <v>2794</v>
      </c>
      <c r="E325" s="114">
        <v>24</v>
      </c>
      <c r="F325" s="114">
        <v>122</v>
      </c>
      <c r="G325" s="114">
        <v>22</v>
      </c>
      <c r="H325" s="114" t="s">
        <v>12</v>
      </c>
      <c r="I325" s="114">
        <v>1</v>
      </c>
      <c r="J325" s="114"/>
      <c r="K325" s="120"/>
      <c r="L325" s="120"/>
      <c r="M325" s="120"/>
      <c r="N325" s="121"/>
      <c r="O325" s="121"/>
      <c r="P325" s="121"/>
      <c r="Q325" s="114"/>
    </row>
    <row r="326" spans="2:17" x14ac:dyDescent="0.25">
      <c r="B326" s="4">
        <v>327</v>
      </c>
      <c r="C326" s="114" t="s">
        <v>659</v>
      </c>
      <c r="D326" s="114" t="s">
        <v>2795</v>
      </c>
      <c r="E326" s="114">
        <v>24</v>
      </c>
      <c r="F326" s="114">
        <v>118</v>
      </c>
      <c r="G326" s="114">
        <v>22</v>
      </c>
      <c r="H326" s="114" t="s">
        <v>12</v>
      </c>
      <c r="I326" s="114">
        <v>1</v>
      </c>
      <c r="J326" s="114"/>
      <c r="K326" s="120"/>
      <c r="L326" s="120"/>
      <c r="M326" s="120"/>
      <c r="N326" s="121"/>
      <c r="O326" s="121"/>
      <c r="P326" s="121"/>
      <c r="Q326" s="114"/>
    </row>
    <row r="327" spans="2:17" x14ac:dyDescent="0.25">
      <c r="B327" s="4">
        <v>328</v>
      </c>
      <c r="C327" s="114" t="s">
        <v>891</v>
      </c>
      <c r="D327" s="114" t="s">
        <v>2796</v>
      </c>
      <c r="E327" s="114">
        <v>24</v>
      </c>
      <c r="F327" s="114">
        <v>102</v>
      </c>
      <c r="G327" s="114">
        <v>22</v>
      </c>
      <c r="H327" s="19" t="s">
        <v>26</v>
      </c>
      <c r="I327" s="114"/>
      <c r="J327" s="114">
        <v>1</v>
      </c>
      <c r="K327" s="120"/>
      <c r="L327" s="120"/>
      <c r="M327" s="120">
        <v>1</v>
      </c>
      <c r="N327" s="121"/>
      <c r="O327" s="121"/>
      <c r="P327" s="121"/>
      <c r="Q327" s="114"/>
    </row>
    <row r="328" spans="2:17" x14ac:dyDescent="0.25">
      <c r="B328" s="4">
        <v>329</v>
      </c>
      <c r="C328" s="114" t="s">
        <v>402</v>
      </c>
      <c r="D328" s="114" t="s">
        <v>2339</v>
      </c>
      <c r="E328" s="114">
        <v>24</v>
      </c>
      <c r="F328" s="114">
        <v>99</v>
      </c>
      <c r="G328" s="114">
        <v>22</v>
      </c>
      <c r="H328" s="114" t="s">
        <v>12</v>
      </c>
      <c r="I328" s="114">
        <v>1</v>
      </c>
      <c r="J328" s="114"/>
      <c r="K328" s="120"/>
      <c r="L328" s="120"/>
      <c r="M328" s="120"/>
      <c r="N328" s="121"/>
      <c r="O328" s="121"/>
      <c r="P328" s="121"/>
      <c r="Q328" s="114"/>
    </row>
    <row r="329" spans="2:17" x14ac:dyDescent="0.25">
      <c r="B329" s="4">
        <v>330</v>
      </c>
      <c r="C329" s="114" t="s">
        <v>1088</v>
      </c>
      <c r="D329" s="114" t="s">
        <v>2797</v>
      </c>
      <c r="E329" s="114">
        <v>24</v>
      </c>
      <c r="F329" s="114">
        <v>88</v>
      </c>
      <c r="G329" s="114">
        <v>22</v>
      </c>
      <c r="H329" s="114" t="s">
        <v>12</v>
      </c>
      <c r="I329" s="114">
        <v>1</v>
      </c>
      <c r="J329" s="114"/>
      <c r="K329" s="120"/>
      <c r="L329" s="120"/>
      <c r="M329" s="120"/>
      <c r="N329" s="121"/>
      <c r="O329" s="121"/>
      <c r="P329" s="121"/>
      <c r="Q329" s="114"/>
    </row>
    <row r="330" spans="2:17" x14ac:dyDescent="0.25">
      <c r="B330" s="4">
        <v>331</v>
      </c>
      <c r="C330" s="114" t="s">
        <v>659</v>
      </c>
      <c r="D330" s="114" t="s">
        <v>639</v>
      </c>
      <c r="E330" s="114">
        <v>24</v>
      </c>
      <c r="F330" s="114">
        <v>86</v>
      </c>
      <c r="G330" s="114">
        <v>22</v>
      </c>
      <c r="H330" s="19" t="s">
        <v>26</v>
      </c>
      <c r="I330" s="114"/>
      <c r="J330" s="114">
        <v>1</v>
      </c>
      <c r="K330" s="120"/>
      <c r="L330" s="120"/>
      <c r="M330" s="120">
        <v>1</v>
      </c>
      <c r="N330" s="121"/>
      <c r="O330" s="121"/>
      <c r="P330" s="121"/>
      <c r="Q330" s="114"/>
    </row>
    <row r="331" spans="2:17" x14ac:dyDescent="0.25">
      <c r="B331" s="4">
        <v>332</v>
      </c>
      <c r="C331" s="114" t="s">
        <v>224</v>
      </c>
      <c r="D331" s="114" t="s">
        <v>2798</v>
      </c>
      <c r="E331" s="114">
        <v>24</v>
      </c>
      <c r="F331" s="114">
        <v>84</v>
      </c>
      <c r="G331" s="114">
        <v>22</v>
      </c>
      <c r="H331" s="114" t="s">
        <v>26</v>
      </c>
      <c r="I331" s="114">
        <v>0</v>
      </c>
      <c r="J331" s="114">
        <v>1</v>
      </c>
      <c r="K331" s="120"/>
      <c r="L331" s="120"/>
      <c r="M331" s="120">
        <v>1</v>
      </c>
      <c r="N331" s="121"/>
      <c r="O331" s="121"/>
      <c r="P331" s="121"/>
      <c r="Q331" s="114"/>
    </row>
    <row r="332" spans="2:17" x14ac:dyDescent="0.25">
      <c r="B332" s="4">
        <v>333</v>
      </c>
      <c r="C332" s="114" t="s">
        <v>280</v>
      </c>
      <c r="D332" s="114" t="s">
        <v>2799</v>
      </c>
      <c r="E332" s="114">
        <v>24</v>
      </c>
      <c r="F332" s="114">
        <v>82</v>
      </c>
      <c r="G332" s="114">
        <v>22</v>
      </c>
      <c r="H332" s="114" t="s">
        <v>12</v>
      </c>
      <c r="I332" s="114">
        <v>1</v>
      </c>
      <c r="J332" s="114"/>
      <c r="K332" s="120"/>
      <c r="L332" s="120"/>
      <c r="M332" s="120"/>
      <c r="N332" s="121"/>
      <c r="O332" s="121"/>
      <c r="P332" s="121"/>
      <c r="Q332" s="114"/>
    </row>
    <row r="333" spans="2:17" x14ac:dyDescent="0.25">
      <c r="B333" s="4">
        <v>334</v>
      </c>
      <c r="C333" s="114" t="s">
        <v>170</v>
      </c>
      <c r="D333" s="114" t="s">
        <v>2800</v>
      </c>
      <c r="E333" s="114">
        <v>24</v>
      </c>
      <c r="F333" s="114">
        <v>79</v>
      </c>
      <c r="G333" s="114">
        <v>22</v>
      </c>
      <c r="H333" s="19" t="s">
        <v>26</v>
      </c>
      <c r="I333" s="114"/>
      <c r="J333" s="114">
        <v>1</v>
      </c>
      <c r="K333" s="120"/>
      <c r="L333" s="120"/>
      <c r="M333" s="120">
        <v>1</v>
      </c>
      <c r="N333" s="121"/>
      <c r="O333" s="121"/>
      <c r="P333" s="121"/>
      <c r="Q333" s="114"/>
    </row>
    <row r="334" spans="2:17" x14ac:dyDescent="0.25">
      <c r="B334" s="4">
        <v>335</v>
      </c>
      <c r="C334" s="114" t="s">
        <v>138</v>
      </c>
      <c r="D334" s="114" t="s">
        <v>1443</v>
      </c>
      <c r="E334" s="114">
        <v>24</v>
      </c>
      <c r="F334" s="114">
        <v>88</v>
      </c>
      <c r="G334" s="114">
        <v>23</v>
      </c>
      <c r="H334" s="19" t="s">
        <v>26</v>
      </c>
      <c r="I334" s="114"/>
      <c r="J334" s="114">
        <v>1</v>
      </c>
      <c r="K334" s="120"/>
      <c r="L334" s="120"/>
      <c r="M334" s="120">
        <v>1</v>
      </c>
      <c r="N334" s="121"/>
      <c r="O334" s="121"/>
      <c r="P334" s="121"/>
      <c r="Q334" s="114"/>
    </row>
    <row r="335" spans="2:17" x14ac:dyDescent="0.25">
      <c r="B335" s="4">
        <v>336</v>
      </c>
      <c r="C335" s="114" t="s">
        <v>891</v>
      </c>
      <c r="D335" s="114" t="s">
        <v>2801</v>
      </c>
      <c r="E335" s="114">
        <v>24</v>
      </c>
      <c r="F335" s="114">
        <v>93</v>
      </c>
      <c r="G335" s="114">
        <v>23</v>
      </c>
      <c r="H335" s="19" t="s">
        <v>26</v>
      </c>
      <c r="I335" s="114"/>
      <c r="J335" s="114">
        <v>1</v>
      </c>
      <c r="K335" s="120"/>
      <c r="L335" s="120"/>
      <c r="M335" s="120">
        <v>1</v>
      </c>
      <c r="N335" s="121"/>
      <c r="O335" s="121"/>
      <c r="P335" s="121"/>
      <c r="Q335" s="114"/>
    </row>
    <row r="336" spans="2:17" x14ac:dyDescent="0.25">
      <c r="B336" s="4">
        <v>337</v>
      </c>
      <c r="C336" s="114" t="s">
        <v>2802</v>
      </c>
      <c r="D336" s="114" t="s">
        <v>2803</v>
      </c>
      <c r="E336" s="114">
        <v>24</v>
      </c>
      <c r="F336" s="114">
        <v>102</v>
      </c>
      <c r="G336" s="114">
        <v>23</v>
      </c>
      <c r="H336" s="114" t="s">
        <v>12</v>
      </c>
      <c r="I336" s="114">
        <v>1</v>
      </c>
      <c r="J336" s="114"/>
      <c r="K336" s="120"/>
      <c r="L336" s="120"/>
      <c r="M336" s="120"/>
      <c r="N336" s="121"/>
      <c r="O336" s="121"/>
      <c r="P336" s="121"/>
      <c r="Q336" s="114"/>
    </row>
    <row r="337" spans="2:17" x14ac:dyDescent="0.25">
      <c r="B337" s="4">
        <v>338</v>
      </c>
      <c r="C337" s="114" t="s">
        <v>234</v>
      </c>
      <c r="D337" s="114" t="s">
        <v>2804</v>
      </c>
      <c r="E337" s="114">
        <v>24</v>
      </c>
      <c r="F337" s="114">
        <v>121</v>
      </c>
      <c r="G337" s="114">
        <v>24</v>
      </c>
      <c r="H337" s="19" t="s">
        <v>26</v>
      </c>
      <c r="I337" s="114"/>
      <c r="J337" s="114">
        <v>1</v>
      </c>
      <c r="K337" s="120"/>
      <c r="L337" s="120"/>
      <c r="M337" s="120"/>
      <c r="N337" s="121"/>
      <c r="O337" s="121"/>
      <c r="P337" s="121"/>
      <c r="Q337" s="114"/>
    </row>
    <row r="338" spans="2:17" x14ac:dyDescent="0.25">
      <c r="B338" s="4">
        <v>339</v>
      </c>
      <c r="C338" s="114" t="s">
        <v>599</v>
      </c>
      <c r="D338" s="114" t="s">
        <v>801</v>
      </c>
      <c r="E338" s="114">
        <v>24</v>
      </c>
      <c r="F338" s="114">
        <v>117</v>
      </c>
      <c r="G338" s="114">
        <v>24</v>
      </c>
      <c r="H338" s="19" t="s">
        <v>26</v>
      </c>
      <c r="I338" s="114"/>
      <c r="J338" s="114">
        <v>1</v>
      </c>
      <c r="K338" s="120"/>
      <c r="L338" s="120"/>
      <c r="M338" s="120"/>
      <c r="N338" s="121"/>
      <c r="O338" s="121"/>
      <c r="P338" s="121"/>
      <c r="Q338" s="114" t="s">
        <v>2805</v>
      </c>
    </row>
    <row r="339" spans="2:17" x14ac:dyDescent="0.25">
      <c r="B339" s="4">
        <v>340</v>
      </c>
      <c r="C339" s="114" t="s">
        <v>143</v>
      </c>
      <c r="D339" s="114" t="s">
        <v>672</v>
      </c>
      <c r="E339" s="114">
        <v>24</v>
      </c>
      <c r="F339" s="114">
        <v>103</v>
      </c>
      <c r="G339" s="114">
        <v>24</v>
      </c>
      <c r="H339" s="114" t="s">
        <v>12</v>
      </c>
      <c r="I339" s="114">
        <v>1</v>
      </c>
      <c r="J339" s="114"/>
      <c r="K339" s="120"/>
      <c r="L339" s="120"/>
      <c r="M339" s="120"/>
      <c r="N339" s="121"/>
      <c r="O339" s="121"/>
      <c r="P339" s="121">
        <v>1</v>
      </c>
      <c r="Q339" s="114"/>
    </row>
    <row r="340" spans="2:17" x14ac:dyDescent="0.25">
      <c r="B340" s="4">
        <v>341</v>
      </c>
      <c r="C340" s="114" t="s">
        <v>619</v>
      </c>
      <c r="D340" s="114" t="s">
        <v>2806</v>
      </c>
      <c r="E340" s="114">
        <v>24</v>
      </c>
      <c r="F340" s="114">
        <v>93</v>
      </c>
      <c r="G340" s="114">
        <v>24</v>
      </c>
      <c r="H340" s="19" t="s">
        <v>26</v>
      </c>
      <c r="I340" s="114"/>
      <c r="J340" s="114">
        <v>1</v>
      </c>
      <c r="K340" s="120"/>
      <c r="L340" s="120"/>
      <c r="M340" s="120"/>
      <c r="N340" s="121"/>
      <c r="O340" s="121"/>
      <c r="P340" s="121"/>
      <c r="Q340" s="114"/>
    </row>
    <row r="341" spans="2:17" x14ac:dyDescent="0.25">
      <c r="B341" s="4">
        <v>342</v>
      </c>
      <c r="C341" s="114" t="s">
        <v>270</v>
      </c>
      <c r="D341" s="114" t="s">
        <v>2807</v>
      </c>
      <c r="E341" s="114">
        <v>24</v>
      </c>
      <c r="F341" s="114">
        <v>104</v>
      </c>
      <c r="G341" s="114">
        <v>10</v>
      </c>
      <c r="H341" s="114" t="s">
        <v>12</v>
      </c>
      <c r="I341" s="114">
        <v>1</v>
      </c>
      <c r="J341" s="114"/>
      <c r="K341" s="120"/>
      <c r="L341" s="120"/>
      <c r="M341" s="120"/>
      <c r="N341" s="121"/>
      <c r="O341" s="121"/>
      <c r="P341" s="121"/>
      <c r="Q341" s="114"/>
    </row>
    <row r="342" spans="2:17" x14ac:dyDescent="0.25">
      <c r="B342" s="4">
        <v>343</v>
      </c>
      <c r="C342" s="114" t="s">
        <v>166</v>
      </c>
      <c r="D342" s="114" t="s">
        <v>2334</v>
      </c>
      <c r="E342" s="114">
        <v>24</v>
      </c>
      <c r="F342" s="114">
        <v>101</v>
      </c>
      <c r="G342" s="114">
        <v>17</v>
      </c>
      <c r="H342" s="114" t="s">
        <v>12</v>
      </c>
      <c r="I342" s="114">
        <v>1</v>
      </c>
      <c r="J342" s="114"/>
      <c r="K342" s="120"/>
      <c r="L342" s="120"/>
      <c r="M342" s="120"/>
      <c r="N342" s="121"/>
      <c r="O342" s="121"/>
      <c r="P342" s="121"/>
      <c r="Q342" s="114"/>
    </row>
    <row r="343" spans="2:17" x14ac:dyDescent="0.25">
      <c r="B343" s="4">
        <v>344</v>
      </c>
      <c r="C343" s="114" t="s">
        <v>2808</v>
      </c>
      <c r="D343" s="114" t="s">
        <v>2629</v>
      </c>
      <c r="E343" s="114">
        <v>24</v>
      </c>
      <c r="F343" s="114">
        <v>101</v>
      </c>
      <c r="G343" s="114">
        <v>21</v>
      </c>
      <c r="H343" s="114" t="s">
        <v>12</v>
      </c>
      <c r="I343" s="114">
        <v>1</v>
      </c>
      <c r="J343" s="114"/>
      <c r="K343" s="120"/>
      <c r="L343" s="120"/>
      <c r="M343" s="120"/>
      <c r="N343" s="121"/>
      <c r="O343" s="121"/>
      <c r="P343" s="121"/>
      <c r="Q343" s="114"/>
    </row>
    <row r="344" spans="2:17" x14ac:dyDescent="0.25">
      <c r="B344" s="4">
        <v>345</v>
      </c>
      <c r="C344" s="114" t="s">
        <v>2809</v>
      </c>
      <c r="D344" s="114" t="s">
        <v>2389</v>
      </c>
      <c r="E344" s="114">
        <v>24</v>
      </c>
      <c r="F344" s="114">
        <v>10</v>
      </c>
      <c r="G344" s="114">
        <v>4</v>
      </c>
      <c r="H344" s="114" t="s">
        <v>12</v>
      </c>
      <c r="I344" s="114">
        <v>1</v>
      </c>
      <c r="J344" s="114"/>
      <c r="K344" s="120"/>
      <c r="L344" s="120"/>
      <c r="M344" s="120"/>
      <c r="N344" s="121"/>
      <c r="O344" s="121"/>
      <c r="P344" s="121"/>
      <c r="Q344" s="114"/>
    </row>
    <row r="345" spans="2:17" x14ac:dyDescent="0.25">
      <c r="B345" s="4">
        <v>346</v>
      </c>
      <c r="C345" s="114" t="s">
        <v>2809</v>
      </c>
      <c r="D345" s="114" t="s">
        <v>2389</v>
      </c>
      <c r="E345" s="114">
        <v>24</v>
      </c>
      <c r="F345" s="114">
        <v>11</v>
      </c>
      <c r="G345" s="114">
        <v>4</v>
      </c>
      <c r="H345" s="114" t="s">
        <v>12</v>
      </c>
      <c r="I345" s="114">
        <v>1</v>
      </c>
      <c r="J345" s="114"/>
      <c r="K345" s="120"/>
      <c r="L345" s="120"/>
      <c r="M345" s="120"/>
      <c r="N345" s="121"/>
      <c r="O345" s="121"/>
      <c r="P345" s="121"/>
      <c r="Q345" s="114"/>
    </row>
    <row r="346" spans="2:17" x14ac:dyDescent="0.25">
      <c r="B346" s="4">
        <v>347</v>
      </c>
      <c r="C346" s="114" t="s">
        <v>1414</v>
      </c>
      <c r="D346" s="114" t="s">
        <v>2811</v>
      </c>
      <c r="E346" s="114">
        <v>24</v>
      </c>
      <c r="F346" s="114">
        <v>73</v>
      </c>
      <c r="G346" s="114">
        <v>5</v>
      </c>
      <c r="H346" s="19" t="s">
        <v>26</v>
      </c>
      <c r="I346" s="114"/>
      <c r="J346" s="114">
        <v>1</v>
      </c>
      <c r="K346" s="120"/>
      <c r="L346" s="120"/>
      <c r="M346" s="120"/>
      <c r="N346" s="121"/>
      <c r="O346" s="121"/>
      <c r="P346" s="121"/>
      <c r="Q346" s="114"/>
    </row>
    <row r="347" spans="2:17" x14ac:dyDescent="0.25">
      <c r="B347" s="4">
        <v>348</v>
      </c>
      <c r="C347" s="114" t="s">
        <v>138</v>
      </c>
      <c r="D347" s="114" t="s">
        <v>2812</v>
      </c>
      <c r="E347" s="114">
        <v>24</v>
      </c>
      <c r="F347" s="114">
        <v>30</v>
      </c>
      <c r="G347" s="114">
        <v>6</v>
      </c>
      <c r="H347" s="19" t="s">
        <v>26</v>
      </c>
      <c r="I347" s="114"/>
      <c r="J347" s="114">
        <v>1</v>
      </c>
      <c r="K347" s="120"/>
      <c r="L347" s="120"/>
      <c r="M347" s="120"/>
      <c r="N347" s="121"/>
      <c r="O347" s="121"/>
      <c r="P347" s="121"/>
      <c r="Q347" s="114"/>
    </row>
    <row r="348" spans="2:17" x14ac:dyDescent="0.25">
      <c r="B348" s="4">
        <v>349</v>
      </c>
      <c r="C348" s="114" t="s">
        <v>1210</v>
      </c>
      <c r="D348" s="114" t="s">
        <v>67</v>
      </c>
      <c r="E348" s="114">
        <v>24</v>
      </c>
      <c r="F348" s="114">
        <v>73</v>
      </c>
      <c r="G348" s="114">
        <v>8</v>
      </c>
      <c r="H348" s="19" t="s">
        <v>26</v>
      </c>
      <c r="I348" s="114"/>
      <c r="J348" s="114">
        <v>1</v>
      </c>
      <c r="K348" s="120"/>
      <c r="L348" s="120"/>
      <c r="M348" s="120"/>
      <c r="N348" s="121"/>
      <c r="O348" s="121"/>
      <c r="P348" s="121"/>
      <c r="Q348" s="114"/>
    </row>
    <row r="349" spans="2:17" x14ac:dyDescent="0.25">
      <c r="B349" s="4">
        <v>350</v>
      </c>
      <c r="C349" s="114" t="s">
        <v>136</v>
      </c>
      <c r="D349" s="114" t="s">
        <v>2813</v>
      </c>
      <c r="E349" s="114">
        <v>24</v>
      </c>
      <c r="F349" s="114">
        <v>5</v>
      </c>
      <c r="G349" s="114">
        <v>9</v>
      </c>
      <c r="H349" s="114" t="s">
        <v>12</v>
      </c>
      <c r="I349" s="114">
        <v>1</v>
      </c>
      <c r="J349" s="114"/>
      <c r="K349" s="120"/>
      <c r="L349" s="120"/>
      <c r="M349" s="120"/>
      <c r="N349" s="121"/>
      <c r="O349" s="121"/>
      <c r="P349" s="121"/>
      <c r="Q349" s="114"/>
    </row>
    <row r="350" spans="2:17" x14ac:dyDescent="0.25">
      <c r="B350" s="4">
        <v>351</v>
      </c>
      <c r="C350" s="114" t="s">
        <v>1803</v>
      </c>
      <c r="D350" s="114" t="s">
        <v>2814</v>
      </c>
      <c r="E350" s="114">
        <v>24</v>
      </c>
      <c r="F350" s="114">
        <v>48</v>
      </c>
      <c r="G350" s="114">
        <v>10</v>
      </c>
      <c r="H350" s="114" t="s">
        <v>12</v>
      </c>
      <c r="I350" s="114">
        <v>1</v>
      </c>
      <c r="J350" s="114"/>
      <c r="K350" s="120"/>
      <c r="L350" s="120"/>
      <c r="M350" s="120"/>
      <c r="N350" s="121"/>
      <c r="O350" s="121"/>
      <c r="P350" s="121">
        <v>1</v>
      </c>
      <c r="Q350" s="114"/>
    </row>
    <row r="351" spans="2:17" x14ac:dyDescent="0.25">
      <c r="B351" s="4">
        <v>352</v>
      </c>
      <c r="C351" s="114" t="s">
        <v>662</v>
      </c>
      <c r="D351" s="114" t="s">
        <v>67</v>
      </c>
      <c r="E351" s="114">
        <v>24</v>
      </c>
      <c r="F351" s="114">
        <v>56</v>
      </c>
      <c r="G351" s="114">
        <v>11</v>
      </c>
      <c r="H351" s="114" t="s">
        <v>12</v>
      </c>
      <c r="I351" s="114">
        <v>1</v>
      </c>
      <c r="J351" s="114"/>
      <c r="K351" s="120"/>
      <c r="L351" s="120"/>
      <c r="M351" s="120"/>
      <c r="N351" s="121"/>
      <c r="O351" s="121"/>
      <c r="P351" s="121">
        <v>1</v>
      </c>
      <c r="Q351" s="114"/>
    </row>
    <row r="352" spans="2:17" x14ac:dyDescent="0.25">
      <c r="B352" s="4">
        <v>353</v>
      </c>
      <c r="C352" s="114" t="s">
        <v>137</v>
      </c>
      <c r="D352" s="114" t="s">
        <v>2815</v>
      </c>
      <c r="E352" s="114">
        <v>24</v>
      </c>
      <c r="F352" s="114">
        <v>55</v>
      </c>
      <c r="G352" s="114">
        <v>11</v>
      </c>
      <c r="H352" s="19" t="s">
        <v>26</v>
      </c>
      <c r="I352" s="114"/>
      <c r="J352" s="114">
        <v>1</v>
      </c>
      <c r="K352" s="120"/>
      <c r="L352" s="120"/>
      <c r="M352" s="120"/>
      <c r="N352" s="121"/>
      <c r="O352" s="121"/>
      <c r="P352" s="121"/>
      <c r="Q352" s="114"/>
    </row>
    <row r="353" spans="2:17" x14ac:dyDescent="0.25">
      <c r="B353" s="4">
        <v>354</v>
      </c>
      <c r="C353" s="114" t="s">
        <v>136</v>
      </c>
      <c r="D353" s="114" t="s">
        <v>2753</v>
      </c>
      <c r="E353" s="114">
        <v>24</v>
      </c>
      <c r="F353" s="114">
        <v>16</v>
      </c>
      <c r="G353" s="114">
        <v>10</v>
      </c>
      <c r="H353" s="114" t="s">
        <v>12</v>
      </c>
      <c r="I353" s="114">
        <v>1</v>
      </c>
      <c r="J353" s="114"/>
      <c r="K353" s="120"/>
      <c r="L353" s="120"/>
      <c r="M353" s="120"/>
      <c r="N353" s="121"/>
      <c r="O353" s="121"/>
      <c r="P353" s="121"/>
      <c r="Q353" s="114"/>
    </row>
    <row r="354" spans="2:17" x14ac:dyDescent="0.25">
      <c r="B354" s="4">
        <v>355</v>
      </c>
      <c r="C354" s="114" t="s">
        <v>166</v>
      </c>
      <c r="D354" s="114" t="s">
        <v>2816</v>
      </c>
      <c r="E354" s="114">
        <v>24</v>
      </c>
      <c r="F354" s="114">
        <v>12</v>
      </c>
      <c r="G354" s="114">
        <v>13</v>
      </c>
      <c r="H354" s="19" t="s">
        <v>26</v>
      </c>
      <c r="I354" s="114"/>
      <c r="J354" s="114">
        <v>1</v>
      </c>
      <c r="K354" s="120"/>
      <c r="L354" s="120"/>
      <c r="M354" s="120"/>
      <c r="N354" s="121"/>
      <c r="O354" s="121"/>
      <c r="P354" s="121"/>
      <c r="Q354" s="114"/>
    </row>
    <row r="355" spans="2:17" x14ac:dyDescent="0.25">
      <c r="B355" s="4">
        <v>356</v>
      </c>
      <c r="C355" s="114" t="s">
        <v>171</v>
      </c>
      <c r="D355" s="114" t="s">
        <v>2817</v>
      </c>
      <c r="E355" s="114">
        <v>24</v>
      </c>
      <c r="F355" s="114">
        <v>51</v>
      </c>
      <c r="G355" s="114">
        <v>15</v>
      </c>
      <c r="H355" s="19" t="s">
        <v>26</v>
      </c>
      <c r="I355" s="114"/>
      <c r="J355" s="114">
        <v>1</v>
      </c>
      <c r="K355" s="120"/>
      <c r="L355" s="120"/>
      <c r="M355" s="120">
        <v>1</v>
      </c>
      <c r="N355" s="121"/>
      <c r="O355" s="121"/>
      <c r="P355" s="121"/>
      <c r="Q355" s="114"/>
    </row>
    <row r="356" spans="2:17" x14ac:dyDescent="0.25">
      <c r="B356" s="4">
        <v>357</v>
      </c>
      <c r="C356" s="114" t="s">
        <v>2818</v>
      </c>
      <c r="D356" s="114" t="s">
        <v>2667</v>
      </c>
      <c r="E356" s="114">
        <v>24</v>
      </c>
      <c r="F356" s="114">
        <v>47</v>
      </c>
      <c r="G356" s="114">
        <v>15</v>
      </c>
      <c r="H356" s="19" t="s">
        <v>26</v>
      </c>
      <c r="I356" s="114"/>
      <c r="J356" s="114">
        <v>1</v>
      </c>
      <c r="K356" s="120"/>
      <c r="L356" s="120"/>
      <c r="M356" s="120"/>
      <c r="N356" s="121"/>
      <c r="O356" s="121"/>
      <c r="P356" s="121"/>
      <c r="Q356" s="114"/>
    </row>
    <row r="357" spans="2:17" x14ac:dyDescent="0.25">
      <c r="B357" s="4">
        <v>358</v>
      </c>
      <c r="C357" s="114" t="s">
        <v>2819</v>
      </c>
      <c r="D357" s="114" t="s">
        <v>2820</v>
      </c>
      <c r="E357" s="114">
        <v>24</v>
      </c>
      <c r="F357" s="114">
        <v>33</v>
      </c>
      <c r="G357" s="114">
        <v>16</v>
      </c>
      <c r="H357" s="19" t="s">
        <v>26</v>
      </c>
      <c r="I357" s="114"/>
      <c r="J357" s="114">
        <v>1</v>
      </c>
      <c r="K357" s="120"/>
      <c r="L357" s="120"/>
      <c r="M357" s="120"/>
      <c r="N357" s="121"/>
      <c r="O357" s="121"/>
      <c r="P357" s="121"/>
      <c r="Q357" s="114"/>
    </row>
    <row r="358" spans="2:17" x14ac:dyDescent="0.25">
      <c r="B358" s="4">
        <v>359</v>
      </c>
      <c r="C358" s="114" t="s">
        <v>622</v>
      </c>
      <c r="D358" s="114" t="s">
        <v>2777</v>
      </c>
      <c r="E358" s="114">
        <v>24</v>
      </c>
      <c r="F358" s="114">
        <v>52</v>
      </c>
      <c r="G358" s="114">
        <v>16</v>
      </c>
      <c r="H358" s="19" t="s">
        <v>26</v>
      </c>
      <c r="I358" s="114"/>
      <c r="J358" s="114">
        <v>1</v>
      </c>
      <c r="K358" s="120"/>
      <c r="L358" s="120"/>
      <c r="M358" s="120">
        <v>1</v>
      </c>
      <c r="N358" s="121"/>
      <c r="O358" s="121"/>
      <c r="P358" s="121"/>
      <c r="Q358" s="114"/>
    </row>
    <row r="359" spans="2:17" x14ac:dyDescent="0.25">
      <c r="B359" s="4">
        <v>360</v>
      </c>
      <c r="C359" s="114" t="s">
        <v>659</v>
      </c>
      <c r="D359" s="114" t="s">
        <v>1128</v>
      </c>
      <c r="E359" s="114">
        <v>24</v>
      </c>
      <c r="F359" s="114">
        <v>60</v>
      </c>
      <c r="G359" s="114">
        <v>17</v>
      </c>
      <c r="H359" s="19" t="s">
        <v>26</v>
      </c>
      <c r="I359" s="114"/>
      <c r="J359" s="114">
        <v>1</v>
      </c>
      <c r="K359" s="120"/>
      <c r="L359" s="120"/>
      <c r="M359" s="120"/>
      <c r="N359" s="121"/>
      <c r="O359" s="121"/>
      <c r="P359" s="121"/>
      <c r="Q359" s="114"/>
    </row>
    <row r="360" spans="2:17" x14ac:dyDescent="0.25">
      <c r="B360" s="4">
        <v>361</v>
      </c>
      <c r="C360" s="114" t="s">
        <v>136</v>
      </c>
      <c r="D360" s="114" t="s">
        <v>2821</v>
      </c>
      <c r="E360" s="114">
        <v>24</v>
      </c>
      <c r="F360" s="114">
        <v>41</v>
      </c>
      <c r="G360" s="114">
        <v>17</v>
      </c>
      <c r="H360" s="19" t="s">
        <v>26</v>
      </c>
      <c r="I360" s="114"/>
      <c r="J360" s="114">
        <v>1</v>
      </c>
      <c r="K360" s="120"/>
      <c r="L360" s="120"/>
      <c r="M360" s="120"/>
      <c r="N360" s="121"/>
      <c r="O360" s="121"/>
      <c r="P360" s="121"/>
      <c r="Q360" s="114"/>
    </row>
    <row r="361" spans="2:17" x14ac:dyDescent="0.25">
      <c r="B361" s="4">
        <v>362</v>
      </c>
      <c r="C361" s="114" t="s">
        <v>1044</v>
      </c>
      <c r="D361" s="114" t="s">
        <v>2822</v>
      </c>
      <c r="E361" s="114">
        <v>24</v>
      </c>
      <c r="F361" s="114">
        <v>21</v>
      </c>
      <c r="G361" s="114">
        <v>17</v>
      </c>
      <c r="H361" s="19" t="s">
        <v>26</v>
      </c>
      <c r="I361" s="114"/>
      <c r="J361" s="114">
        <v>1</v>
      </c>
      <c r="K361" s="120"/>
      <c r="L361" s="120"/>
      <c r="M361" s="120"/>
      <c r="N361" s="121"/>
      <c r="O361" s="121"/>
      <c r="P361" s="121"/>
      <c r="Q361" s="114"/>
    </row>
    <row r="362" spans="2:17" x14ac:dyDescent="0.25">
      <c r="B362" s="4">
        <v>363</v>
      </c>
      <c r="C362" s="114" t="s">
        <v>640</v>
      </c>
      <c r="D362" s="114" t="s">
        <v>2826</v>
      </c>
      <c r="E362" s="114">
        <v>24</v>
      </c>
      <c r="F362" s="114">
        <v>28</v>
      </c>
      <c r="G362" s="114">
        <v>22</v>
      </c>
      <c r="H362" s="19" t="s">
        <v>26</v>
      </c>
      <c r="I362" s="114"/>
      <c r="J362" s="114">
        <v>1</v>
      </c>
      <c r="K362" s="120"/>
      <c r="L362" s="120"/>
      <c r="M362" s="120"/>
      <c r="N362" s="121"/>
      <c r="O362" s="121"/>
      <c r="P362" s="121"/>
      <c r="Q362" s="114"/>
    </row>
    <row r="363" spans="2:17" x14ac:dyDescent="0.25">
      <c r="B363" s="4">
        <v>364</v>
      </c>
      <c r="C363" s="114" t="s">
        <v>135</v>
      </c>
      <c r="D363" s="114" t="s">
        <v>1702</v>
      </c>
      <c r="E363" s="114">
        <v>24</v>
      </c>
      <c r="F363" s="114" t="s">
        <v>2827</v>
      </c>
      <c r="G363" s="114">
        <v>22</v>
      </c>
      <c r="H363" s="114" t="s">
        <v>12</v>
      </c>
      <c r="I363" s="114">
        <v>1</v>
      </c>
      <c r="J363" s="114"/>
      <c r="K363" s="120"/>
      <c r="L363" s="120"/>
      <c r="M363" s="120"/>
      <c r="N363" s="121"/>
      <c r="O363" s="121"/>
      <c r="P363" s="121">
        <v>1</v>
      </c>
      <c r="Q363" s="114"/>
    </row>
    <row r="364" spans="2:17" x14ac:dyDescent="0.25">
      <c r="B364" s="4">
        <v>365</v>
      </c>
      <c r="C364" s="114" t="s">
        <v>2828</v>
      </c>
      <c r="D364" s="114" t="s">
        <v>299</v>
      </c>
      <c r="E364" s="114">
        <v>24</v>
      </c>
      <c r="F364" s="114">
        <v>28</v>
      </c>
      <c r="G364" s="114">
        <v>23</v>
      </c>
      <c r="H364" s="114" t="s">
        <v>12</v>
      </c>
      <c r="I364" s="114">
        <v>1</v>
      </c>
      <c r="J364" s="114"/>
      <c r="K364" s="120"/>
      <c r="L364" s="120"/>
      <c r="M364" s="120"/>
      <c r="N364" s="121"/>
      <c r="O364" s="121"/>
      <c r="P364" s="121">
        <v>1</v>
      </c>
      <c r="Q364" s="114"/>
    </row>
    <row r="365" spans="2:17" x14ac:dyDescent="0.25">
      <c r="B365" s="4">
        <v>366</v>
      </c>
      <c r="C365" s="114" t="s">
        <v>131</v>
      </c>
      <c r="D365" s="114" t="s">
        <v>2830</v>
      </c>
      <c r="E365" s="114">
        <v>24</v>
      </c>
      <c r="F365" s="114">
        <v>63</v>
      </c>
      <c r="G365" s="114">
        <v>24</v>
      </c>
      <c r="H365" s="114" t="s">
        <v>12</v>
      </c>
      <c r="I365" s="114">
        <v>1</v>
      </c>
      <c r="J365" s="114"/>
      <c r="K365" s="120"/>
      <c r="L365" s="120"/>
      <c r="M365" s="120"/>
      <c r="N365" s="121"/>
      <c r="O365" s="121"/>
      <c r="P365" s="121"/>
      <c r="Q365" s="114"/>
    </row>
    <row r="366" spans="2:17" x14ac:dyDescent="0.25">
      <c r="B366" s="4">
        <v>367</v>
      </c>
      <c r="C366" s="114" t="s">
        <v>135</v>
      </c>
      <c r="D366" s="114" t="s">
        <v>2831</v>
      </c>
      <c r="E366" s="114">
        <v>24</v>
      </c>
      <c r="F366" s="114">
        <v>20</v>
      </c>
      <c r="G366" s="114">
        <v>24</v>
      </c>
      <c r="H366" s="114" t="s">
        <v>12</v>
      </c>
      <c r="I366" s="114">
        <v>1</v>
      </c>
      <c r="J366" s="114"/>
      <c r="K366" s="120"/>
      <c r="L366" s="120"/>
      <c r="M366" s="120"/>
      <c r="N366" s="121"/>
      <c r="O366" s="121"/>
      <c r="P366" s="121">
        <v>1</v>
      </c>
      <c r="Q366" s="114"/>
    </row>
    <row r="367" spans="2:17" x14ac:dyDescent="0.25">
      <c r="B367" s="4">
        <v>368</v>
      </c>
      <c r="C367" s="114" t="s">
        <v>131</v>
      </c>
      <c r="D367" s="114" t="s">
        <v>2832</v>
      </c>
      <c r="E367" s="114">
        <v>24</v>
      </c>
      <c r="F367" s="114">
        <v>48</v>
      </c>
      <c r="G367" s="114">
        <v>2</v>
      </c>
      <c r="H367" s="114" t="s">
        <v>12</v>
      </c>
      <c r="I367" s="114">
        <v>1</v>
      </c>
      <c r="J367" s="114"/>
      <c r="K367" s="120"/>
      <c r="L367" s="120"/>
      <c r="M367" s="120"/>
      <c r="N367" s="121"/>
      <c r="O367" s="121"/>
      <c r="P367" s="121"/>
      <c r="Q367" s="114"/>
    </row>
    <row r="368" spans="2:17" x14ac:dyDescent="0.25">
      <c r="B368" s="4">
        <v>369</v>
      </c>
      <c r="C368" s="114" t="s">
        <v>960</v>
      </c>
      <c r="D368" s="114" t="s">
        <v>2833</v>
      </c>
      <c r="E368" s="114">
        <v>24</v>
      </c>
      <c r="F368" s="114">
        <v>68</v>
      </c>
      <c r="G368" s="114">
        <v>19</v>
      </c>
      <c r="H368" s="114" t="s">
        <v>12</v>
      </c>
      <c r="I368" s="114">
        <v>1</v>
      </c>
      <c r="J368" s="114"/>
      <c r="K368" s="120"/>
      <c r="L368" s="120"/>
      <c r="M368" s="120"/>
      <c r="N368" s="121"/>
      <c r="O368" s="121"/>
      <c r="P368" s="121"/>
      <c r="Q368" s="114"/>
    </row>
    <row r="369" spans="2:17" x14ac:dyDescent="0.25">
      <c r="B369" s="4">
        <v>370</v>
      </c>
      <c r="C369" s="114" t="s">
        <v>143</v>
      </c>
      <c r="D369" s="114" t="s">
        <v>1698</v>
      </c>
      <c r="E369" s="114">
        <v>24</v>
      </c>
      <c r="F369" s="114">
        <v>21</v>
      </c>
      <c r="G369" s="114">
        <v>22</v>
      </c>
      <c r="H369" s="114" t="s">
        <v>12</v>
      </c>
      <c r="I369" s="114">
        <v>1</v>
      </c>
      <c r="J369" s="114"/>
      <c r="K369" s="120"/>
      <c r="L369" s="120"/>
      <c r="M369" s="120"/>
      <c r="N369" s="121"/>
      <c r="O369" s="121"/>
      <c r="P369" s="121"/>
      <c r="Q369" s="114"/>
    </row>
    <row r="370" spans="2:17" x14ac:dyDescent="0.25">
      <c r="B370" s="4">
        <v>371</v>
      </c>
      <c r="C370" s="114" t="s">
        <v>190</v>
      </c>
      <c r="D370" s="114" t="s">
        <v>2834</v>
      </c>
      <c r="E370" s="114">
        <v>24</v>
      </c>
      <c r="F370" s="114">
        <v>5</v>
      </c>
      <c r="G370" s="114">
        <v>23</v>
      </c>
      <c r="H370" s="114" t="s">
        <v>12</v>
      </c>
      <c r="I370" s="114">
        <v>1</v>
      </c>
      <c r="J370" s="114"/>
      <c r="K370" s="120"/>
      <c r="L370" s="120"/>
      <c r="M370" s="120"/>
      <c r="N370" s="121"/>
      <c r="O370" s="121"/>
      <c r="P370" s="121"/>
      <c r="Q370" s="114"/>
    </row>
    <row r="371" spans="2:17" x14ac:dyDescent="0.25">
      <c r="B371" s="4">
        <v>372</v>
      </c>
      <c r="C371" s="114" t="s">
        <v>2835</v>
      </c>
      <c r="D371" s="114" t="s">
        <v>2836</v>
      </c>
      <c r="E371" s="114">
        <v>24</v>
      </c>
      <c r="F371" s="114">
        <v>42</v>
      </c>
      <c r="G371" s="114">
        <v>25</v>
      </c>
      <c r="H371" s="114" t="s">
        <v>12</v>
      </c>
      <c r="I371" s="114">
        <v>1</v>
      </c>
      <c r="J371" s="114"/>
      <c r="K371" s="120"/>
      <c r="L371" s="120"/>
      <c r="M371" s="120"/>
      <c r="N371" s="121"/>
      <c r="O371" s="121"/>
      <c r="P371" s="121"/>
      <c r="Q371" s="114"/>
    </row>
    <row r="372" spans="2:17" x14ac:dyDescent="0.25">
      <c r="B372" s="4">
        <v>373</v>
      </c>
      <c r="C372" s="114" t="s">
        <v>2837</v>
      </c>
      <c r="D372" s="114" t="s">
        <v>2838</v>
      </c>
      <c r="E372" s="114">
        <v>24</v>
      </c>
      <c r="F372" s="114">
        <v>89</v>
      </c>
      <c r="G372" s="114">
        <v>48</v>
      </c>
      <c r="H372" s="19" t="s">
        <v>26</v>
      </c>
      <c r="I372" s="114"/>
      <c r="J372" s="114">
        <v>1</v>
      </c>
      <c r="K372" s="120"/>
      <c r="L372" s="120"/>
      <c r="M372" s="120"/>
      <c r="N372" s="121"/>
      <c r="O372" s="121"/>
      <c r="P372" s="121"/>
      <c r="Q372" s="114"/>
    </row>
    <row r="373" spans="2:17" x14ac:dyDescent="0.25">
      <c r="B373" s="4">
        <v>374</v>
      </c>
      <c r="C373" s="114" t="s">
        <v>1803</v>
      </c>
      <c r="D373" s="114" t="s">
        <v>2839</v>
      </c>
      <c r="E373" s="114">
        <v>24</v>
      </c>
      <c r="F373" s="114">
        <v>89</v>
      </c>
      <c r="G373" s="114">
        <v>48</v>
      </c>
      <c r="H373" s="19" t="s">
        <v>26</v>
      </c>
      <c r="I373" s="114"/>
      <c r="J373" s="114">
        <v>1</v>
      </c>
      <c r="K373" s="120"/>
      <c r="L373" s="120"/>
      <c r="M373" s="120">
        <v>1</v>
      </c>
      <c r="N373" s="121"/>
      <c r="O373" s="121"/>
      <c r="P373" s="121"/>
      <c r="Q373" s="114"/>
    </row>
    <row r="374" spans="2:17" x14ac:dyDescent="0.25">
      <c r="B374" s="4">
        <v>375</v>
      </c>
      <c r="C374" s="114" t="s">
        <v>1932</v>
      </c>
      <c r="D374" s="114" t="s">
        <v>2840</v>
      </c>
      <c r="E374" s="114">
        <v>24</v>
      </c>
      <c r="F374" s="114">
        <v>99</v>
      </c>
      <c r="G374" s="114">
        <v>48</v>
      </c>
      <c r="H374" s="114" t="s">
        <v>12</v>
      </c>
      <c r="I374" s="114">
        <v>1</v>
      </c>
      <c r="J374" s="114"/>
      <c r="K374" s="120"/>
      <c r="L374" s="120"/>
      <c r="M374" s="120"/>
      <c r="N374" s="121"/>
      <c r="O374" s="121"/>
      <c r="P374" s="121"/>
      <c r="Q374" s="114"/>
    </row>
    <row r="375" spans="2:17" x14ac:dyDescent="0.25">
      <c r="B375" s="4">
        <v>376</v>
      </c>
      <c r="C375" s="114" t="s">
        <v>131</v>
      </c>
      <c r="D375" s="114" t="s">
        <v>2841</v>
      </c>
      <c r="E375" s="114">
        <v>24</v>
      </c>
      <c r="F375" s="114">
        <v>108</v>
      </c>
      <c r="G375" s="114">
        <v>48</v>
      </c>
      <c r="H375" s="114" t="s">
        <v>12</v>
      </c>
      <c r="I375" s="114">
        <v>1</v>
      </c>
      <c r="J375" s="114"/>
      <c r="K375" s="120"/>
      <c r="L375" s="120"/>
      <c r="M375" s="120"/>
      <c r="N375" s="121"/>
      <c r="O375" s="121"/>
      <c r="P375" s="121"/>
      <c r="Q375" s="114"/>
    </row>
    <row r="376" spans="2:17" x14ac:dyDescent="0.25">
      <c r="B376" s="4">
        <v>377</v>
      </c>
      <c r="C376" s="114" t="s">
        <v>123</v>
      </c>
      <c r="D376" s="114" t="s">
        <v>2842</v>
      </c>
      <c r="E376" s="114">
        <v>24</v>
      </c>
      <c r="F376" s="114">
        <v>133</v>
      </c>
      <c r="G376" s="114">
        <v>46</v>
      </c>
      <c r="H376" s="114" t="s">
        <v>12</v>
      </c>
      <c r="I376" s="114">
        <v>1</v>
      </c>
      <c r="J376" s="114"/>
      <c r="K376" s="120"/>
      <c r="L376" s="120"/>
      <c r="M376" s="120"/>
      <c r="N376" s="121"/>
      <c r="O376" s="121"/>
      <c r="P376" s="121">
        <v>1</v>
      </c>
      <c r="Q376" s="114"/>
    </row>
    <row r="377" spans="2:17" x14ac:dyDescent="0.25">
      <c r="B377" s="4">
        <v>378</v>
      </c>
      <c r="C377" s="114" t="s">
        <v>682</v>
      </c>
      <c r="D377" s="114" t="s">
        <v>2834</v>
      </c>
      <c r="E377" s="114">
        <v>24</v>
      </c>
      <c r="F377" s="114">
        <v>127</v>
      </c>
      <c r="G377" s="114">
        <v>45</v>
      </c>
      <c r="H377" s="114" t="s">
        <v>12</v>
      </c>
      <c r="I377" s="114">
        <v>1</v>
      </c>
      <c r="J377" s="114"/>
      <c r="K377" s="120"/>
      <c r="L377" s="120"/>
      <c r="M377" s="120"/>
      <c r="N377" s="121"/>
      <c r="O377" s="121"/>
      <c r="P377" s="121">
        <v>1</v>
      </c>
      <c r="Q377" s="114"/>
    </row>
    <row r="378" spans="2:17" x14ac:dyDescent="0.25">
      <c r="B378" s="4">
        <v>379</v>
      </c>
      <c r="C378" s="114" t="s">
        <v>1085</v>
      </c>
      <c r="D378" s="114" t="s">
        <v>2843</v>
      </c>
      <c r="E378" s="114">
        <v>24</v>
      </c>
      <c r="F378" s="114">
        <v>125</v>
      </c>
      <c r="G378" s="114">
        <v>45</v>
      </c>
      <c r="H378" s="114" t="s">
        <v>12</v>
      </c>
      <c r="I378" s="114">
        <v>1</v>
      </c>
      <c r="J378" s="114"/>
      <c r="K378" s="120"/>
      <c r="L378" s="120"/>
      <c r="M378" s="120"/>
      <c r="N378" s="121"/>
      <c r="O378" s="121"/>
      <c r="P378" s="121">
        <v>1</v>
      </c>
      <c r="Q378" s="114"/>
    </row>
    <row r="379" spans="2:17" x14ac:dyDescent="0.25">
      <c r="B379" s="4">
        <v>380</v>
      </c>
      <c r="C379" s="114" t="s">
        <v>125</v>
      </c>
      <c r="D379" s="114" t="s">
        <v>2844</v>
      </c>
      <c r="E379" s="114">
        <v>24</v>
      </c>
      <c r="F379" s="114">
        <v>114</v>
      </c>
      <c r="G379" s="114">
        <v>45</v>
      </c>
      <c r="H379" s="114" t="s">
        <v>12</v>
      </c>
      <c r="I379" s="114">
        <v>1</v>
      </c>
      <c r="J379" s="114"/>
      <c r="K379" s="120"/>
      <c r="L379" s="120"/>
      <c r="M379" s="120"/>
      <c r="N379" s="121"/>
      <c r="O379" s="121"/>
      <c r="P379" s="121">
        <v>1</v>
      </c>
      <c r="Q379" s="114"/>
    </row>
    <row r="380" spans="2:17" x14ac:dyDescent="0.25">
      <c r="B380" s="4">
        <v>381</v>
      </c>
      <c r="C380" s="114" t="s">
        <v>131</v>
      </c>
      <c r="D380" s="114" t="s">
        <v>2845</v>
      </c>
      <c r="E380" s="114">
        <v>24</v>
      </c>
      <c r="F380" s="114">
        <v>104</v>
      </c>
      <c r="G380" s="114">
        <v>45</v>
      </c>
      <c r="H380" s="114" t="s">
        <v>12</v>
      </c>
      <c r="I380" s="114">
        <v>1</v>
      </c>
      <c r="J380" s="114"/>
      <c r="K380" s="120"/>
      <c r="L380" s="120"/>
      <c r="M380" s="120"/>
      <c r="N380" s="121"/>
      <c r="O380" s="121"/>
      <c r="P380" s="121">
        <v>1</v>
      </c>
      <c r="Q380" s="114"/>
    </row>
    <row r="381" spans="2:17" x14ac:dyDescent="0.25">
      <c r="B381" s="4">
        <v>382</v>
      </c>
      <c r="C381" s="114" t="s">
        <v>135</v>
      </c>
      <c r="D381" s="114" t="s">
        <v>718</v>
      </c>
      <c r="E381" s="114">
        <v>24</v>
      </c>
      <c r="F381" s="114">
        <v>101</v>
      </c>
      <c r="G381" s="114">
        <v>45</v>
      </c>
      <c r="H381" s="114" t="s">
        <v>12</v>
      </c>
      <c r="I381" s="114">
        <v>1</v>
      </c>
      <c r="J381" s="114"/>
      <c r="K381" s="120"/>
      <c r="L381" s="120"/>
      <c r="M381" s="120"/>
      <c r="N381" s="121"/>
      <c r="O381" s="121"/>
      <c r="P381" s="121">
        <v>1</v>
      </c>
      <c r="Q381" s="114"/>
    </row>
    <row r="382" spans="2:17" x14ac:dyDescent="0.25">
      <c r="B382" s="4">
        <v>383</v>
      </c>
      <c r="C382" s="114" t="s">
        <v>712</v>
      </c>
      <c r="D382" s="114" t="s">
        <v>2847</v>
      </c>
      <c r="E382" s="114">
        <v>24</v>
      </c>
      <c r="F382" s="114">
        <v>81</v>
      </c>
      <c r="G382" s="114">
        <v>44</v>
      </c>
      <c r="H382" s="19" t="s">
        <v>26</v>
      </c>
      <c r="I382" s="114"/>
      <c r="J382" s="114">
        <v>1</v>
      </c>
      <c r="K382" s="120"/>
      <c r="L382" s="120"/>
      <c r="M382" s="120"/>
      <c r="N382" s="121"/>
      <c r="O382" s="121"/>
      <c r="P382" s="121"/>
      <c r="Q382" s="114"/>
    </row>
    <row r="383" spans="2:17" x14ac:dyDescent="0.25">
      <c r="B383" s="4">
        <v>384</v>
      </c>
      <c r="C383" s="114" t="s">
        <v>135</v>
      </c>
      <c r="D383" s="114" t="s">
        <v>2848</v>
      </c>
      <c r="E383" s="114">
        <v>24</v>
      </c>
      <c r="F383" s="114">
        <v>100</v>
      </c>
      <c r="G383" s="114">
        <v>44</v>
      </c>
      <c r="H383" s="19" t="s">
        <v>26</v>
      </c>
      <c r="I383" s="114"/>
      <c r="J383" s="114">
        <v>1</v>
      </c>
      <c r="K383" s="120"/>
      <c r="L383" s="120"/>
      <c r="M383" s="120"/>
      <c r="N383" s="121"/>
      <c r="O383" s="121"/>
      <c r="P383" s="121"/>
      <c r="Q383" s="114"/>
    </row>
    <row r="384" spans="2:17" x14ac:dyDescent="0.25">
      <c r="B384" s="4">
        <v>385</v>
      </c>
      <c r="C384" s="114" t="s">
        <v>2846</v>
      </c>
      <c r="D384" s="114" t="s">
        <v>2450</v>
      </c>
      <c r="E384" s="114">
        <v>24</v>
      </c>
      <c r="F384" s="114">
        <v>102</v>
      </c>
      <c r="G384" s="114">
        <v>44</v>
      </c>
      <c r="H384" s="19" t="s">
        <v>26</v>
      </c>
      <c r="I384" s="114"/>
      <c r="J384" s="114">
        <v>1</v>
      </c>
      <c r="K384" s="120"/>
      <c r="L384" s="120"/>
      <c r="M384" s="120"/>
      <c r="N384" s="121"/>
      <c r="O384" s="121"/>
      <c r="P384" s="121"/>
      <c r="Q384" s="114"/>
    </row>
    <row r="385" spans="2:17" x14ac:dyDescent="0.25">
      <c r="B385" s="4">
        <v>386</v>
      </c>
      <c r="C385" s="114" t="s">
        <v>734</v>
      </c>
      <c r="D385" s="114" t="s">
        <v>2849</v>
      </c>
      <c r="E385" s="114">
        <v>24</v>
      </c>
      <c r="F385" s="114">
        <v>106</v>
      </c>
      <c r="G385" s="114">
        <v>44</v>
      </c>
      <c r="H385" s="114" t="s">
        <v>12</v>
      </c>
      <c r="I385" s="114">
        <v>1</v>
      </c>
      <c r="J385" s="114"/>
      <c r="K385" s="120"/>
      <c r="L385" s="120"/>
      <c r="M385" s="120"/>
      <c r="N385" s="121"/>
      <c r="O385" s="121"/>
      <c r="P385" s="121">
        <v>1</v>
      </c>
      <c r="Q385" s="114"/>
    </row>
    <row r="386" spans="2:17" x14ac:dyDescent="0.25">
      <c r="B386" s="4">
        <v>387</v>
      </c>
      <c r="C386" s="114" t="s">
        <v>138</v>
      </c>
      <c r="D386" s="114" t="s">
        <v>2850</v>
      </c>
      <c r="E386" s="114">
        <v>24</v>
      </c>
      <c r="F386" s="114">
        <v>115</v>
      </c>
      <c r="G386" s="114">
        <v>44</v>
      </c>
      <c r="H386" s="114" t="s">
        <v>12</v>
      </c>
      <c r="I386" s="114">
        <v>1</v>
      </c>
      <c r="J386" s="114"/>
      <c r="K386" s="120"/>
      <c r="L386" s="120"/>
      <c r="M386" s="120"/>
      <c r="N386" s="121"/>
      <c r="O386" s="121"/>
      <c r="P386" s="121">
        <v>1</v>
      </c>
      <c r="Q386" s="114"/>
    </row>
    <row r="387" spans="2:17" x14ac:dyDescent="0.25">
      <c r="B387" s="4">
        <v>388</v>
      </c>
      <c r="C387" s="114" t="s">
        <v>918</v>
      </c>
      <c r="D387" s="114" t="s">
        <v>2851</v>
      </c>
      <c r="E387" s="114">
        <v>24</v>
      </c>
      <c r="F387" s="114">
        <v>127</v>
      </c>
      <c r="G387" s="114">
        <v>43</v>
      </c>
      <c r="H387" s="19" t="s">
        <v>26</v>
      </c>
      <c r="I387" s="114"/>
      <c r="J387" s="114">
        <v>1</v>
      </c>
      <c r="K387" s="120"/>
      <c r="L387" s="120"/>
      <c r="M387" s="120"/>
      <c r="N387" s="121"/>
      <c r="O387" s="121"/>
      <c r="P387" s="121"/>
      <c r="Q387" s="114"/>
    </row>
    <row r="388" spans="2:17" x14ac:dyDescent="0.25">
      <c r="B388" s="4">
        <v>389</v>
      </c>
      <c r="C388" s="114" t="s">
        <v>738</v>
      </c>
      <c r="D388" s="114" t="s">
        <v>2852</v>
      </c>
      <c r="E388" s="114">
        <v>24</v>
      </c>
      <c r="F388" s="114">
        <v>97</v>
      </c>
      <c r="G388" s="114">
        <v>43</v>
      </c>
      <c r="H388" s="114" t="s">
        <v>12</v>
      </c>
      <c r="I388" s="114">
        <v>1</v>
      </c>
      <c r="J388" s="114"/>
      <c r="K388" s="120"/>
      <c r="L388" s="120"/>
      <c r="M388" s="120"/>
      <c r="N388" s="121"/>
      <c r="O388" s="121"/>
      <c r="P388" s="121">
        <v>1</v>
      </c>
      <c r="Q388" s="114"/>
    </row>
    <row r="389" spans="2:17" x14ac:dyDescent="0.25">
      <c r="B389" s="4">
        <v>390</v>
      </c>
      <c r="C389" s="114" t="s">
        <v>891</v>
      </c>
      <c r="D389" s="114" t="s">
        <v>2853</v>
      </c>
      <c r="E389" s="114">
        <v>24</v>
      </c>
      <c r="F389" s="114">
        <v>96</v>
      </c>
      <c r="G389" s="114">
        <v>43</v>
      </c>
      <c r="H389" s="19" t="s">
        <v>26</v>
      </c>
      <c r="I389" s="114"/>
      <c r="J389" s="114">
        <v>1</v>
      </c>
      <c r="K389" s="120"/>
      <c r="L389" s="120"/>
      <c r="M389" s="120"/>
      <c r="N389" s="121"/>
      <c r="O389" s="121"/>
      <c r="P389" s="121"/>
      <c r="Q389" s="114"/>
    </row>
    <row r="390" spans="2:17" x14ac:dyDescent="0.25">
      <c r="B390" s="4">
        <v>391</v>
      </c>
      <c r="C390" s="114" t="s">
        <v>977</v>
      </c>
      <c r="D390" s="114" t="s">
        <v>2854</v>
      </c>
      <c r="E390" s="114">
        <v>24</v>
      </c>
      <c r="F390" s="114">
        <v>90</v>
      </c>
      <c r="G390" s="114">
        <v>43</v>
      </c>
      <c r="H390" s="114" t="s">
        <v>12</v>
      </c>
      <c r="I390" s="114">
        <v>1</v>
      </c>
      <c r="J390" s="114"/>
      <c r="K390" s="120"/>
      <c r="L390" s="120"/>
      <c r="M390" s="120"/>
      <c r="N390" s="121"/>
      <c r="O390" s="121"/>
      <c r="P390" s="121"/>
      <c r="Q390" s="114"/>
    </row>
    <row r="391" spans="2:17" x14ac:dyDescent="0.25">
      <c r="B391" s="4">
        <v>392</v>
      </c>
      <c r="C391" s="114" t="s">
        <v>138</v>
      </c>
      <c r="D391" s="114" t="s">
        <v>2855</v>
      </c>
      <c r="E391" s="114">
        <v>24</v>
      </c>
      <c r="F391" s="114">
        <v>83</v>
      </c>
      <c r="G391" s="114">
        <v>43</v>
      </c>
      <c r="H391" s="19" t="s">
        <v>26</v>
      </c>
      <c r="I391" s="114"/>
      <c r="J391" s="114">
        <v>1</v>
      </c>
      <c r="K391" s="120"/>
      <c r="L391" s="120"/>
      <c r="M391" s="120"/>
      <c r="N391" s="121"/>
      <c r="O391" s="121"/>
      <c r="P391" s="121"/>
      <c r="Q391" s="114"/>
    </row>
    <row r="392" spans="2:17" x14ac:dyDescent="0.25">
      <c r="B392" s="4">
        <v>393</v>
      </c>
      <c r="C392" s="114" t="s">
        <v>2225</v>
      </c>
      <c r="D392" s="114" t="s">
        <v>2856</v>
      </c>
      <c r="E392" s="114">
        <v>24</v>
      </c>
      <c r="F392" s="114">
        <v>93</v>
      </c>
      <c r="G392" s="114">
        <v>42</v>
      </c>
      <c r="H392" s="114" t="s">
        <v>12</v>
      </c>
      <c r="I392" s="114">
        <v>1</v>
      </c>
      <c r="J392" s="114"/>
      <c r="K392" s="120"/>
      <c r="L392" s="120"/>
      <c r="M392" s="120"/>
      <c r="N392" s="121"/>
      <c r="O392" s="121"/>
      <c r="P392" s="121">
        <v>1</v>
      </c>
      <c r="Q392" s="114"/>
    </row>
    <row r="393" spans="2:17" x14ac:dyDescent="0.25">
      <c r="B393" s="4">
        <v>394</v>
      </c>
      <c r="C393" s="114" t="s">
        <v>138</v>
      </c>
      <c r="D393" s="114" t="s">
        <v>2857</v>
      </c>
      <c r="E393" s="114">
        <v>24</v>
      </c>
      <c r="F393" s="114">
        <v>95</v>
      </c>
      <c r="G393" s="114">
        <v>42</v>
      </c>
      <c r="H393" s="19" t="s">
        <v>26</v>
      </c>
      <c r="I393" s="114"/>
      <c r="J393" s="114">
        <v>1</v>
      </c>
      <c r="K393" s="120"/>
      <c r="L393" s="120"/>
      <c r="M393" s="120"/>
      <c r="N393" s="121"/>
      <c r="O393" s="121"/>
      <c r="P393" s="121"/>
      <c r="Q393" s="114"/>
    </row>
    <row r="394" spans="2:17" x14ac:dyDescent="0.25">
      <c r="B394" s="4">
        <v>395</v>
      </c>
      <c r="C394" s="114" t="s">
        <v>619</v>
      </c>
      <c r="D394" s="114" t="s">
        <v>1128</v>
      </c>
      <c r="E394" s="114">
        <v>24</v>
      </c>
      <c r="F394" s="114">
        <v>116</v>
      </c>
      <c r="G394" s="114">
        <v>42</v>
      </c>
      <c r="H394" s="19" t="s">
        <v>26</v>
      </c>
      <c r="I394" s="114"/>
      <c r="J394" s="114">
        <v>1</v>
      </c>
      <c r="K394" s="120"/>
      <c r="L394" s="120"/>
      <c r="M394" s="120"/>
      <c r="N394" s="121"/>
      <c r="O394" s="121"/>
      <c r="P394" s="121"/>
      <c r="Q394" s="114"/>
    </row>
    <row r="395" spans="2:17" x14ac:dyDescent="0.25">
      <c r="B395" s="4">
        <v>396</v>
      </c>
      <c r="C395" s="114" t="s">
        <v>138</v>
      </c>
      <c r="D395" s="114" t="s">
        <v>2840</v>
      </c>
      <c r="E395" s="114">
        <v>24</v>
      </c>
      <c r="F395" s="114">
        <v>122</v>
      </c>
      <c r="G395" s="114">
        <v>41</v>
      </c>
      <c r="H395" s="114" t="s">
        <v>12</v>
      </c>
      <c r="I395" s="114">
        <v>1</v>
      </c>
      <c r="J395" s="114"/>
      <c r="K395" s="120"/>
      <c r="L395" s="120"/>
      <c r="M395" s="120"/>
      <c r="N395" s="121"/>
      <c r="O395" s="121"/>
      <c r="P395" s="121">
        <v>1</v>
      </c>
      <c r="Q395" s="114"/>
    </row>
    <row r="396" spans="2:17" x14ac:dyDescent="0.25">
      <c r="B396" s="4">
        <v>397</v>
      </c>
      <c r="C396" s="114" t="s">
        <v>662</v>
      </c>
      <c r="D396" s="114" t="s">
        <v>2858</v>
      </c>
      <c r="E396" s="114">
        <v>24</v>
      </c>
      <c r="F396" s="114">
        <v>121</v>
      </c>
      <c r="G396" s="114">
        <v>41</v>
      </c>
      <c r="H396" s="114" t="s">
        <v>12</v>
      </c>
      <c r="I396" s="114">
        <v>1</v>
      </c>
      <c r="J396" s="114"/>
      <c r="K396" s="120"/>
      <c r="L396" s="120"/>
      <c r="M396" s="120"/>
      <c r="N396" s="121"/>
      <c r="O396" s="121"/>
      <c r="P396" s="121">
        <v>1</v>
      </c>
      <c r="Q396" s="114"/>
    </row>
    <row r="397" spans="2:17" x14ac:dyDescent="0.25">
      <c r="B397" s="4">
        <v>398</v>
      </c>
      <c r="C397" s="114" t="s">
        <v>726</v>
      </c>
      <c r="D397" s="114" t="s">
        <v>2859</v>
      </c>
      <c r="E397" s="114">
        <v>24</v>
      </c>
      <c r="F397" s="114">
        <v>110</v>
      </c>
      <c r="G397" s="114">
        <v>41</v>
      </c>
      <c r="H397" s="19" t="s">
        <v>26</v>
      </c>
      <c r="I397" s="114"/>
      <c r="J397" s="114">
        <v>1</v>
      </c>
      <c r="K397" s="120"/>
      <c r="L397" s="120"/>
      <c r="M397" s="120"/>
      <c r="N397" s="121"/>
      <c r="O397" s="121"/>
      <c r="P397" s="121">
        <v>1</v>
      </c>
      <c r="Q397" s="114"/>
    </row>
    <row r="398" spans="2:17" x14ac:dyDescent="0.25">
      <c r="B398" s="4">
        <v>399</v>
      </c>
      <c r="C398" s="114" t="s">
        <v>131</v>
      </c>
      <c r="D398" s="114" t="s">
        <v>884</v>
      </c>
      <c r="E398" s="114">
        <v>24</v>
      </c>
      <c r="F398" s="114">
        <v>109</v>
      </c>
      <c r="G398" s="114">
        <v>41</v>
      </c>
      <c r="H398" s="114" t="s">
        <v>12</v>
      </c>
      <c r="I398" s="114">
        <v>1</v>
      </c>
      <c r="J398" s="114"/>
      <c r="K398" s="120"/>
      <c r="L398" s="120"/>
      <c r="M398" s="120"/>
      <c r="N398" s="121"/>
      <c r="O398" s="121"/>
      <c r="P398" s="121"/>
      <c r="Q398" s="114"/>
    </row>
    <row r="399" spans="2:17" x14ac:dyDescent="0.25">
      <c r="B399" s="4">
        <v>400</v>
      </c>
      <c r="C399" s="114" t="s">
        <v>188</v>
      </c>
      <c r="D399" s="114" t="s">
        <v>2208</v>
      </c>
      <c r="E399" s="114">
        <v>24</v>
      </c>
      <c r="F399" s="114">
        <v>104</v>
      </c>
      <c r="G399" s="114">
        <v>41</v>
      </c>
      <c r="H399" s="114" t="s">
        <v>12</v>
      </c>
      <c r="I399" s="114">
        <v>1</v>
      </c>
      <c r="J399" s="114"/>
      <c r="K399" s="120"/>
      <c r="L399" s="120"/>
      <c r="M399" s="120"/>
      <c r="N399" s="121"/>
      <c r="O399" s="121"/>
      <c r="P399" s="121">
        <v>1</v>
      </c>
      <c r="Q399" s="114"/>
    </row>
    <row r="400" spans="2:17" x14ac:dyDescent="0.25">
      <c r="B400" s="4">
        <v>401</v>
      </c>
      <c r="C400" s="114" t="s">
        <v>599</v>
      </c>
      <c r="D400" s="114" t="s">
        <v>1305</v>
      </c>
      <c r="E400" s="114">
        <v>24</v>
      </c>
      <c r="F400" s="114">
        <v>96</v>
      </c>
      <c r="G400" s="114">
        <v>41</v>
      </c>
      <c r="H400" s="19" t="s">
        <v>26</v>
      </c>
      <c r="I400" s="114"/>
      <c r="J400" s="114">
        <v>1</v>
      </c>
      <c r="K400" s="120"/>
      <c r="L400" s="120"/>
      <c r="M400" s="120"/>
      <c r="N400" s="121"/>
      <c r="O400" s="121"/>
      <c r="P400" s="121"/>
      <c r="Q400" s="114"/>
    </row>
    <row r="401" spans="2:17" x14ac:dyDescent="0.25">
      <c r="B401" s="4">
        <v>402</v>
      </c>
      <c r="C401" s="114" t="s">
        <v>2860</v>
      </c>
      <c r="D401" s="114" t="s">
        <v>2861</v>
      </c>
      <c r="E401" s="114">
        <v>24</v>
      </c>
      <c r="F401" s="114">
        <v>85</v>
      </c>
      <c r="G401" s="114">
        <v>41</v>
      </c>
      <c r="H401" s="114" t="s">
        <v>12</v>
      </c>
      <c r="I401" s="114">
        <v>1</v>
      </c>
      <c r="J401" s="114"/>
      <c r="K401" s="120"/>
      <c r="L401" s="120"/>
      <c r="M401" s="120"/>
      <c r="N401" s="121"/>
      <c r="O401" s="121"/>
      <c r="P401" s="121">
        <v>1</v>
      </c>
      <c r="Q401" s="114"/>
    </row>
    <row r="402" spans="2:17" x14ac:dyDescent="0.25">
      <c r="B402" s="4">
        <v>403</v>
      </c>
      <c r="C402" s="114" t="s">
        <v>902</v>
      </c>
      <c r="D402" s="114" t="s">
        <v>2862</v>
      </c>
      <c r="E402" s="114">
        <v>24</v>
      </c>
      <c r="F402" s="114">
        <v>84</v>
      </c>
      <c r="G402" s="114">
        <v>41</v>
      </c>
      <c r="H402" s="19" t="s">
        <v>26</v>
      </c>
      <c r="I402" s="114"/>
      <c r="J402" s="114">
        <v>1</v>
      </c>
      <c r="K402" s="120"/>
      <c r="L402" s="120"/>
      <c r="M402" s="120">
        <v>1</v>
      </c>
      <c r="N402" s="121"/>
      <c r="O402" s="121"/>
      <c r="P402" s="121"/>
      <c r="Q402" s="114"/>
    </row>
    <row r="403" spans="2:17" x14ac:dyDescent="0.25">
      <c r="B403" s="4">
        <v>405</v>
      </c>
      <c r="C403" s="114" t="s">
        <v>132</v>
      </c>
      <c r="D403" s="114" t="s">
        <v>213</v>
      </c>
      <c r="E403" s="114">
        <v>24</v>
      </c>
      <c r="F403" s="114">
        <v>97</v>
      </c>
      <c r="G403" s="114">
        <v>40</v>
      </c>
      <c r="H403" s="114" t="s">
        <v>12</v>
      </c>
      <c r="I403" s="114">
        <v>1</v>
      </c>
      <c r="J403" s="114"/>
      <c r="K403" s="120"/>
      <c r="L403" s="120"/>
      <c r="M403" s="120"/>
      <c r="N403" s="121"/>
      <c r="O403" s="121"/>
      <c r="P403" s="121"/>
      <c r="Q403" s="114"/>
    </row>
    <row r="404" spans="2:17" x14ac:dyDescent="0.25">
      <c r="B404" s="4">
        <v>406</v>
      </c>
      <c r="C404" s="114" t="s">
        <v>170</v>
      </c>
      <c r="D404" s="114" t="s">
        <v>2863</v>
      </c>
      <c r="E404" s="114">
        <v>24</v>
      </c>
      <c r="F404" s="114">
        <v>119</v>
      </c>
      <c r="G404" s="114">
        <v>40</v>
      </c>
      <c r="H404" s="114" t="s">
        <v>12</v>
      </c>
      <c r="I404" s="114">
        <v>1</v>
      </c>
      <c r="J404" s="114"/>
      <c r="K404" s="120"/>
      <c r="L404" s="120"/>
      <c r="M404" s="120"/>
      <c r="N404" s="121"/>
      <c r="O404" s="121"/>
      <c r="P404" s="121"/>
      <c r="Q404" s="114"/>
    </row>
    <row r="405" spans="2:17" x14ac:dyDescent="0.25">
      <c r="B405" s="4">
        <v>407</v>
      </c>
      <c r="C405" s="114" t="s">
        <v>166</v>
      </c>
      <c r="D405" s="114" t="s">
        <v>2864</v>
      </c>
      <c r="E405" s="114">
        <v>24</v>
      </c>
      <c r="F405" s="114">
        <v>121</v>
      </c>
      <c r="G405" s="114">
        <v>40</v>
      </c>
      <c r="H405" s="114" t="s">
        <v>12</v>
      </c>
      <c r="I405" s="114">
        <v>1</v>
      </c>
      <c r="J405" s="114"/>
      <c r="K405" s="120"/>
      <c r="L405" s="120"/>
      <c r="M405" s="120"/>
      <c r="N405" s="121"/>
      <c r="O405" s="121"/>
      <c r="P405" s="121">
        <v>1</v>
      </c>
      <c r="Q405" s="114"/>
    </row>
    <row r="406" spans="2:17" x14ac:dyDescent="0.25">
      <c r="B406" s="4">
        <v>408</v>
      </c>
      <c r="C406" s="114" t="s">
        <v>138</v>
      </c>
      <c r="D406" s="114" t="s">
        <v>2865</v>
      </c>
      <c r="E406" s="114">
        <v>24</v>
      </c>
      <c r="F406" s="114">
        <v>122</v>
      </c>
      <c r="G406" s="114">
        <v>39</v>
      </c>
      <c r="H406" s="19" t="s">
        <v>26</v>
      </c>
      <c r="I406" s="114"/>
      <c r="J406" s="114">
        <v>1</v>
      </c>
      <c r="K406" s="120"/>
      <c r="L406" s="120"/>
      <c r="M406" s="120"/>
      <c r="N406" s="121"/>
      <c r="O406" s="121"/>
      <c r="P406" s="121"/>
      <c r="Q406" s="114"/>
    </row>
    <row r="407" spans="2:17" x14ac:dyDescent="0.25">
      <c r="B407" s="4">
        <v>409</v>
      </c>
      <c r="C407" s="114" t="s">
        <v>296</v>
      </c>
      <c r="D407" s="114" t="s">
        <v>2866</v>
      </c>
      <c r="E407" s="114">
        <v>24</v>
      </c>
      <c r="F407" s="114">
        <v>138</v>
      </c>
      <c r="G407" s="114">
        <v>39</v>
      </c>
      <c r="H407" s="19" t="s">
        <v>26</v>
      </c>
      <c r="I407" s="114"/>
      <c r="J407" s="114">
        <v>1</v>
      </c>
      <c r="K407" s="120"/>
      <c r="L407" s="120"/>
      <c r="M407" s="120"/>
      <c r="N407" s="121"/>
      <c r="O407" s="121"/>
      <c r="P407" s="121"/>
      <c r="Q407" s="114"/>
    </row>
    <row r="408" spans="2:17" x14ac:dyDescent="0.25">
      <c r="B408" s="4">
        <v>410</v>
      </c>
      <c r="C408" s="114" t="s">
        <v>136</v>
      </c>
      <c r="D408" s="114" t="s">
        <v>2867</v>
      </c>
      <c r="E408" s="114">
        <v>24</v>
      </c>
      <c r="F408" s="114">
        <v>113</v>
      </c>
      <c r="G408" s="114">
        <v>39</v>
      </c>
      <c r="H408" s="114" t="s">
        <v>12</v>
      </c>
      <c r="I408" s="114">
        <v>1</v>
      </c>
      <c r="J408" s="114"/>
      <c r="K408" s="120"/>
      <c r="L408" s="120"/>
      <c r="M408" s="120"/>
      <c r="N408" s="121"/>
      <c r="O408" s="121"/>
      <c r="P408" s="121">
        <v>1</v>
      </c>
      <c r="Q408" s="114"/>
    </row>
    <row r="409" spans="2:17" x14ac:dyDescent="0.25">
      <c r="B409" s="4">
        <v>411</v>
      </c>
      <c r="C409" s="114" t="s">
        <v>726</v>
      </c>
      <c r="D409" s="114" t="s">
        <v>2868</v>
      </c>
      <c r="E409" s="114">
        <v>24</v>
      </c>
      <c r="F409" s="114">
        <v>110</v>
      </c>
      <c r="G409" s="114">
        <v>39</v>
      </c>
      <c r="H409" s="114" t="s">
        <v>12</v>
      </c>
      <c r="I409" s="114">
        <v>1</v>
      </c>
      <c r="J409" s="114"/>
      <c r="K409" s="120"/>
      <c r="L409" s="120"/>
      <c r="M409" s="120"/>
      <c r="N409" s="121"/>
      <c r="O409" s="121"/>
      <c r="P409" s="121">
        <v>1</v>
      </c>
      <c r="Q409" s="114"/>
    </row>
    <row r="410" spans="2:17" x14ac:dyDescent="0.25">
      <c r="B410" s="4">
        <v>412</v>
      </c>
      <c r="C410" s="114" t="s">
        <v>2869</v>
      </c>
      <c r="D410" s="114" t="s">
        <v>2871</v>
      </c>
      <c r="E410" s="114">
        <v>24</v>
      </c>
      <c r="F410" s="114">
        <v>107</v>
      </c>
      <c r="G410" s="114">
        <v>39</v>
      </c>
      <c r="H410" s="114" t="s">
        <v>12</v>
      </c>
      <c r="I410" s="114">
        <v>1</v>
      </c>
      <c r="J410" s="114"/>
      <c r="K410" s="120"/>
      <c r="L410" s="120"/>
      <c r="M410" s="120"/>
      <c r="N410" s="121"/>
      <c r="O410" s="121"/>
      <c r="P410" s="121">
        <v>1</v>
      </c>
      <c r="Q410" s="114"/>
    </row>
    <row r="411" spans="2:17" x14ac:dyDescent="0.25">
      <c r="B411" s="4">
        <v>413</v>
      </c>
      <c r="C411" s="114" t="s">
        <v>203</v>
      </c>
      <c r="D411" s="114" t="s">
        <v>2872</v>
      </c>
      <c r="E411" s="114">
        <v>24</v>
      </c>
      <c r="F411" s="114">
        <v>105</v>
      </c>
      <c r="G411" s="114">
        <v>39</v>
      </c>
      <c r="H411" s="114" t="s">
        <v>12</v>
      </c>
      <c r="I411" s="114">
        <v>1</v>
      </c>
      <c r="J411" s="114"/>
      <c r="K411" s="120"/>
      <c r="L411" s="120"/>
      <c r="M411" s="120"/>
      <c r="N411" s="121"/>
      <c r="O411" s="121"/>
      <c r="P411" s="121"/>
      <c r="Q411" s="114"/>
    </row>
    <row r="412" spans="2:17" x14ac:dyDescent="0.25">
      <c r="B412" s="4">
        <v>414</v>
      </c>
      <c r="C412" s="114" t="s">
        <v>2870</v>
      </c>
      <c r="D412" s="114" t="s">
        <v>2873</v>
      </c>
      <c r="E412" s="114">
        <v>24</v>
      </c>
      <c r="F412" s="114">
        <v>91</v>
      </c>
      <c r="G412" s="114">
        <v>39</v>
      </c>
      <c r="H412" s="114" t="s">
        <v>12</v>
      </c>
      <c r="I412" s="114">
        <v>1</v>
      </c>
      <c r="J412" s="114"/>
      <c r="K412" s="120"/>
      <c r="L412" s="120"/>
      <c r="M412" s="120"/>
      <c r="N412" s="121"/>
      <c r="O412" s="121"/>
      <c r="P412" s="121">
        <v>1</v>
      </c>
      <c r="Q412" s="114"/>
    </row>
    <row r="413" spans="2:17" x14ac:dyDescent="0.25">
      <c r="B413" s="4">
        <v>415</v>
      </c>
      <c r="C413" s="114" t="s">
        <v>138</v>
      </c>
      <c r="D413" s="114" t="s">
        <v>2874</v>
      </c>
      <c r="E413" s="114">
        <v>24</v>
      </c>
      <c r="F413" s="114">
        <v>78</v>
      </c>
      <c r="G413" s="114">
        <v>39</v>
      </c>
      <c r="H413" s="19" t="s">
        <v>26</v>
      </c>
      <c r="I413" s="114"/>
      <c r="J413" s="114">
        <v>1</v>
      </c>
      <c r="K413" s="120"/>
      <c r="L413" s="120"/>
      <c r="M413" s="120"/>
      <c r="N413" s="121"/>
      <c r="O413" s="121"/>
      <c r="P413" s="121"/>
      <c r="Q413" s="114"/>
    </row>
    <row r="414" spans="2:17" x14ac:dyDescent="0.25">
      <c r="B414" s="4">
        <v>416</v>
      </c>
      <c r="C414" s="114" t="s">
        <v>640</v>
      </c>
      <c r="D414" s="114" t="s">
        <v>2698</v>
      </c>
      <c r="E414" s="114">
        <v>24</v>
      </c>
      <c r="F414" s="114">
        <v>85</v>
      </c>
      <c r="G414" s="114">
        <v>38</v>
      </c>
      <c r="H414" s="114" t="s">
        <v>12</v>
      </c>
      <c r="I414" s="114">
        <v>1</v>
      </c>
      <c r="J414" s="114"/>
      <c r="K414" s="120"/>
      <c r="L414" s="120"/>
      <c r="M414" s="120"/>
      <c r="N414" s="121"/>
      <c r="O414" s="121"/>
      <c r="P414" s="121">
        <v>1</v>
      </c>
      <c r="Q414" s="114"/>
    </row>
    <row r="415" spans="2:17" x14ac:dyDescent="0.25">
      <c r="B415" s="4">
        <v>417</v>
      </c>
      <c r="C415" s="114" t="s">
        <v>137</v>
      </c>
      <c r="D415" s="114" t="s">
        <v>265</v>
      </c>
      <c r="E415" s="114">
        <v>24</v>
      </c>
      <c r="F415" s="114">
        <v>98</v>
      </c>
      <c r="G415" s="114">
        <v>38</v>
      </c>
      <c r="H415" s="19" t="s">
        <v>26</v>
      </c>
      <c r="I415" s="114"/>
      <c r="J415" s="114">
        <v>1</v>
      </c>
      <c r="K415" s="120"/>
      <c r="L415" s="120"/>
      <c r="M415" s="120"/>
      <c r="N415" s="121"/>
      <c r="O415" s="121"/>
      <c r="P415" s="121"/>
      <c r="Q415" s="114"/>
    </row>
    <row r="416" spans="2:17" x14ac:dyDescent="0.25">
      <c r="B416" s="4">
        <v>418</v>
      </c>
      <c r="C416" s="114" t="s">
        <v>1055</v>
      </c>
      <c r="D416" s="114" t="s">
        <v>2875</v>
      </c>
      <c r="E416" s="114">
        <v>24</v>
      </c>
      <c r="F416" s="114">
        <v>97</v>
      </c>
      <c r="G416" s="114">
        <v>38</v>
      </c>
      <c r="H416" s="19" t="s">
        <v>26</v>
      </c>
      <c r="I416" s="114"/>
      <c r="J416" s="114">
        <v>1</v>
      </c>
      <c r="K416" s="120"/>
      <c r="L416" s="120"/>
      <c r="M416" s="120"/>
      <c r="N416" s="121"/>
      <c r="O416" s="121"/>
      <c r="P416" s="121"/>
      <c r="Q416" s="114"/>
    </row>
    <row r="417" spans="2:17" x14ac:dyDescent="0.25">
      <c r="B417" s="4">
        <v>419</v>
      </c>
      <c r="C417" s="114" t="s">
        <v>132</v>
      </c>
      <c r="D417" s="114" t="s">
        <v>2876</v>
      </c>
      <c r="E417" s="114">
        <v>24</v>
      </c>
      <c r="F417" s="114">
        <v>109</v>
      </c>
      <c r="G417" s="114">
        <v>38</v>
      </c>
      <c r="H417" s="19" t="s">
        <v>26</v>
      </c>
      <c r="I417" s="114"/>
      <c r="J417" s="114">
        <v>1</v>
      </c>
      <c r="K417" s="120"/>
      <c r="L417" s="120"/>
      <c r="M417" s="120"/>
      <c r="N417" s="121"/>
      <c r="O417" s="121"/>
      <c r="P417" s="121"/>
      <c r="Q417" s="114"/>
    </row>
    <row r="418" spans="2:17" x14ac:dyDescent="0.25">
      <c r="B418" s="4">
        <v>420</v>
      </c>
      <c r="C418" s="114" t="s">
        <v>1553</v>
      </c>
      <c r="D418" s="114" t="s">
        <v>2877</v>
      </c>
      <c r="E418" s="114">
        <v>24</v>
      </c>
      <c r="F418" s="114">
        <v>110</v>
      </c>
      <c r="G418" s="114">
        <v>38</v>
      </c>
      <c r="H418" s="19" t="s">
        <v>26</v>
      </c>
      <c r="I418" s="114"/>
      <c r="J418" s="114">
        <v>1</v>
      </c>
      <c r="K418" s="120"/>
      <c r="L418" s="120"/>
      <c r="M418" s="120"/>
      <c r="N418" s="121"/>
      <c r="O418" s="121"/>
      <c r="P418" s="121">
        <v>1</v>
      </c>
      <c r="Q418" s="114"/>
    </row>
    <row r="419" spans="2:17" x14ac:dyDescent="0.25">
      <c r="B419" s="4">
        <v>421</v>
      </c>
      <c r="C419" s="114" t="s">
        <v>575</v>
      </c>
      <c r="D419" s="114" t="s">
        <v>2878</v>
      </c>
      <c r="E419" s="114">
        <v>24</v>
      </c>
      <c r="F419" s="114">
        <v>113</v>
      </c>
      <c r="G419" s="114">
        <v>38</v>
      </c>
      <c r="H419" s="114" t="s">
        <v>12</v>
      </c>
      <c r="I419" s="114">
        <v>1</v>
      </c>
      <c r="J419" s="114"/>
      <c r="K419" s="120"/>
      <c r="L419" s="120"/>
      <c r="M419" s="120"/>
      <c r="N419" s="121"/>
      <c r="O419" s="121"/>
      <c r="P419" s="121"/>
      <c r="Q419" s="114"/>
    </row>
    <row r="420" spans="2:17" x14ac:dyDescent="0.25">
      <c r="B420" s="4">
        <v>422</v>
      </c>
      <c r="C420" s="114" t="s">
        <v>682</v>
      </c>
      <c r="D420" s="114" t="s">
        <v>2879</v>
      </c>
      <c r="E420" s="114">
        <v>24</v>
      </c>
      <c r="F420" s="114">
        <v>120</v>
      </c>
      <c r="G420" s="114">
        <v>37</v>
      </c>
      <c r="H420" s="19" t="s">
        <v>26</v>
      </c>
      <c r="I420" s="114"/>
      <c r="J420" s="114">
        <v>1</v>
      </c>
      <c r="K420" s="120"/>
      <c r="L420" s="120"/>
      <c r="M420" s="120"/>
      <c r="N420" s="121"/>
      <c r="O420" s="121"/>
      <c r="P420" s="121"/>
      <c r="Q420" s="114"/>
    </row>
    <row r="421" spans="2:17" x14ac:dyDescent="0.25">
      <c r="B421" s="4">
        <v>423</v>
      </c>
      <c r="C421" s="114" t="s">
        <v>224</v>
      </c>
      <c r="D421" s="114" t="s">
        <v>2880</v>
      </c>
      <c r="E421" s="114">
        <v>24</v>
      </c>
      <c r="F421" s="114">
        <v>110</v>
      </c>
      <c r="G421" s="114">
        <v>37</v>
      </c>
      <c r="H421" s="19" t="s">
        <v>26</v>
      </c>
      <c r="I421" s="114"/>
      <c r="J421" s="114">
        <v>1</v>
      </c>
      <c r="K421" s="120"/>
      <c r="L421" s="120"/>
      <c r="M421" s="120"/>
      <c r="N421" s="121"/>
      <c r="O421" s="121"/>
      <c r="P421" s="121"/>
      <c r="Q421" s="114"/>
    </row>
    <row r="422" spans="2:17" x14ac:dyDescent="0.25">
      <c r="B422" s="4">
        <v>424</v>
      </c>
      <c r="C422" s="114" t="s">
        <v>600</v>
      </c>
      <c r="D422" s="114" t="s">
        <v>2389</v>
      </c>
      <c r="E422" s="114">
        <v>24</v>
      </c>
      <c r="F422" s="114">
        <v>97</v>
      </c>
      <c r="G422" s="114">
        <v>37</v>
      </c>
      <c r="H422" s="114" t="s">
        <v>12</v>
      </c>
      <c r="I422" s="114">
        <v>1</v>
      </c>
      <c r="J422" s="114"/>
      <c r="K422" s="120"/>
      <c r="L422" s="120"/>
      <c r="M422" s="120"/>
      <c r="N422" s="121"/>
      <c r="O422" s="121"/>
      <c r="P422" s="121">
        <v>1</v>
      </c>
      <c r="Q422" s="114"/>
    </row>
    <row r="423" spans="2:17" x14ac:dyDescent="0.25">
      <c r="B423" s="4">
        <v>425</v>
      </c>
      <c r="C423" s="114" t="s">
        <v>166</v>
      </c>
      <c r="D423" s="114" t="s">
        <v>2881</v>
      </c>
      <c r="E423" s="114">
        <v>24</v>
      </c>
      <c r="F423" s="114">
        <v>89</v>
      </c>
      <c r="G423" s="114">
        <v>37</v>
      </c>
      <c r="H423" s="114" t="s">
        <v>12</v>
      </c>
      <c r="I423" s="114">
        <v>1</v>
      </c>
      <c r="J423" s="114"/>
      <c r="K423" s="120"/>
      <c r="L423" s="120"/>
      <c r="M423" s="120"/>
      <c r="N423" s="121"/>
      <c r="O423" s="121"/>
      <c r="P423" s="121">
        <v>1</v>
      </c>
      <c r="Q423" s="114"/>
    </row>
    <row r="424" spans="2:17" x14ac:dyDescent="0.25">
      <c r="B424" s="4">
        <v>426</v>
      </c>
      <c r="C424" s="114" t="s">
        <v>138</v>
      </c>
      <c r="D424" s="114" t="s">
        <v>1241</v>
      </c>
      <c r="E424" s="114">
        <v>24</v>
      </c>
      <c r="F424" s="114">
        <v>88</v>
      </c>
      <c r="G424" s="114">
        <v>37</v>
      </c>
      <c r="H424" s="19" t="s">
        <v>26</v>
      </c>
      <c r="I424" s="114"/>
      <c r="J424" s="114">
        <v>1</v>
      </c>
      <c r="K424" s="120"/>
      <c r="L424" s="120"/>
      <c r="M424" s="120"/>
      <c r="N424" s="121"/>
      <c r="O424" s="121"/>
      <c r="P424" s="121"/>
      <c r="Q424" s="114"/>
    </row>
    <row r="425" spans="2:17" x14ac:dyDescent="0.25">
      <c r="B425" s="4">
        <v>427</v>
      </c>
      <c r="C425" s="114" t="s">
        <v>135</v>
      </c>
      <c r="D425" s="114" t="s">
        <v>172</v>
      </c>
      <c r="E425" s="114">
        <v>24</v>
      </c>
      <c r="F425" s="114">
        <v>88</v>
      </c>
      <c r="G425" s="114">
        <v>36</v>
      </c>
      <c r="H425" s="19" t="s">
        <v>26</v>
      </c>
      <c r="I425" s="114"/>
      <c r="J425" s="114">
        <v>1</v>
      </c>
      <c r="K425" s="120"/>
      <c r="L425" s="120"/>
      <c r="M425" s="120"/>
      <c r="N425" s="121"/>
      <c r="O425" s="121"/>
      <c r="P425" s="121"/>
      <c r="Q425" s="114"/>
    </row>
    <row r="426" spans="2:17" x14ac:dyDescent="0.25">
      <c r="B426" s="4">
        <v>428</v>
      </c>
      <c r="C426" s="114" t="s">
        <v>2882</v>
      </c>
      <c r="D426" s="114" t="s">
        <v>2887</v>
      </c>
      <c r="E426" s="114">
        <v>24</v>
      </c>
      <c r="F426" s="114">
        <v>94</v>
      </c>
      <c r="G426" s="114">
        <v>36</v>
      </c>
      <c r="H426" s="114" t="s">
        <v>12</v>
      </c>
      <c r="I426" s="114">
        <v>1</v>
      </c>
      <c r="J426" s="114"/>
      <c r="K426" s="120"/>
      <c r="L426" s="120"/>
      <c r="M426" s="120"/>
      <c r="N426" s="121"/>
      <c r="O426" s="121"/>
      <c r="P426" s="121"/>
      <c r="Q426" s="114"/>
    </row>
    <row r="427" spans="2:17" x14ac:dyDescent="0.25">
      <c r="B427" s="4">
        <v>429</v>
      </c>
      <c r="C427" s="114" t="s">
        <v>731</v>
      </c>
      <c r="D427" s="114" t="s">
        <v>1089</v>
      </c>
      <c r="E427" s="114">
        <v>24</v>
      </c>
      <c r="F427" s="114">
        <v>101</v>
      </c>
      <c r="G427" s="114">
        <v>36</v>
      </c>
      <c r="H427" s="114" t="s">
        <v>12</v>
      </c>
      <c r="I427" s="114">
        <v>1</v>
      </c>
      <c r="J427" s="114"/>
      <c r="K427" s="120"/>
      <c r="L427" s="120"/>
      <c r="M427" s="120"/>
      <c r="N427" s="121"/>
      <c r="O427" s="121"/>
      <c r="P427" s="121">
        <v>1</v>
      </c>
      <c r="Q427" s="114"/>
    </row>
    <row r="428" spans="2:17" x14ac:dyDescent="0.25">
      <c r="B428" s="4">
        <v>430</v>
      </c>
      <c r="C428" s="114" t="s">
        <v>188</v>
      </c>
      <c r="D428" s="114" t="s">
        <v>753</v>
      </c>
      <c r="E428" s="114">
        <v>24</v>
      </c>
      <c r="F428" s="114">
        <v>102</v>
      </c>
      <c r="G428" s="114">
        <v>36</v>
      </c>
      <c r="H428" s="114" t="s">
        <v>12</v>
      </c>
      <c r="I428" s="114">
        <v>1</v>
      </c>
      <c r="J428" s="114"/>
      <c r="K428" s="120"/>
      <c r="L428" s="120"/>
      <c r="M428" s="120"/>
      <c r="N428" s="121"/>
      <c r="O428" s="121"/>
      <c r="P428" s="121">
        <v>1</v>
      </c>
      <c r="Q428" s="114"/>
    </row>
    <row r="429" spans="2:17" x14ac:dyDescent="0.25">
      <c r="B429" s="4">
        <v>431</v>
      </c>
      <c r="C429" s="114" t="s">
        <v>188</v>
      </c>
      <c r="D429" s="114" t="s">
        <v>2884</v>
      </c>
      <c r="E429" s="114">
        <v>24</v>
      </c>
      <c r="F429" s="114">
        <v>140</v>
      </c>
      <c r="G429" s="114">
        <v>36</v>
      </c>
      <c r="H429" s="19" t="s">
        <v>26</v>
      </c>
      <c r="I429" s="114"/>
      <c r="J429" s="114">
        <v>1</v>
      </c>
      <c r="K429" s="120"/>
      <c r="L429" s="120"/>
      <c r="M429" s="120"/>
      <c r="N429" s="121"/>
      <c r="O429" s="121"/>
      <c r="P429" s="121"/>
      <c r="Q429" s="114"/>
    </row>
    <row r="430" spans="2:17" x14ac:dyDescent="0.25">
      <c r="B430" s="4">
        <v>432</v>
      </c>
      <c r="C430" s="114" t="s">
        <v>2883</v>
      </c>
      <c r="D430" s="114" t="s">
        <v>2885</v>
      </c>
      <c r="E430" s="114">
        <v>24</v>
      </c>
      <c r="F430" s="114">
        <v>142</v>
      </c>
      <c r="G430" s="114">
        <v>35</v>
      </c>
      <c r="H430" s="19" t="s">
        <v>26</v>
      </c>
      <c r="I430" s="114"/>
      <c r="J430" s="114">
        <v>1</v>
      </c>
      <c r="K430" s="120"/>
      <c r="L430" s="120"/>
      <c r="M430" s="120">
        <v>1</v>
      </c>
      <c r="N430" s="121"/>
      <c r="O430" s="121"/>
      <c r="P430" s="121"/>
      <c r="Q430" s="114"/>
    </row>
    <row r="431" spans="2:17" x14ac:dyDescent="0.25">
      <c r="B431" s="4">
        <v>433</v>
      </c>
      <c r="C431" s="114" t="s">
        <v>712</v>
      </c>
      <c r="D431" s="114" t="s">
        <v>2886</v>
      </c>
      <c r="E431" s="114">
        <v>24</v>
      </c>
      <c r="F431" s="114">
        <v>135</v>
      </c>
      <c r="G431" s="114">
        <v>35</v>
      </c>
      <c r="H431" s="114" t="s">
        <v>12</v>
      </c>
      <c r="I431" s="114">
        <v>1</v>
      </c>
      <c r="J431" s="114"/>
      <c r="K431" s="120"/>
      <c r="L431" s="120"/>
      <c r="M431" s="120"/>
      <c r="N431" s="121"/>
      <c r="O431" s="121"/>
      <c r="P431" s="121">
        <v>1</v>
      </c>
      <c r="Q431" s="114"/>
    </row>
    <row r="432" spans="2:17" x14ac:dyDescent="0.25">
      <c r="B432" s="4">
        <v>434</v>
      </c>
      <c r="C432" s="114" t="s">
        <v>145</v>
      </c>
      <c r="D432" s="114" t="s">
        <v>2888</v>
      </c>
      <c r="E432" s="114">
        <v>24</v>
      </c>
      <c r="F432" s="114">
        <v>97</v>
      </c>
      <c r="G432" s="114">
        <v>35</v>
      </c>
      <c r="H432" s="19" t="s">
        <v>26</v>
      </c>
      <c r="I432" s="114"/>
      <c r="J432" s="114">
        <v>1</v>
      </c>
      <c r="K432" s="120"/>
      <c r="L432" s="120"/>
      <c r="M432" s="120"/>
      <c r="N432" s="121"/>
      <c r="O432" s="121"/>
      <c r="P432" s="121"/>
      <c r="Q432" s="114"/>
    </row>
    <row r="433" spans="2:17" x14ac:dyDescent="0.25">
      <c r="B433" s="4">
        <v>435</v>
      </c>
      <c r="C433" s="114" t="s">
        <v>132</v>
      </c>
      <c r="D433" s="119" t="s">
        <v>2889</v>
      </c>
      <c r="E433" s="114">
        <v>24</v>
      </c>
      <c r="F433" s="114">
        <v>91</v>
      </c>
      <c r="G433" s="114">
        <v>34</v>
      </c>
      <c r="H433" s="19" t="s">
        <v>26</v>
      </c>
      <c r="I433" s="114"/>
      <c r="J433" s="114">
        <v>1</v>
      </c>
      <c r="K433" s="120"/>
      <c r="L433" s="120"/>
      <c r="M433" s="120"/>
      <c r="N433" s="121"/>
      <c r="O433" s="121"/>
      <c r="P433" s="121"/>
      <c r="Q433" s="114"/>
    </row>
    <row r="434" spans="2:17" x14ac:dyDescent="0.25">
      <c r="B434" s="4">
        <v>436</v>
      </c>
      <c r="C434" s="114" t="s">
        <v>891</v>
      </c>
      <c r="D434" s="114" t="s">
        <v>2603</v>
      </c>
      <c r="E434" s="114">
        <v>24</v>
      </c>
      <c r="F434" s="114">
        <v>133</v>
      </c>
      <c r="G434" s="114">
        <v>34</v>
      </c>
      <c r="H434" s="19" t="s">
        <v>26</v>
      </c>
      <c r="I434" s="114"/>
      <c r="J434" s="114">
        <v>1</v>
      </c>
      <c r="K434" s="120"/>
      <c r="L434" s="120"/>
      <c r="M434" s="120"/>
      <c r="N434" s="121"/>
      <c r="O434" s="121"/>
      <c r="P434" s="121"/>
      <c r="Q434" s="114"/>
    </row>
    <row r="435" spans="2:17" x14ac:dyDescent="0.25">
      <c r="B435" s="4">
        <v>437</v>
      </c>
      <c r="C435" s="114" t="s">
        <v>234</v>
      </c>
      <c r="D435" s="114" t="s">
        <v>2890</v>
      </c>
      <c r="E435" s="114">
        <v>24</v>
      </c>
      <c r="F435" s="114">
        <v>137</v>
      </c>
      <c r="G435" s="114">
        <v>34</v>
      </c>
      <c r="H435" s="114" t="s">
        <v>12</v>
      </c>
      <c r="I435" s="114">
        <v>1</v>
      </c>
      <c r="J435" s="114"/>
      <c r="K435" s="120"/>
      <c r="L435" s="120"/>
      <c r="M435" s="120"/>
      <c r="N435" s="121"/>
      <c r="O435" s="121"/>
      <c r="P435" s="121"/>
      <c r="Q435" s="114"/>
    </row>
    <row r="436" spans="2:17" x14ac:dyDescent="0.25">
      <c r="B436" s="4">
        <v>438</v>
      </c>
      <c r="C436" s="114" t="s">
        <v>280</v>
      </c>
      <c r="D436" s="114" t="s">
        <v>2675</v>
      </c>
      <c r="E436" s="114">
        <v>24</v>
      </c>
      <c r="F436" s="114">
        <v>146</v>
      </c>
      <c r="G436" s="114">
        <v>34</v>
      </c>
      <c r="H436" s="19" t="s">
        <v>26</v>
      </c>
      <c r="I436" s="114"/>
      <c r="J436" s="114">
        <v>1</v>
      </c>
      <c r="K436" s="120"/>
      <c r="L436" s="120"/>
      <c r="M436" s="120"/>
      <c r="N436" s="121"/>
      <c r="O436" s="121"/>
      <c r="P436" s="121"/>
      <c r="Q436" s="114"/>
    </row>
    <row r="437" spans="2:17" x14ac:dyDescent="0.25">
      <c r="B437" s="4">
        <v>439</v>
      </c>
      <c r="C437" s="114" t="s">
        <v>131</v>
      </c>
      <c r="D437" s="114" t="s">
        <v>2891</v>
      </c>
      <c r="E437" s="114">
        <v>24</v>
      </c>
      <c r="F437" s="114">
        <v>119</v>
      </c>
      <c r="G437" s="114">
        <v>33</v>
      </c>
      <c r="H437" s="114" t="s">
        <v>12</v>
      </c>
      <c r="I437" s="114">
        <v>1</v>
      </c>
      <c r="J437" s="114"/>
      <c r="K437" s="120"/>
      <c r="L437" s="120"/>
      <c r="M437" s="120"/>
      <c r="N437" s="121"/>
      <c r="O437" s="121"/>
      <c r="P437" s="121">
        <v>1</v>
      </c>
      <c r="Q437" s="114"/>
    </row>
    <row r="438" spans="2:17" x14ac:dyDescent="0.25">
      <c r="B438" s="4">
        <v>440</v>
      </c>
      <c r="C438" s="114" t="s">
        <v>131</v>
      </c>
      <c r="D438" s="114" t="s">
        <v>2892</v>
      </c>
      <c r="E438" s="114">
        <v>24</v>
      </c>
      <c r="F438" s="114">
        <v>118</v>
      </c>
      <c r="G438" s="114">
        <v>33</v>
      </c>
      <c r="H438" s="114" t="s">
        <v>12</v>
      </c>
      <c r="I438" s="114">
        <v>1</v>
      </c>
      <c r="J438" s="114"/>
      <c r="K438" s="120"/>
      <c r="L438" s="120"/>
      <c r="M438" s="120"/>
      <c r="N438" s="121"/>
      <c r="O438" s="121"/>
      <c r="P438" s="121">
        <v>1</v>
      </c>
      <c r="Q438" s="114"/>
    </row>
    <row r="439" spans="2:17" x14ac:dyDescent="0.25">
      <c r="B439" s="4">
        <v>441</v>
      </c>
      <c r="C439" s="114" t="s">
        <v>280</v>
      </c>
      <c r="D439" s="114" t="s">
        <v>2893</v>
      </c>
      <c r="E439" s="114">
        <v>24</v>
      </c>
      <c r="F439" s="114">
        <v>117</v>
      </c>
      <c r="G439" s="114">
        <v>33</v>
      </c>
      <c r="H439" s="114" t="s">
        <v>12</v>
      </c>
      <c r="I439" s="114">
        <v>1</v>
      </c>
      <c r="J439" s="114"/>
      <c r="K439" s="120"/>
      <c r="L439" s="120"/>
      <c r="M439" s="120"/>
      <c r="N439" s="121"/>
      <c r="O439" s="121"/>
      <c r="P439" s="121">
        <v>1</v>
      </c>
      <c r="Q439" s="114"/>
    </row>
    <row r="440" spans="2:17" x14ac:dyDescent="0.25">
      <c r="B440" s="4">
        <v>442</v>
      </c>
      <c r="C440" s="114" t="s">
        <v>135</v>
      </c>
      <c r="D440" s="114" t="s">
        <v>2894</v>
      </c>
      <c r="E440" s="114">
        <v>24</v>
      </c>
      <c r="F440" s="114">
        <v>112</v>
      </c>
      <c r="G440" s="114">
        <v>32</v>
      </c>
      <c r="H440" s="114" t="s">
        <v>12</v>
      </c>
      <c r="I440" s="114">
        <v>1</v>
      </c>
      <c r="J440" s="114"/>
      <c r="K440" s="120"/>
      <c r="L440" s="120"/>
      <c r="M440" s="120"/>
      <c r="N440" s="121"/>
      <c r="O440" s="121"/>
      <c r="P440" s="121">
        <v>1</v>
      </c>
      <c r="Q440" s="114"/>
    </row>
    <row r="441" spans="2:17" x14ac:dyDescent="0.25">
      <c r="B441" s="4">
        <v>443</v>
      </c>
      <c r="C441" s="114" t="s">
        <v>136</v>
      </c>
      <c r="D441" s="114" t="s">
        <v>466</v>
      </c>
      <c r="E441" s="114">
        <v>24</v>
      </c>
      <c r="F441" s="114">
        <v>115</v>
      </c>
      <c r="G441" s="114">
        <v>32</v>
      </c>
      <c r="H441" s="19" t="s">
        <v>26</v>
      </c>
      <c r="I441" s="114"/>
      <c r="J441" s="114">
        <v>1</v>
      </c>
      <c r="K441" s="120"/>
      <c r="L441" s="120"/>
      <c r="M441" s="120"/>
      <c r="N441" s="121"/>
      <c r="O441" s="121"/>
      <c r="P441" s="121"/>
      <c r="Q441" s="114"/>
    </row>
    <row r="442" spans="2:17" x14ac:dyDescent="0.25">
      <c r="B442" s="4">
        <v>444</v>
      </c>
      <c r="C442" s="114" t="s">
        <v>362</v>
      </c>
      <c r="D442" s="114" t="s">
        <v>2899</v>
      </c>
      <c r="E442" s="114">
        <v>24</v>
      </c>
      <c r="F442" s="114">
        <v>143</v>
      </c>
      <c r="G442" s="114">
        <v>31</v>
      </c>
      <c r="H442" s="114" t="s">
        <v>12</v>
      </c>
      <c r="I442" s="114">
        <v>1</v>
      </c>
      <c r="J442" s="114"/>
      <c r="K442" s="120"/>
      <c r="L442" s="120"/>
      <c r="M442" s="120"/>
      <c r="N442" s="121"/>
      <c r="O442" s="121"/>
      <c r="P442" s="121">
        <v>1</v>
      </c>
      <c r="Q442" s="114"/>
    </row>
    <row r="443" spans="2:17" x14ac:dyDescent="0.25">
      <c r="B443" s="4">
        <v>445</v>
      </c>
      <c r="C443" s="114" t="s">
        <v>2895</v>
      </c>
      <c r="D443" s="114" t="s">
        <v>2900</v>
      </c>
      <c r="E443" s="114">
        <v>24</v>
      </c>
      <c r="F443" s="114">
        <v>138</v>
      </c>
      <c r="G443" s="114">
        <v>31</v>
      </c>
      <c r="H443" s="19" t="s">
        <v>26</v>
      </c>
      <c r="I443" s="114"/>
      <c r="J443" s="114">
        <v>1</v>
      </c>
      <c r="K443" s="120"/>
      <c r="L443" s="120"/>
      <c r="M443" s="120">
        <v>1</v>
      </c>
      <c r="N443" s="121"/>
      <c r="O443" s="121"/>
      <c r="P443" s="121"/>
      <c r="Q443" s="114"/>
    </row>
    <row r="444" spans="2:17" x14ac:dyDescent="0.25">
      <c r="B444" s="4">
        <v>446</v>
      </c>
      <c r="C444" s="114" t="s">
        <v>2896</v>
      </c>
      <c r="D444" s="114" t="s">
        <v>178</v>
      </c>
      <c r="E444" s="114">
        <v>24</v>
      </c>
      <c r="F444" s="114">
        <v>112</v>
      </c>
      <c r="G444" s="114">
        <v>31</v>
      </c>
      <c r="H444" s="19" t="s">
        <v>26</v>
      </c>
      <c r="I444" s="114"/>
      <c r="J444" s="114">
        <v>1</v>
      </c>
      <c r="K444" s="120"/>
      <c r="L444" s="120"/>
      <c r="M444" s="120"/>
      <c r="N444" s="121"/>
      <c r="O444" s="121"/>
      <c r="P444" s="121"/>
      <c r="Q444" s="114"/>
    </row>
    <row r="445" spans="2:17" x14ac:dyDescent="0.25">
      <c r="B445" s="4">
        <v>447</v>
      </c>
      <c r="C445" s="114" t="s">
        <v>1118</v>
      </c>
      <c r="D445" s="114" t="s">
        <v>2901</v>
      </c>
      <c r="E445" s="114">
        <v>24</v>
      </c>
      <c r="F445" s="114">
        <v>107</v>
      </c>
      <c r="G445" s="114">
        <v>31</v>
      </c>
      <c r="H445" s="114" t="s">
        <v>12</v>
      </c>
      <c r="I445" s="114">
        <v>1</v>
      </c>
      <c r="J445" s="114"/>
      <c r="K445" s="120"/>
      <c r="L445" s="120"/>
      <c r="M445" s="120"/>
      <c r="N445" s="121"/>
      <c r="O445" s="121"/>
      <c r="P445" s="121"/>
      <c r="Q445" s="114"/>
    </row>
    <row r="446" spans="2:17" x14ac:dyDescent="0.25">
      <c r="B446" s="4">
        <v>448</v>
      </c>
      <c r="C446" s="114" t="s">
        <v>1055</v>
      </c>
      <c r="D446" s="114" t="s">
        <v>2902</v>
      </c>
      <c r="E446" s="114">
        <v>24</v>
      </c>
      <c r="F446" s="114">
        <v>96</v>
      </c>
      <c r="G446" s="114">
        <v>31</v>
      </c>
      <c r="H446" s="19" t="s">
        <v>26</v>
      </c>
      <c r="I446" s="114"/>
      <c r="J446" s="114">
        <v>1</v>
      </c>
      <c r="K446" s="120"/>
      <c r="L446" s="120"/>
      <c r="M446" s="120"/>
      <c r="N446" s="121"/>
      <c r="O446" s="121"/>
      <c r="P446" s="121"/>
      <c r="Q446" s="114"/>
    </row>
    <row r="447" spans="2:17" x14ac:dyDescent="0.25">
      <c r="B447" s="4">
        <v>449</v>
      </c>
      <c r="C447" s="114" t="s">
        <v>760</v>
      </c>
      <c r="D447" s="114" t="s">
        <v>246</v>
      </c>
      <c r="E447" s="114">
        <v>24</v>
      </c>
      <c r="F447" s="114">
        <v>93</v>
      </c>
      <c r="G447" s="114">
        <v>30</v>
      </c>
      <c r="H447" s="114" t="s">
        <v>12</v>
      </c>
      <c r="I447" s="114">
        <v>1</v>
      </c>
      <c r="J447" s="114"/>
      <c r="K447" s="120"/>
      <c r="L447" s="120"/>
      <c r="M447" s="120"/>
      <c r="N447" s="121"/>
      <c r="O447" s="121"/>
      <c r="P447" s="121">
        <v>1</v>
      </c>
      <c r="Q447" s="114"/>
    </row>
    <row r="448" spans="2:17" x14ac:dyDescent="0.25">
      <c r="B448" s="4">
        <v>450</v>
      </c>
      <c r="C448" s="114" t="s">
        <v>662</v>
      </c>
      <c r="D448" s="114" t="s">
        <v>2627</v>
      </c>
      <c r="E448" s="114">
        <v>24</v>
      </c>
      <c r="F448" s="114">
        <v>113</v>
      </c>
      <c r="G448" s="114">
        <v>30</v>
      </c>
      <c r="H448" s="19" t="s">
        <v>26</v>
      </c>
      <c r="I448" s="114"/>
      <c r="J448" s="114">
        <v>1</v>
      </c>
      <c r="K448" s="120"/>
      <c r="L448" s="120"/>
      <c r="M448" s="120"/>
      <c r="N448" s="121"/>
      <c r="O448" s="121"/>
      <c r="P448" s="121"/>
      <c r="Q448" s="114"/>
    </row>
    <row r="449" spans="2:17" x14ac:dyDescent="0.25">
      <c r="B449" s="4">
        <v>451</v>
      </c>
      <c r="C449" s="114" t="s">
        <v>600</v>
      </c>
      <c r="D449" s="114" t="s">
        <v>6</v>
      </c>
      <c r="E449" s="114">
        <v>24</v>
      </c>
      <c r="F449" s="114">
        <v>139</v>
      </c>
      <c r="G449" s="114">
        <v>30</v>
      </c>
      <c r="H449" s="114" t="s">
        <v>12</v>
      </c>
      <c r="I449" s="114">
        <v>1</v>
      </c>
      <c r="J449" s="114"/>
      <c r="K449" s="120"/>
      <c r="L449" s="120"/>
      <c r="M449" s="120"/>
      <c r="N449" s="121"/>
      <c r="O449" s="121"/>
      <c r="P449" s="121"/>
      <c r="Q449" s="114"/>
    </row>
    <row r="450" spans="2:17" x14ac:dyDescent="0.25">
      <c r="B450" s="4">
        <v>452</v>
      </c>
      <c r="C450" s="114" t="s">
        <v>2897</v>
      </c>
      <c r="D450" s="114" t="s">
        <v>2903</v>
      </c>
      <c r="E450" s="114">
        <v>24</v>
      </c>
      <c r="F450" s="114">
        <v>144</v>
      </c>
      <c r="G450" s="114">
        <v>29</v>
      </c>
      <c r="H450" s="19" t="s">
        <v>26</v>
      </c>
      <c r="I450" s="114"/>
      <c r="J450" s="114">
        <v>1</v>
      </c>
      <c r="K450" s="120"/>
      <c r="L450" s="120"/>
      <c r="M450" s="120"/>
      <c r="N450" s="121"/>
      <c r="O450" s="121"/>
      <c r="P450" s="121"/>
      <c r="Q450" s="114"/>
    </row>
    <row r="451" spans="2:17" x14ac:dyDescent="0.25">
      <c r="B451" s="4">
        <v>453</v>
      </c>
      <c r="C451" s="114" t="s">
        <v>682</v>
      </c>
      <c r="D451" s="114" t="s">
        <v>2904</v>
      </c>
      <c r="E451" s="114">
        <v>24</v>
      </c>
      <c r="F451" s="114">
        <v>146</v>
      </c>
      <c r="G451" s="114">
        <v>29</v>
      </c>
      <c r="H451" s="114" t="s">
        <v>12</v>
      </c>
      <c r="I451" s="114">
        <v>1</v>
      </c>
      <c r="J451" s="114"/>
      <c r="K451" s="120"/>
      <c r="L451" s="120"/>
      <c r="M451" s="120"/>
      <c r="N451" s="121"/>
      <c r="O451" s="121"/>
      <c r="P451" s="121">
        <v>1</v>
      </c>
      <c r="Q451" s="114"/>
    </row>
    <row r="452" spans="2:17" x14ac:dyDescent="0.25">
      <c r="B452" s="4">
        <v>454</v>
      </c>
      <c r="C452" s="114" t="s">
        <v>2898</v>
      </c>
      <c r="D452" s="114" t="s">
        <v>2905</v>
      </c>
      <c r="E452" s="114">
        <v>24</v>
      </c>
      <c r="F452" s="114">
        <v>125</v>
      </c>
      <c r="G452" s="114">
        <v>29</v>
      </c>
      <c r="H452" s="114" t="s">
        <v>12</v>
      </c>
      <c r="I452" s="114">
        <v>1</v>
      </c>
      <c r="J452" s="114"/>
      <c r="K452" s="120"/>
      <c r="L452" s="120"/>
      <c r="M452" s="120"/>
      <c r="N452" s="121"/>
      <c r="O452" s="121"/>
      <c r="P452" s="121"/>
      <c r="Q452" s="114"/>
    </row>
    <row r="453" spans="2:17" x14ac:dyDescent="0.25">
      <c r="B453" s="4">
        <v>455</v>
      </c>
      <c r="C453" s="114" t="s">
        <v>958</v>
      </c>
      <c r="D453" s="114" t="s">
        <v>2909</v>
      </c>
      <c r="E453" s="114">
        <v>24</v>
      </c>
      <c r="F453" s="114">
        <v>121</v>
      </c>
      <c r="G453" s="114">
        <v>29</v>
      </c>
      <c r="H453" s="114" t="s">
        <v>12</v>
      </c>
      <c r="I453" s="114">
        <v>1</v>
      </c>
      <c r="J453" s="114"/>
      <c r="K453" s="120"/>
      <c r="L453" s="120"/>
      <c r="M453" s="120"/>
      <c r="N453" s="121"/>
      <c r="O453" s="121"/>
      <c r="P453" s="121">
        <v>1</v>
      </c>
      <c r="Q453" s="114"/>
    </row>
    <row r="454" spans="2:17" x14ac:dyDescent="0.25">
      <c r="B454" s="4">
        <v>456</v>
      </c>
      <c r="C454" s="114" t="s">
        <v>2906</v>
      </c>
      <c r="D454" s="114" t="s">
        <v>2910</v>
      </c>
      <c r="E454" s="114">
        <v>24</v>
      </c>
      <c r="F454" s="114">
        <v>87</v>
      </c>
      <c r="G454" s="114">
        <v>29</v>
      </c>
      <c r="H454" s="114" t="s">
        <v>12</v>
      </c>
      <c r="I454" s="114">
        <v>1</v>
      </c>
      <c r="J454" s="114"/>
      <c r="K454" s="120"/>
      <c r="L454" s="120"/>
      <c r="M454" s="120"/>
      <c r="N454" s="121"/>
      <c r="O454" s="121"/>
      <c r="P454" s="121"/>
      <c r="Q454" s="114"/>
    </row>
    <row r="455" spans="2:17" x14ac:dyDescent="0.25">
      <c r="B455" s="4">
        <v>457</v>
      </c>
      <c r="C455" s="114" t="s">
        <v>462</v>
      </c>
      <c r="D455" s="114" t="s">
        <v>2911</v>
      </c>
      <c r="E455" s="114">
        <v>24</v>
      </c>
      <c r="F455" s="114">
        <v>92</v>
      </c>
      <c r="G455" s="114">
        <v>28</v>
      </c>
      <c r="H455" s="19" t="s">
        <v>26</v>
      </c>
      <c r="I455" s="114"/>
      <c r="J455" s="114">
        <v>1</v>
      </c>
      <c r="K455" s="120"/>
      <c r="L455" s="120"/>
      <c r="M455" s="120"/>
      <c r="N455" s="121"/>
      <c r="O455" s="121"/>
      <c r="P455" s="121"/>
      <c r="Q455" s="114"/>
    </row>
    <row r="456" spans="2:17" x14ac:dyDescent="0.25">
      <c r="B456" s="4">
        <v>458</v>
      </c>
      <c r="C456" s="114" t="s">
        <v>214</v>
      </c>
      <c r="D456" s="114" t="s">
        <v>2912</v>
      </c>
      <c r="E456" s="114">
        <v>24</v>
      </c>
      <c r="F456" s="114">
        <v>96</v>
      </c>
      <c r="G456" s="114">
        <v>28</v>
      </c>
      <c r="H456" s="114" t="s">
        <v>12</v>
      </c>
      <c r="I456" s="114">
        <v>1</v>
      </c>
      <c r="J456" s="114"/>
      <c r="K456" s="120"/>
      <c r="L456" s="120"/>
      <c r="M456" s="120"/>
      <c r="N456" s="121"/>
      <c r="O456" s="121"/>
      <c r="P456" s="121">
        <v>1</v>
      </c>
      <c r="Q456" s="114"/>
    </row>
    <row r="457" spans="2:17" x14ac:dyDescent="0.25">
      <c r="B457" s="4">
        <v>459</v>
      </c>
      <c r="C457" s="114" t="s">
        <v>131</v>
      </c>
      <c r="D457" s="114" t="s">
        <v>2913</v>
      </c>
      <c r="E457" s="114">
        <v>24</v>
      </c>
      <c r="F457" s="114">
        <v>107</v>
      </c>
      <c r="G457" s="114">
        <v>28</v>
      </c>
      <c r="H457" s="114" t="s">
        <v>12</v>
      </c>
      <c r="I457" s="114">
        <v>1</v>
      </c>
      <c r="J457" s="114"/>
      <c r="K457" s="120"/>
      <c r="L457" s="120"/>
      <c r="M457" s="120"/>
      <c r="N457" s="121"/>
      <c r="O457" s="121"/>
      <c r="P457" s="121">
        <v>1</v>
      </c>
      <c r="Q457" s="114"/>
    </row>
    <row r="458" spans="2:17" x14ac:dyDescent="0.25">
      <c r="B458" s="4">
        <v>460</v>
      </c>
      <c r="C458" s="114" t="s">
        <v>138</v>
      </c>
      <c r="D458" s="114" t="s">
        <v>2914</v>
      </c>
      <c r="E458" s="114">
        <v>24</v>
      </c>
      <c r="F458" s="114">
        <v>108</v>
      </c>
      <c r="G458" s="114">
        <v>28</v>
      </c>
      <c r="H458" s="114" t="s">
        <v>12</v>
      </c>
      <c r="I458" s="114">
        <v>1</v>
      </c>
      <c r="J458" s="114"/>
      <c r="K458" s="120"/>
      <c r="L458" s="120"/>
      <c r="M458" s="120"/>
      <c r="N458" s="121"/>
      <c r="O458" s="121"/>
      <c r="P458" s="121">
        <v>1</v>
      </c>
      <c r="Q458" s="114"/>
    </row>
    <row r="459" spans="2:17" x14ac:dyDescent="0.25">
      <c r="B459" s="4">
        <v>461</v>
      </c>
      <c r="C459" s="114" t="s">
        <v>253</v>
      </c>
      <c r="D459" s="114" t="s">
        <v>2915</v>
      </c>
      <c r="E459" s="114"/>
      <c r="F459" s="114">
        <v>130</v>
      </c>
      <c r="G459" s="114">
        <v>28</v>
      </c>
      <c r="H459" s="114" t="s">
        <v>12</v>
      </c>
      <c r="I459" s="114">
        <v>1</v>
      </c>
      <c r="J459" s="114"/>
      <c r="K459" s="120"/>
      <c r="L459" s="120"/>
      <c r="M459" s="120"/>
      <c r="N459" s="121"/>
      <c r="O459" s="121"/>
      <c r="P459" s="121">
        <v>1</v>
      </c>
      <c r="Q459" s="114"/>
    </row>
    <row r="460" spans="2:17" x14ac:dyDescent="0.25">
      <c r="B460" s="4">
        <v>462</v>
      </c>
      <c r="C460" s="114" t="s">
        <v>2907</v>
      </c>
      <c r="D460" s="114" t="s">
        <v>172</v>
      </c>
      <c r="E460" s="114">
        <v>24</v>
      </c>
      <c r="F460" s="114">
        <v>143</v>
      </c>
      <c r="G460" s="114">
        <v>27</v>
      </c>
      <c r="H460" s="19" t="s">
        <v>26</v>
      </c>
      <c r="I460" s="114"/>
      <c r="J460" s="114">
        <v>1</v>
      </c>
      <c r="K460" s="120"/>
      <c r="L460" s="120"/>
      <c r="M460" s="120"/>
      <c r="N460" s="121"/>
      <c r="O460" s="121"/>
      <c r="P460" s="121"/>
      <c r="Q460" s="114"/>
    </row>
    <row r="461" spans="2:17" x14ac:dyDescent="0.25">
      <c r="B461" s="4">
        <v>463</v>
      </c>
      <c r="C461" s="114" t="s">
        <v>600</v>
      </c>
      <c r="D461" s="114" t="s">
        <v>6</v>
      </c>
      <c r="E461" s="114">
        <v>24</v>
      </c>
      <c r="F461" s="114">
        <v>139</v>
      </c>
      <c r="G461" s="114">
        <v>27</v>
      </c>
      <c r="H461" s="114" t="s">
        <v>12</v>
      </c>
      <c r="I461" s="114">
        <v>1</v>
      </c>
      <c r="J461" s="114"/>
      <c r="K461" s="120"/>
      <c r="L461" s="120"/>
      <c r="M461" s="120"/>
      <c r="N461" s="121"/>
      <c r="O461" s="121"/>
      <c r="P461" s="121"/>
      <c r="Q461" s="114"/>
    </row>
    <row r="462" spans="2:17" x14ac:dyDescent="0.25">
      <c r="B462" s="4">
        <v>464</v>
      </c>
      <c r="C462" s="114" t="s">
        <v>489</v>
      </c>
      <c r="D462" s="114" t="s">
        <v>2916</v>
      </c>
      <c r="E462" s="114">
        <v>24</v>
      </c>
      <c r="F462" s="114">
        <v>117</v>
      </c>
      <c r="G462" s="114">
        <v>27</v>
      </c>
      <c r="H462" s="19" t="s">
        <v>26</v>
      </c>
      <c r="I462" s="114"/>
      <c r="J462" s="114">
        <v>1</v>
      </c>
      <c r="K462" s="120"/>
      <c r="L462" s="120"/>
      <c r="M462" s="120"/>
      <c r="N462" s="121"/>
      <c r="O462" s="121"/>
      <c r="P462" s="121"/>
      <c r="Q462" s="114"/>
    </row>
    <row r="463" spans="2:17" x14ac:dyDescent="0.25">
      <c r="B463" s="4">
        <v>465</v>
      </c>
      <c r="C463" s="114" t="s">
        <v>664</v>
      </c>
      <c r="D463" s="114" t="s">
        <v>2917</v>
      </c>
      <c r="E463" s="114">
        <v>24</v>
      </c>
      <c r="F463" s="114">
        <v>116</v>
      </c>
      <c r="G463" s="114">
        <v>27</v>
      </c>
      <c r="H463" s="114" t="s">
        <v>12</v>
      </c>
      <c r="I463" s="114">
        <v>1</v>
      </c>
      <c r="J463" s="114"/>
      <c r="K463" s="120"/>
      <c r="L463" s="120"/>
      <c r="M463" s="120"/>
      <c r="N463" s="121"/>
      <c r="O463" s="121"/>
      <c r="P463" s="121"/>
      <c r="Q463" s="114"/>
    </row>
    <row r="464" spans="2:17" x14ac:dyDescent="0.25">
      <c r="B464" s="4">
        <v>466</v>
      </c>
      <c r="C464" s="114" t="s">
        <v>726</v>
      </c>
      <c r="D464" s="114" t="s">
        <v>67</v>
      </c>
      <c r="E464" s="114">
        <v>24</v>
      </c>
      <c r="F464" s="114">
        <v>109</v>
      </c>
      <c r="G464" s="114">
        <v>27</v>
      </c>
      <c r="H464" s="114" t="s">
        <v>12</v>
      </c>
      <c r="I464" s="114">
        <v>1</v>
      </c>
      <c r="J464" s="114"/>
      <c r="K464" s="120"/>
      <c r="L464" s="120"/>
      <c r="M464" s="120"/>
      <c r="N464" s="121"/>
      <c r="O464" s="121"/>
      <c r="P464" s="121"/>
      <c r="Q464" s="114"/>
    </row>
    <row r="465" spans="1:17" x14ac:dyDescent="0.25">
      <c r="B465" s="4">
        <v>467</v>
      </c>
      <c r="C465" s="114" t="s">
        <v>135</v>
      </c>
      <c r="D465" s="114" t="s">
        <v>647</v>
      </c>
      <c r="E465" s="114">
        <v>24</v>
      </c>
      <c r="F465" s="114">
        <v>105</v>
      </c>
      <c r="G465" s="114">
        <v>27</v>
      </c>
      <c r="H465" s="114" t="s">
        <v>12</v>
      </c>
      <c r="I465" s="114">
        <v>1</v>
      </c>
      <c r="J465" s="114"/>
      <c r="K465" s="120"/>
      <c r="L465" s="120"/>
      <c r="M465" s="120"/>
      <c r="N465" s="121"/>
      <c r="O465" s="121"/>
      <c r="P465" s="121">
        <v>1</v>
      </c>
      <c r="Q465" s="114"/>
    </row>
    <row r="466" spans="1:17" x14ac:dyDescent="0.25">
      <c r="B466" s="4">
        <v>468</v>
      </c>
      <c r="C466" s="114" t="s">
        <v>188</v>
      </c>
      <c r="D466" s="114" t="s">
        <v>2918</v>
      </c>
      <c r="E466" s="114">
        <v>24</v>
      </c>
      <c r="F466" s="114">
        <v>98</v>
      </c>
      <c r="G466" s="114">
        <v>27</v>
      </c>
      <c r="H466" s="19" t="s">
        <v>26</v>
      </c>
      <c r="I466" s="114"/>
      <c r="J466" s="114">
        <v>1</v>
      </c>
      <c r="K466" s="120"/>
      <c r="L466" s="120"/>
      <c r="M466" s="120"/>
      <c r="N466" s="121"/>
      <c r="O466" s="121"/>
      <c r="P466" s="121"/>
      <c r="Q466" s="114"/>
    </row>
    <row r="467" spans="1:17" x14ac:dyDescent="0.25">
      <c r="B467" s="4">
        <v>469</v>
      </c>
      <c r="C467" s="114" t="s">
        <v>2710</v>
      </c>
      <c r="D467" s="114" t="s">
        <v>529</v>
      </c>
      <c r="E467" s="114">
        <v>24</v>
      </c>
      <c r="F467" s="114">
        <v>84</v>
      </c>
      <c r="G467" s="114">
        <v>27</v>
      </c>
      <c r="H467" s="114" t="s">
        <v>12</v>
      </c>
      <c r="I467" s="114">
        <v>1</v>
      </c>
      <c r="J467" s="114"/>
      <c r="K467" s="120"/>
      <c r="L467" s="120"/>
      <c r="M467" s="120"/>
      <c r="N467" s="121"/>
      <c r="O467" s="121"/>
      <c r="P467" s="121"/>
      <c r="Q467" s="114"/>
    </row>
    <row r="468" spans="1:17" x14ac:dyDescent="0.25">
      <c r="B468" s="4">
        <v>470</v>
      </c>
      <c r="C468" s="114" t="s">
        <v>2908</v>
      </c>
      <c r="D468" s="114" t="s">
        <v>2563</v>
      </c>
      <c r="E468" s="114">
        <v>24</v>
      </c>
      <c r="F468" s="114">
        <v>79</v>
      </c>
      <c r="G468" s="114">
        <v>26</v>
      </c>
      <c r="H468" s="114" t="s">
        <v>12</v>
      </c>
      <c r="I468" s="114">
        <v>1</v>
      </c>
      <c r="J468" s="114"/>
      <c r="K468" s="120"/>
      <c r="L468" s="120"/>
      <c r="M468" s="120"/>
      <c r="N468" s="121"/>
      <c r="O468" s="121"/>
      <c r="P468" s="121">
        <v>1</v>
      </c>
      <c r="Q468" s="114"/>
    </row>
    <row r="469" spans="1:17" x14ac:dyDescent="0.25">
      <c r="B469" s="4">
        <v>471</v>
      </c>
      <c r="C469" s="114" t="s">
        <v>234</v>
      </c>
      <c r="D469" s="114" t="s">
        <v>2670</v>
      </c>
      <c r="E469" s="114">
        <v>24</v>
      </c>
      <c r="F469" s="114">
        <v>114</v>
      </c>
      <c r="G469" s="114">
        <v>29</v>
      </c>
      <c r="H469" s="114" t="s">
        <v>12</v>
      </c>
      <c r="I469" s="114">
        <v>1</v>
      </c>
      <c r="J469" s="114"/>
      <c r="K469" s="120"/>
      <c r="L469" s="120"/>
      <c r="M469" s="120"/>
      <c r="N469" s="121"/>
      <c r="O469" s="121"/>
      <c r="P469" s="121"/>
      <c r="Q469" s="114"/>
    </row>
    <row r="470" spans="1:17" x14ac:dyDescent="0.25">
      <c r="B470" s="4">
        <v>472</v>
      </c>
      <c r="C470" s="114" t="s">
        <v>1055</v>
      </c>
      <c r="D470" s="114" t="s">
        <v>2919</v>
      </c>
      <c r="E470" s="114">
        <v>24</v>
      </c>
      <c r="F470" s="114">
        <v>84</v>
      </c>
      <c r="G470" s="114">
        <v>25</v>
      </c>
      <c r="H470" s="114" t="s">
        <v>12</v>
      </c>
      <c r="I470" s="114">
        <v>1</v>
      </c>
      <c r="J470" s="114"/>
      <c r="K470" s="120"/>
      <c r="L470" s="120"/>
      <c r="M470" s="120"/>
      <c r="N470" s="121"/>
      <c r="O470" s="121"/>
      <c r="P470" s="121"/>
      <c r="Q470" s="114"/>
    </row>
    <row r="471" spans="1:17" x14ac:dyDescent="0.25">
      <c r="A471" s="119" t="s">
        <v>2921</v>
      </c>
      <c r="B471" s="4">
        <v>473</v>
      </c>
      <c r="C471" s="114" t="s">
        <v>2920</v>
      </c>
      <c r="D471" s="114" t="s">
        <v>2925</v>
      </c>
      <c r="E471" s="114">
        <v>24</v>
      </c>
      <c r="F471" s="114">
        <v>8</v>
      </c>
      <c r="G471" s="114">
        <v>26</v>
      </c>
      <c r="H471" s="114" t="s">
        <v>12</v>
      </c>
      <c r="I471" s="114">
        <v>1</v>
      </c>
      <c r="J471" s="114"/>
      <c r="K471" s="120"/>
      <c r="L471" s="120"/>
      <c r="M471" s="120"/>
      <c r="N471" s="121"/>
      <c r="O471" s="121"/>
      <c r="P471" s="121">
        <v>1</v>
      </c>
      <c r="Q471" s="114"/>
    </row>
    <row r="472" spans="1:17" x14ac:dyDescent="0.25">
      <c r="B472" s="4">
        <v>474</v>
      </c>
      <c r="C472" s="114" t="s">
        <v>655</v>
      </c>
      <c r="D472" s="114" t="s">
        <v>653</v>
      </c>
      <c r="E472" s="114">
        <v>24</v>
      </c>
      <c r="F472" s="114">
        <v>21</v>
      </c>
      <c r="G472" s="114">
        <v>26</v>
      </c>
      <c r="H472" s="114" t="s">
        <v>12</v>
      </c>
      <c r="I472" s="114">
        <v>1</v>
      </c>
      <c r="J472" s="114"/>
      <c r="K472" s="120"/>
      <c r="L472" s="120"/>
      <c r="M472" s="120"/>
      <c r="N472" s="121"/>
      <c r="O472" s="121"/>
      <c r="P472" s="121">
        <v>1</v>
      </c>
      <c r="Q472" s="114"/>
    </row>
    <row r="473" spans="1:17" x14ac:dyDescent="0.25">
      <c r="B473" s="4">
        <v>475</v>
      </c>
      <c r="C473" s="114" t="s">
        <v>2922</v>
      </c>
      <c r="D473" s="114" t="s">
        <v>461</v>
      </c>
      <c r="E473" s="114">
        <v>24</v>
      </c>
      <c r="F473" s="114">
        <v>59</v>
      </c>
      <c r="G473" s="114">
        <v>27</v>
      </c>
      <c r="H473" s="19" t="s">
        <v>26</v>
      </c>
      <c r="I473" s="114"/>
      <c r="J473" s="114">
        <v>1</v>
      </c>
      <c r="K473" s="120"/>
      <c r="L473" s="120"/>
      <c r="M473" s="120"/>
      <c r="N473" s="121"/>
      <c r="O473" s="121"/>
      <c r="P473" s="121"/>
      <c r="Q473" s="114" t="s">
        <v>2940</v>
      </c>
    </row>
    <row r="474" spans="1:17" x14ac:dyDescent="0.25">
      <c r="B474" s="4">
        <v>476</v>
      </c>
      <c r="C474" s="114" t="s">
        <v>602</v>
      </c>
      <c r="D474" s="114" t="s">
        <v>2926</v>
      </c>
      <c r="E474" s="114">
        <v>24</v>
      </c>
      <c r="F474" s="114">
        <v>20</v>
      </c>
      <c r="G474" s="114">
        <v>27</v>
      </c>
      <c r="H474" s="114" t="s">
        <v>12</v>
      </c>
      <c r="I474" s="114">
        <v>1</v>
      </c>
      <c r="J474" s="114"/>
      <c r="K474" s="120"/>
      <c r="L474" s="120"/>
      <c r="M474" s="120"/>
      <c r="N474" s="121"/>
      <c r="O474" s="121"/>
      <c r="P474" s="121">
        <v>1</v>
      </c>
      <c r="Q474" s="114"/>
    </row>
    <row r="475" spans="1:17" x14ac:dyDescent="0.25">
      <c r="B475" s="4">
        <v>477</v>
      </c>
      <c r="C475" s="114" t="s">
        <v>251</v>
      </c>
      <c r="D475" s="114" t="s">
        <v>476</v>
      </c>
      <c r="E475" s="114">
        <v>24</v>
      </c>
      <c r="F475" s="114">
        <v>19</v>
      </c>
      <c r="G475" s="114">
        <v>28</v>
      </c>
      <c r="H475" s="19" t="s">
        <v>26</v>
      </c>
      <c r="I475" s="114"/>
      <c r="J475" s="114">
        <v>1</v>
      </c>
      <c r="K475" s="120"/>
      <c r="L475" s="120"/>
      <c r="M475" s="120"/>
      <c r="N475" s="121"/>
      <c r="O475" s="121"/>
      <c r="P475" s="121"/>
      <c r="Q475" s="114"/>
    </row>
    <row r="476" spans="1:17" x14ac:dyDescent="0.25">
      <c r="B476" s="4">
        <v>478</v>
      </c>
      <c r="C476" s="114" t="s">
        <v>2923</v>
      </c>
      <c r="D476" s="114" t="s">
        <v>2927</v>
      </c>
      <c r="E476" s="114">
        <v>24</v>
      </c>
      <c r="F476" s="114">
        <v>32</v>
      </c>
      <c r="G476" s="114">
        <v>28</v>
      </c>
      <c r="H476" s="19" t="s">
        <v>26</v>
      </c>
      <c r="I476" s="114"/>
      <c r="J476" s="114">
        <v>1</v>
      </c>
      <c r="K476" s="120"/>
      <c r="L476" s="120"/>
      <c r="M476" s="120"/>
      <c r="N476" s="121"/>
      <c r="O476" s="121"/>
      <c r="P476" s="121"/>
      <c r="Q476" s="114"/>
    </row>
    <row r="477" spans="1:17" x14ac:dyDescent="0.25">
      <c r="B477" s="4">
        <v>479</v>
      </c>
      <c r="C477" s="114" t="s">
        <v>253</v>
      </c>
      <c r="D477" s="114" t="s">
        <v>480</v>
      </c>
      <c r="E477" s="114">
        <v>24</v>
      </c>
      <c r="F477" s="114">
        <v>33</v>
      </c>
      <c r="G477" s="114">
        <v>28</v>
      </c>
      <c r="H477" s="114" t="s">
        <v>12</v>
      </c>
      <c r="I477" s="114">
        <v>1</v>
      </c>
      <c r="J477" s="114"/>
      <c r="K477" s="120"/>
      <c r="L477" s="120"/>
      <c r="M477" s="120"/>
      <c r="N477" s="121"/>
      <c r="O477" s="121"/>
      <c r="P477" s="121">
        <v>1</v>
      </c>
      <c r="Q477" s="114"/>
    </row>
    <row r="478" spans="1:17" x14ac:dyDescent="0.25">
      <c r="B478" s="4">
        <v>480</v>
      </c>
      <c r="C478" s="114" t="s">
        <v>1027</v>
      </c>
      <c r="D478" s="114" t="s">
        <v>2722</v>
      </c>
      <c r="E478" s="114">
        <v>24</v>
      </c>
      <c r="F478" s="114">
        <v>39</v>
      </c>
      <c r="G478" s="114">
        <v>29</v>
      </c>
      <c r="H478" s="114" t="s">
        <v>12</v>
      </c>
      <c r="I478" s="114">
        <v>1</v>
      </c>
      <c r="J478" s="114"/>
      <c r="K478" s="120"/>
      <c r="L478" s="120"/>
      <c r="M478" s="120"/>
      <c r="N478" s="121"/>
      <c r="O478" s="121"/>
      <c r="P478" s="121"/>
      <c r="Q478" s="114"/>
    </row>
    <row r="479" spans="1:17" x14ac:dyDescent="0.25">
      <c r="B479" s="4">
        <v>481</v>
      </c>
      <c r="C479" s="114" t="s">
        <v>234</v>
      </c>
      <c r="D479" s="114" t="s">
        <v>2928</v>
      </c>
      <c r="E479" s="114">
        <v>24</v>
      </c>
      <c r="F479" s="114">
        <v>55</v>
      </c>
      <c r="G479" s="114">
        <v>30</v>
      </c>
      <c r="H479" s="114" t="s">
        <v>12</v>
      </c>
      <c r="I479" s="114">
        <v>1</v>
      </c>
      <c r="J479" s="114"/>
      <c r="K479" s="120"/>
      <c r="L479" s="120"/>
      <c r="M479" s="120"/>
      <c r="N479" s="121"/>
      <c r="O479" s="121"/>
      <c r="P479" s="121">
        <v>1</v>
      </c>
      <c r="Q479" s="114"/>
    </row>
    <row r="480" spans="1:17" x14ac:dyDescent="0.25">
      <c r="B480" s="4">
        <v>482</v>
      </c>
      <c r="C480" s="114" t="s">
        <v>1055</v>
      </c>
      <c r="D480" s="114" t="s">
        <v>2929</v>
      </c>
      <c r="E480" s="114">
        <v>24</v>
      </c>
      <c r="F480" s="114">
        <v>51</v>
      </c>
      <c r="G480" s="114">
        <v>30</v>
      </c>
      <c r="H480" s="114" t="s">
        <v>12</v>
      </c>
      <c r="I480" s="114">
        <v>1</v>
      </c>
      <c r="J480" s="114"/>
      <c r="K480" s="120"/>
      <c r="L480" s="120"/>
      <c r="M480" s="120"/>
      <c r="N480" s="121"/>
      <c r="O480" s="121"/>
      <c r="P480" s="121">
        <v>1</v>
      </c>
      <c r="Q480" s="114"/>
    </row>
    <row r="481" spans="2:17" x14ac:dyDescent="0.25">
      <c r="B481" s="4">
        <v>483</v>
      </c>
      <c r="C481" s="114" t="s">
        <v>2092</v>
      </c>
      <c r="D481" s="114" t="s">
        <v>2930</v>
      </c>
      <c r="E481" s="114">
        <v>24</v>
      </c>
      <c r="F481" s="114">
        <v>45</v>
      </c>
      <c r="G481" s="114">
        <v>30</v>
      </c>
      <c r="H481" s="114" t="s">
        <v>12</v>
      </c>
      <c r="I481" s="114">
        <v>1</v>
      </c>
      <c r="J481" s="114"/>
      <c r="K481" s="120"/>
      <c r="L481" s="120"/>
      <c r="M481" s="120"/>
      <c r="N481" s="121"/>
      <c r="O481" s="121"/>
      <c r="P481" s="121">
        <v>1</v>
      </c>
      <c r="Q481" s="114"/>
    </row>
    <row r="482" spans="2:17" x14ac:dyDescent="0.25">
      <c r="B482" s="4">
        <v>484</v>
      </c>
      <c r="C482" s="114" t="s">
        <v>1982</v>
      </c>
      <c r="D482" s="114" t="s">
        <v>702</v>
      </c>
      <c r="E482" s="114">
        <v>24</v>
      </c>
      <c r="F482" s="114">
        <v>25</v>
      </c>
      <c r="G482" s="114">
        <v>30</v>
      </c>
      <c r="H482" s="114" t="s">
        <v>12</v>
      </c>
      <c r="I482" s="114">
        <v>1</v>
      </c>
      <c r="J482" s="114"/>
      <c r="K482" s="120"/>
      <c r="L482" s="120"/>
      <c r="M482" s="120"/>
      <c r="N482" s="121"/>
      <c r="O482" s="121"/>
      <c r="P482" s="121">
        <v>1</v>
      </c>
      <c r="Q482" s="114"/>
    </row>
    <row r="483" spans="2:17" x14ac:dyDescent="0.25">
      <c r="B483" s="4">
        <v>485</v>
      </c>
      <c r="C483" s="114" t="s">
        <v>138</v>
      </c>
      <c r="D483" s="114" t="s">
        <v>2931</v>
      </c>
      <c r="E483" s="114">
        <v>24</v>
      </c>
      <c r="F483" s="114">
        <v>23</v>
      </c>
      <c r="G483" s="114">
        <v>30</v>
      </c>
      <c r="H483" s="114" t="s">
        <v>12</v>
      </c>
      <c r="I483" s="114">
        <v>1</v>
      </c>
      <c r="J483" s="114"/>
      <c r="K483" s="120"/>
      <c r="L483" s="120"/>
      <c r="M483" s="120"/>
      <c r="N483" s="121"/>
      <c r="O483" s="121"/>
      <c r="P483" s="121"/>
      <c r="Q483" s="114"/>
    </row>
    <row r="484" spans="2:17" x14ac:dyDescent="0.25">
      <c r="B484" s="4">
        <v>486</v>
      </c>
      <c r="C484" s="114" t="s">
        <v>139</v>
      </c>
      <c r="D484" s="114" t="s">
        <v>2932</v>
      </c>
      <c r="E484" s="114">
        <v>24</v>
      </c>
      <c r="F484" s="114">
        <v>16</v>
      </c>
      <c r="G484" s="114">
        <v>30</v>
      </c>
      <c r="H484" s="114" t="s">
        <v>12</v>
      </c>
      <c r="I484" s="114">
        <v>1</v>
      </c>
      <c r="J484" s="114"/>
      <c r="K484" s="120"/>
      <c r="L484" s="120"/>
      <c r="M484" s="120"/>
      <c r="N484" s="121"/>
      <c r="O484" s="121"/>
      <c r="P484" s="121"/>
      <c r="Q484" s="114"/>
    </row>
    <row r="485" spans="2:17" x14ac:dyDescent="0.25">
      <c r="B485" s="4">
        <v>487</v>
      </c>
      <c r="C485" s="114" t="s">
        <v>640</v>
      </c>
      <c r="D485" s="114" t="s">
        <v>2933</v>
      </c>
      <c r="E485" s="114">
        <v>24</v>
      </c>
      <c r="F485" s="114">
        <v>61</v>
      </c>
      <c r="G485" s="114">
        <v>31</v>
      </c>
      <c r="H485" s="19" t="s">
        <v>26</v>
      </c>
      <c r="I485" s="114"/>
      <c r="J485" s="114">
        <v>1</v>
      </c>
      <c r="K485" s="120"/>
      <c r="L485" s="120"/>
      <c r="M485" s="120"/>
      <c r="N485" s="121"/>
      <c r="O485" s="121"/>
      <c r="P485" s="121"/>
      <c r="Q485" s="114"/>
    </row>
    <row r="486" spans="2:17" x14ac:dyDescent="0.25">
      <c r="B486" s="4">
        <v>488</v>
      </c>
      <c r="C486" s="114" t="s">
        <v>932</v>
      </c>
      <c r="D486" s="114" t="s">
        <v>2426</v>
      </c>
      <c r="E486" s="114">
        <v>24</v>
      </c>
      <c r="F486" s="114">
        <v>63</v>
      </c>
      <c r="G486" s="114">
        <v>31</v>
      </c>
      <c r="H486" s="19" t="s">
        <v>26</v>
      </c>
      <c r="I486" s="114"/>
      <c r="J486" s="114">
        <v>1</v>
      </c>
      <c r="K486" s="120"/>
      <c r="L486" s="120"/>
      <c r="M486" s="120"/>
      <c r="N486" s="121"/>
      <c r="O486" s="121"/>
      <c r="P486" s="121"/>
      <c r="Q486" s="114"/>
    </row>
    <row r="487" spans="2:17" x14ac:dyDescent="0.25">
      <c r="B487" s="4">
        <v>489</v>
      </c>
      <c r="C487" s="114" t="s">
        <v>135</v>
      </c>
      <c r="D487" s="114" t="s">
        <v>2934</v>
      </c>
      <c r="E487" s="114">
        <v>24</v>
      </c>
      <c r="F487" s="114">
        <v>55</v>
      </c>
      <c r="G487" s="114">
        <v>32</v>
      </c>
      <c r="H487" s="19" t="s">
        <v>26</v>
      </c>
      <c r="I487" s="114"/>
      <c r="J487" s="114">
        <v>1</v>
      </c>
      <c r="K487" s="120"/>
      <c r="L487" s="120"/>
      <c r="M487" s="120"/>
      <c r="N487" s="121"/>
      <c r="O487" s="121"/>
      <c r="P487" s="121"/>
      <c r="Q487" s="114"/>
    </row>
    <row r="488" spans="2:17" x14ac:dyDescent="0.25">
      <c r="B488" s="4">
        <v>490</v>
      </c>
      <c r="C488" s="114" t="s">
        <v>280</v>
      </c>
      <c r="D488" s="114" t="s">
        <v>687</v>
      </c>
      <c r="E488" s="114">
        <v>24</v>
      </c>
      <c r="F488" s="114">
        <v>31</v>
      </c>
      <c r="G488" s="114">
        <v>33</v>
      </c>
      <c r="H488" s="19" t="s">
        <v>26</v>
      </c>
      <c r="I488" s="114"/>
      <c r="J488" s="114">
        <v>1</v>
      </c>
      <c r="K488" s="120"/>
      <c r="L488" s="120"/>
      <c r="M488" s="120"/>
      <c r="N488" s="121"/>
      <c r="O488" s="121"/>
      <c r="P488" s="121"/>
      <c r="Q488" s="114"/>
    </row>
    <row r="489" spans="2:17" x14ac:dyDescent="0.25">
      <c r="B489" s="4">
        <v>491</v>
      </c>
      <c r="C489" s="114" t="s">
        <v>627</v>
      </c>
      <c r="D489" s="114" t="s">
        <v>2334</v>
      </c>
      <c r="E489" s="114">
        <v>24</v>
      </c>
      <c r="F489" s="114">
        <v>16</v>
      </c>
      <c r="G489" s="114">
        <v>32</v>
      </c>
      <c r="H489" s="19" t="s">
        <v>26</v>
      </c>
      <c r="I489" s="114"/>
      <c r="J489" s="114">
        <v>1</v>
      </c>
      <c r="K489" s="120"/>
      <c r="L489" s="120"/>
      <c r="M489" s="120"/>
      <c r="N489" s="121"/>
      <c r="O489" s="121"/>
      <c r="P489" s="121"/>
      <c r="Q489" s="114"/>
    </row>
    <row r="490" spans="2:17" x14ac:dyDescent="0.25">
      <c r="B490" s="4">
        <v>492</v>
      </c>
      <c r="C490" s="114" t="s">
        <v>402</v>
      </c>
      <c r="D490" s="114" t="s">
        <v>2935</v>
      </c>
      <c r="E490" s="114">
        <v>24</v>
      </c>
      <c r="F490" s="114">
        <v>21</v>
      </c>
      <c r="G490" s="114">
        <v>33</v>
      </c>
      <c r="H490" s="19" t="s">
        <v>26</v>
      </c>
      <c r="I490" s="114"/>
      <c r="J490" s="114">
        <v>1</v>
      </c>
      <c r="K490" s="120"/>
      <c r="L490" s="120"/>
      <c r="M490" s="120"/>
      <c r="N490" s="121"/>
      <c r="O490" s="121"/>
      <c r="P490" s="121"/>
      <c r="Q490" s="114"/>
    </row>
    <row r="491" spans="2:17" x14ac:dyDescent="0.25">
      <c r="B491" s="4">
        <v>493</v>
      </c>
      <c r="C491" s="114" t="s">
        <v>135</v>
      </c>
      <c r="D491" s="114" t="s">
        <v>2936</v>
      </c>
      <c r="E491" s="114">
        <v>24</v>
      </c>
      <c r="F491" s="114">
        <v>50</v>
      </c>
      <c r="G491" s="114">
        <v>33</v>
      </c>
      <c r="H491" s="114" t="s">
        <v>12</v>
      </c>
      <c r="I491" s="114">
        <v>1</v>
      </c>
      <c r="J491" s="114"/>
      <c r="K491" s="120"/>
      <c r="L491" s="120"/>
      <c r="M491" s="120"/>
      <c r="N491" s="121"/>
      <c r="O491" s="121"/>
      <c r="P491" s="121">
        <v>1</v>
      </c>
      <c r="Q491" s="114"/>
    </row>
    <row r="492" spans="2:17" x14ac:dyDescent="0.25">
      <c r="B492" s="4">
        <v>494</v>
      </c>
      <c r="C492" s="114" t="s">
        <v>659</v>
      </c>
      <c r="D492" s="114" t="s">
        <v>724</v>
      </c>
      <c r="E492" s="114">
        <v>24</v>
      </c>
      <c r="F492" s="114">
        <v>58</v>
      </c>
      <c r="G492" s="114">
        <v>34</v>
      </c>
      <c r="H492" s="114" t="s">
        <v>12</v>
      </c>
      <c r="I492" s="114">
        <v>1</v>
      </c>
      <c r="J492" s="114"/>
      <c r="K492" s="120"/>
      <c r="L492" s="120"/>
      <c r="M492" s="120"/>
      <c r="N492" s="121"/>
      <c r="O492" s="121"/>
      <c r="P492" s="121">
        <v>1</v>
      </c>
      <c r="Q492" s="114"/>
    </row>
    <row r="493" spans="2:17" x14ac:dyDescent="0.25">
      <c r="B493" s="4">
        <v>495</v>
      </c>
      <c r="C493" s="114" t="s">
        <v>2924</v>
      </c>
      <c r="D493" s="114" t="s">
        <v>2334</v>
      </c>
      <c r="E493" s="114">
        <v>24</v>
      </c>
      <c r="F493" s="114">
        <v>39</v>
      </c>
      <c r="G493" s="114">
        <v>34</v>
      </c>
      <c r="H493" s="19" t="s">
        <v>26</v>
      </c>
      <c r="I493" s="114"/>
      <c r="J493" s="114">
        <v>1</v>
      </c>
      <c r="K493" s="120"/>
      <c r="L493" s="120"/>
      <c r="M493" s="120"/>
      <c r="N493" s="121"/>
      <c r="O493" s="121"/>
      <c r="P493" s="121"/>
      <c r="Q493" s="114"/>
    </row>
    <row r="494" spans="2:17" x14ac:dyDescent="0.25">
      <c r="B494" s="4">
        <v>496</v>
      </c>
      <c r="C494" s="114" t="s">
        <v>137</v>
      </c>
      <c r="D494" s="114" t="s">
        <v>2937</v>
      </c>
      <c r="E494" s="114">
        <v>24</v>
      </c>
      <c r="F494" s="114">
        <v>25</v>
      </c>
      <c r="G494" s="114">
        <v>33</v>
      </c>
      <c r="H494" s="19" t="s">
        <v>26</v>
      </c>
      <c r="I494" s="114"/>
      <c r="J494" s="114">
        <v>1</v>
      </c>
      <c r="K494" s="120"/>
      <c r="L494" s="120"/>
      <c r="M494" s="120"/>
      <c r="N494" s="121"/>
      <c r="O494" s="121"/>
      <c r="P494" s="121"/>
      <c r="Q494" s="114"/>
    </row>
    <row r="495" spans="2:17" x14ac:dyDescent="0.25">
      <c r="B495" s="4">
        <v>497</v>
      </c>
      <c r="C495" s="114" t="s">
        <v>632</v>
      </c>
      <c r="D495" s="114" t="s">
        <v>178</v>
      </c>
      <c r="E495" s="114">
        <v>24</v>
      </c>
      <c r="F495" s="114">
        <v>19</v>
      </c>
      <c r="G495" s="114">
        <v>33</v>
      </c>
      <c r="H495" s="114" t="s">
        <v>12</v>
      </c>
      <c r="I495" s="114">
        <v>1</v>
      </c>
      <c r="J495" s="114"/>
      <c r="K495" s="120"/>
      <c r="L495" s="120"/>
      <c r="M495" s="120"/>
      <c r="N495" s="121"/>
      <c r="O495" s="121"/>
      <c r="P495" s="121">
        <v>1</v>
      </c>
      <c r="Q495" s="114"/>
    </row>
    <row r="496" spans="2:17" x14ac:dyDescent="0.25">
      <c r="B496" s="4">
        <v>498</v>
      </c>
      <c r="C496" s="114" t="s">
        <v>135</v>
      </c>
      <c r="D496" s="114" t="s">
        <v>2938</v>
      </c>
      <c r="E496" s="114">
        <v>24</v>
      </c>
      <c r="F496" s="114">
        <v>7</v>
      </c>
      <c r="G496" s="114">
        <v>33</v>
      </c>
      <c r="H496" s="19" t="s">
        <v>26</v>
      </c>
      <c r="I496" s="114"/>
      <c r="J496" s="114">
        <v>1</v>
      </c>
      <c r="K496" s="120"/>
      <c r="L496" s="120"/>
      <c r="M496" s="120"/>
      <c r="N496" s="121"/>
      <c r="O496" s="121"/>
      <c r="P496" s="121"/>
      <c r="Q496" s="114"/>
    </row>
    <row r="497" spans="2:17" x14ac:dyDescent="0.25">
      <c r="B497" s="4">
        <v>499</v>
      </c>
      <c r="C497" s="114" t="s">
        <v>600</v>
      </c>
      <c r="D497" s="114" t="s">
        <v>2389</v>
      </c>
      <c r="E497" s="114">
        <v>24</v>
      </c>
      <c r="F497" s="114">
        <v>25</v>
      </c>
      <c r="G497" s="114">
        <v>34</v>
      </c>
      <c r="H497" s="19" t="s">
        <v>26</v>
      </c>
      <c r="I497" s="114"/>
      <c r="J497" s="114">
        <v>1</v>
      </c>
      <c r="K497" s="120"/>
      <c r="L497" s="120"/>
      <c r="M497" s="120"/>
      <c r="N497" s="121"/>
      <c r="O497" s="121"/>
      <c r="P497" s="121"/>
      <c r="Q497" s="114"/>
    </row>
    <row r="498" spans="2:17" x14ac:dyDescent="0.25">
      <c r="B498" s="4">
        <v>500</v>
      </c>
      <c r="C498" s="114" t="s">
        <v>187</v>
      </c>
      <c r="D498" s="114" t="s">
        <v>2939</v>
      </c>
      <c r="E498" s="114">
        <v>24</v>
      </c>
      <c r="F498" s="114">
        <v>44</v>
      </c>
      <c r="G498" s="114">
        <v>34</v>
      </c>
      <c r="H498" s="19" t="s">
        <v>26</v>
      </c>
      <c r="I498" s="114"/>
      <c r="J498" s="114">
        <v>1</v>
      </c>
      <c r="K498" s="120"/>
      <c r="L498" s="120"/>
      <c r="M498" s="120"/>
      <c r="N498" s="121"/>
      <c r="O498" s="121"/>
      <c r="P498" s="121"/>
      <c r="Q498" s="114"/>
    </row>
    <row r="499" spans="2:17" x14ac:dyDescent="0.25">
      <c r="B499" s="4">
        <v>501</v>
      </c>
      <c r="C499" s="114" t="s">
        <v>712</v>
      </c>
      <c r="D499" s="114" t="s">
        <v>2941</v>
      </c>
      <c r="E499" s="114">
        <v>24</v>
      </c>
      <c r="F499" s="114">
        <v>72</v>
      </c>
      <c r="G499" s="114">
        <v>36</v>
      </c>
      <c r="H499" s="114" t="s">
        <v>12</v>
      </c>
      <c r="I499" s="114">
        <v>1</v>
      </c>
      <c r="J499" s="114"/>
      <c r="K499" s="120"/>
      <c r="L499" s="120"/>
      <c r="M499" s="120"/>
      <c r="N499" s="121"/>
      <c r="O499" s="121"/>
      <c r="P499" s="121">
        <v>1</v>
      </c>
      <c r="Q499" s="114"/>
    </row>
    <row r="500" spans="2:17" x14ac:dyDescent="0.25">
      <c r="B500" s="4">
        <v>502</v>
      </c>
      <c r="C500" s="114" t="s">
        <v>1121</v>
      </c>
      <c r="D500" s="114" t="s">
        <v>2801</v>
      </c>
      <c r="E500" s="114">
        <v>24</v>
      </c>
      <c r="F500" s="114">
        <v>21</v>
      </c>
      <c r="G500" s="114">
        <v>35</v>
      </c>
      <c r="H500" s="114" t="s">
        <v>12</v>
      </c>
      <c r="I500" s="114">
        <v>1</v>
      </c>
      <c r="J500" s="114"/>
      <c r="K500" s="120"/>
      <c r="L500" s="120"/>
      <c r="M500" s="120"/>
      <c r="N500" s="121"/>
      <c r="O500" s="121"/>
      <c r="P500" s="121"/>
      <c r="Q500" s="114"/>
    </row>
    <row r="501" spans="2:17" x14ac:dyDescent="0.25">
      <c r="B501" s="4">
        <v>503</v>
      </c>
      <c r="C501" s="114" t="s">
        <v>409</v>
      </c>
      <c r="D501" s="114" t="s">
        <v>2942</v>
      </c>
      <c r="E501" s="114">
        <v>24</v>
      </c>
      <c r="F501" s="114">
        <v>39</v>
      </c>
      <c r="G501" s="114">
        <v>36</v>
      </c>
      <c r="H501" s="19" t="s">
        <v>26</v>
      </c>
      <c r="I501" s="114"/>
      <c r="J501" s="114">
        <v>1</v>
      </c>
      <c r="K501" s="120"/>
      <c r="L501" s="120"/>
      <c r="M501" s="120"/>
      <c r="N501" s="121"/>
      <c r="O501" s="121"/>
      <c r="P501" s="121"/>
      <c r="Q501" s="114"/>
    </row>
    <row r="502" spans="2:17" x14ac:dyDescent="0.25">
      <c r="B502" s="4">
        <v>504</v>
      </c>
      <c r="C502" s="114" t="s">
        <v>132</v>
      </c>
      <c r="D502" s="114" t="s">
        <v>2943</v>
      </c>
      <c r="E502" s="114">
        <v>24</v>
      </c>
      <c r="F502" s="114">
        <v>67</v>
      </c>
      <c r="G502" s="114">
        <v>37</v>
      </c>
      <c r="H502" s="114" t="s">
        <v>12</v>
      </c>
      <c r="I502" s="114">
        <v>1</v>
      </c>
      <c r="J502" s="114"/>
      <c r="K502" s="120"/>
      <c r="L502" s="120"/>
      <c r="M502" s="120"/>
      <c r="N502" s="121"/>
      <c r="O502" s="121"/>
      <c r="P502" s="121">
        <v>1</v>
      </c>
      <c r="Q502" s="114"/>
    </row>
    <row r="503" spans="2:17" x14ac:dyDescent="0.25">
      <c r="B503" s="4">
        <v>505</v>
      </c>
      <c r="C503" s="114" t="s">
        <v>296</v>
      </c>
      <c r="D503" s="114" t="s">
        <v>2858</v>
      </c>
      <c r="E503" s="114">
        <v>24</v>
      </c>
      <c r="F503" s="114">
        <v>32</v>
      </c>
      <c r="G503" s="114">
        <v>37</v>
      </c>
      <c r="H503" s="19" t="s">
        <v>26</v>
      </c>
      <c r="I503" s="114"/>
      <c r="J503" s="114">
        <v>1</v>
      </c>
      <c r="K503" s="120"/>
      <c r="L503" s="120"/>
      <c r="M503" s="120"/>
      <c r="N503" s="121"/>
      <c r="O503" s="121"/>
      <c r="P503" s="121"/>
      <c r="Q503" s="114"/>
    </row>
    <row r="504" spans="2:17" x14ac:dyDescent="0.25">
      <c r="B504" s="4">
        <v>506</v>
      </c>
      <c r="C504" s="114" t="s">
        <v>659</v>
      </c>
      <c r="D504" s="114" t="s">
        <v>2944</v>
      </c>
      <c r="E504" s="114">
        <v>24</v>
      </c>
      <c r="F504" s="114">
        <v>25</v>
      </c>
      <c r="G504" s="114">
        <v>38</v>
      </c>
      <c r="H504" s="114" t="s">
        <v>12</v>
      </c>
      <c r="I504" s="114">
        <v>1</v>
      </c>
      <c r="J504" s="114"/>
      <c r="K504" s="120"/>
      <c r="L504" s="120"/>
      <c r="M504" s="120"/>
      <c r="N504" s="121"/>
      <c r="O504" s="121"/>
      <c r="P504" s="121">
        <v>1</v>
      </c>
      <c r="Q504" s="114"/>
    </row>
    <row r="505" spans="2:17" x14ac:dyDescent="0.25">
      <c r="B505" s="4">
        <v>507</v>
      </c>
      <c r="C505" s="114" t="s">
        <v>697</v>
      </c>
      <c r="D505" s="114" t="s">
        <v>2945</v>
      </c>
      <c r="E505" s="114">
        <v>24</v>
      </c>
      <c r="F505" s="114">
        <v>32</v>
      </c>
      <c r="G505" s="114">
        <v>38</v>
      </c>
      <c r="H505" s="114" t="s">
        <v>12</v>
      </c>
      <c r="I505" s="114">
        <v>1</v>
      </c>
      <c r="J505" s="114"/>
      <c r="K505" s="120"/>
      <c r="L505" s="120"/>
      <c r="M505" s="120"/>
      <c r="N505" s="121"/>
      <c r="O505" s="121"/>
      <c r="P505" s="121">
        <v>1</v>
      </c>
      <c r="Q505" s="114"/>
    </row>
    <row r="506" spans="2:17" x14ac:dyDescent="0.25">
      <c r="B506" s="4">
        <v>508</v>
      </c>
      <c r="C506" s="114" t="s">
        <v>2434</v>
      </c>
      <c r="D506" s="114" t="s">
        <v>2902</v>
      </c>
      <c r="E506" s="114">
        <v>24</v>
      </c>
      <c r="F506" s="114">
        <v>61</v>
      </c>
      <c r="G506" s="114">
        <v>40</v>
      </c>
      <c r="H506" s="114" t="s">
        <v>12</v>
      </c>
      <c r="I506" s="114">
        <v>1</v>
      </c>
      <c r="J506" s="114"/>
      <c r="K506" s="120"/>
      <c r="L506" s="120"/>
      <c r="M506" s="120"/>
      <c r="N506" s="121"/>
      <c r="O506" s="121"/>
      <c r="P506" s="121">
        <v>1</v>
      </c>
      <c r="Q506" s="114"/>
    </row>
    <row r="507" spans="2:17" x14ac:dyDescent="0.25">
      <c r="B507" s="4">
        <v>509</v>
      </c>
      <c r="C507" s="114" t="s">
        <v>575</v>
      </c>
      <c r="D507" s="114" t="s">
        <v>2946</v>
      </c>
      <c r="E507" s="114">
        <v>24</v>
      </c>
      <c r="F507" s="114">
        <v>64</v>
      </c>
      <c r="G507" s="114">
        <v>40</v>
      </c>
      <c r="H507" s="114" t="s">
        <v>12</v>
      </c>
      <c r="I507" s="114">
        <v>1</v>
      </c>
      <c r="J507" s="114"/>
      <c r="K507" s="120"/>
      <c r="L507" s="120"/>
      <c r="M507" s="120"/>
      <c r="N507" s="121"/>
      <c r="O507" s="121"/>
      <c r="P507" s="121">
        <v>1</v>
      </c>
      <c r="Q507" s="114"/>
    </row>
    <row r="508" spans="2:17" x14ac:dyDescent="0.25">
      <c r="B508" s="4">
        <v>510</v>
      </c>
      <c r="C508" s="114" t="s">
        <v>932</v>
      </c>
      <c r="D508" s="114" t="s">
        <v>2947</v>
      </c>
      <c r="E508" s="114">
        <v>24</v>
      </c>
      <c r="F508" s="114">
        <v>38</v>
      </c>
      <c r="G508" s="114">
        <v>40</v>
      </c>
      <c r="H508" s="19" t="s">
        <v>26</v>
      </c>
      <c r="I508" s="114"/>
      <c r="J508" s="114">
        <v>1</v>
      </c>
      <c r="K508" s="120"/>
      <c r="L508" s="120"/>
      <c r="M508" s="120"/>
      <c r="N508" s="121"/>
      <c r="O508" s="121"/>
      <c r="P508" s="121"/>
      <c r="Q508" s="114"/>
    </row>
    <row r="509" spans="2:17" x14ac:dyDescent="0.25">
      <c r="B509" s="4">
        <v>511</v>
      </c>
      <c r="C509" s="114" t="s">
        <v>682</v>
      </c>
      <c r="D509" s="114" t="s">
        <v>754</v>
      </c>
      <c r="E509" s="114">
        <v>24</v>
      </c>
      <c r="F509" s="114">
        <v>21</v>
      </c>
      <c r="G509" s="114">
        <v>40</v>
      </c>
      <c r="H509" s="114" t="s">
        <v>12</v>
      </c>
      <c r="I509" s="114">
        <v>1</v>
      </c>
      <c r="J509" s="114"/>
      <c r="K509" s="120"/>
      <c r="L509" s="120"/>
      <c r="M509" s="120"/>
      <c r="N509" s="121"/>
      <c r="O509" s="121"/>
      <c r="P509" s="121">
        <v>1</v>
      </c>
      <c r="Q509" s="114"/>
    </row>
    <row r="510" spans="2:17" x14ac:dyDescent="0.25">
      <c r="B510" s="4">
        <v>512</v>
      </c>
      <c r="C510" s="114" t="s">
        <v>2088</v>
      </c>
      <c r="D510" s="114" t="s">
        <v>2948</v>
      </c>
      <c r="E510" s="114">
        <v>24</v>
      </c>
      <c r="F510" s="114">
        <v>43</v>
      </c>
      <c r="G510" s="114">
        <v>41</v>
      </c>
      <c r="H510" s="19" t="s">
        <v>26</v>
      </c>
      <c r="I510" s="114"/>
      <c r="J510" s="114">
        <v>1</v>
      </c>
      <c r="K510" s="120"/>
      <c r="L510" s="120"/>
      <c r="M510" s="120"/>
      <c r="N510" s="121"/>
      <c r="O510" s="121"/>
      <c r="P510" s="121"/>
      <c r="Q510" s="114"/>
    </row>
    <row r="511" spans="2:17" x14ac:dyDescent="0.25">
      <c r="B511" s="4">
        <v>513</v>
      </c>
      <c r="C511" s="114" t="s">
        <v>138</v>
      </c>
      <c r="D511" s="114" t="s">
        <v>2949</v>
      </c>
      <c r="E511" s="114">
        <v>24</v>
      </c>
      <c r="F511" s="114">
        <v>33</v>
      </c>
      <c r="G511" s="114">
        <v>42</v>
      </c>
      <c r="H511" s="19" t="s">
        <v>26</v>
      </c>
      <c r="I511" s="114"/>
      <c r="J511" s="114">
        <v>1</v>
      </c>
      <c r="K511" s="120"/>
      <c r="L511" s="120"/>
      <c r="M511" s="120"/>
      <c r="N511" s="121"/>
      <c r="O511" s="121"/>
      <c r="P511" s="121"/>
      <c r="Q511" s="114"/>
    </row>
    <row r="512" spans="2:17" x14ac:dyDescent="0.25">
      <c r="B512" s="4">
        <v>514</v>
      </c>
      <c r="C512" s="114" t="s">
        <v>605</v>
      </c>
      <c r="D512" s="114" t="s">
        <v>2781</v>
      </c>
      <c r="E512" s="114">
        <v>24</v>
      </c>
      <c r="F512" s="114">
        <v>33</v>
      </c>
      <c r="G512" s="114">
        <v>41</v>
      </c>
      <c r="H512" s="19" t="s">
        <v>26</v>
      </c>
      <c r="I512" s="114"/>
      <c r="J512" s="114">
        <v>1</v>
      </c>
      <c r="K512" s="120"/>
      <c r="L512" s="120"/>
      <c r="M512" s="120"/>
      <c r="N512" s="121"/>
      <c r="O512" s="121"/>
      <c r="P512" s="121"/>
      <c r="Q512" s="114"/>
    </row>
    <row r="513" spans="2:17" x14ac:dyDescent="0.25">
      <c r="B513" s="4">
        <v>515</v>
      </c>
      <c r="C513" s="114" t="s">
        <v>136</v>
      </c>
      <c r="D513" s="114" t="s">
        <v>2950</v>
      </c>
      <c r="E513" s="114">
        <v>24</v>
      </c>
      <c r="F513" s="114">
        <v>17</v>
      </c>
      <c r="G513" s="114">
        <v>42</v>
      </c>
      <c r="H513" s="114" t="s">
        <v>12</v>
      </c>
      <c r="I513" s="114">
        <v>1</v>
      </c>
      <c r="J513" s="114"/>
      <c r="K513" s="120"/>
      <c r="L513" s="120"/>
      <c r="M513" s="120"/>
      <c r="N513" s="121"/>
      <c r="O513" s="121"/>
      <c r="P513" s="121">
        <v>1</v>
      </c>
      <c r="Q513" s="114"/>
    </row>
    <row r="514" spans="2:17" x14ac:dyDescent="0.25">
      <c r="B514" s="4">
        <v>516</v>
      </c>
      <c r="C514" s="114" t="s">
        <v>135</v>
      </c>
      <c r="D514" s="114" t="s">
        <v>849</v>
      </c>
      <c r="E514" s="114">
        <v>24</v>
      </c>
      <c r="F514" s="114">
        <v>33</v>
      </c>
      <c r="G514" s="114">
        <v>42</v>
      </c>
      <c r="H514" s="19" t="s">
        <v>26</v>
      </c>
      <c r="I514" s="114"/>
      <c r="J514" s="114">
        <v>1</v>
      </c>
      <c r="K514" s="120"/>
      <c r="L514" s="120"/>
      <c r="M514" s="120"/>
      <c r="N514" s="121"/>
      <c r="O514" s="121"/>
      <c r="P514" s="121"/>
      <c r="Q514" s="114"/>
    </row>
    <row r="515" spans="2:17" x14ac:dyDescent="0.25">
      <c r="B515" s="4">
        <v>517</v>
      </c>
      <c r="C515" s="114" t="s">
        <v>659</v>
      </c>
      <c r="D515" s="114" t="s">
        <v>2951</v>
      </c>
      <c r="E515" s="114">
        <v>24</v>
      </c>
      <c r="F515" s="114">
        <v>57</v>
      </c>
      <c r="G515" s="114">
        <v>42</v>
      </c>
      <c r="H515" s="114" t="s">
        <v>12</v>
      </c>
      <c r="I515" s="114">
        <v>1</v>
      </c>
      <c r="J515" s="114"/>
      <c r="K515" s="120"/>
      <c r="L515" s="120"/>
      <c r="M515" s="120"/>
      <c r="N515" s="121"/>
      <c r="O515" s="121"/>
      <c r="P515" s="121">
        <v>1</v>
      </c>
      <c r="Q515" s="114"/>
    </row>
    <row r="516" spans="2:17" x14ac:dyDescent="0.25">
      <c r="B516" s="4">
        <v>518</v>
      </c>
      <c r="C516" s="114" t="s">
        <v>619</v>
      </c>
      <c r="D516" s="114" t="s">
        <v>2952</v>
      </c>
      <c r="E516" s="114">
        <v>24</v>
      </c>
      <c r="F516" s="114">
        <v>63</v>
      </c>
      <c r="G516" s="114">
        <v>43</v>
      </c>
      <c r="H516" s="114" t="s">
        <v>12</v>
      </c>
      <c r="I516" s="114">
        <v>1</v>
      </c>
      <c r="J516" s="114"/>
      <c r="K516" s="120"/>
      <c r="L516" s="120"/>
      <c r="M516" s="120"/>
      <c r="N516" s="121"/>
      <c r="O516" s="121"/>
      <c r="P516" s="121">
        <v>1</v>
      </c>
      <c r="Q516" s="114"/>
    </row>
    <row r="517" spans="2:17" x14ac:dyDescent="0.25">
      <c r="B517" s="4">
        <v>519</v>
      </c>
      <c r="C517" s="114" t="s">
        <v>799</v>
      </c>
      <c r="D517" s="114" t="s">
        <v>2953</v>
      </c>
      <c r="E517" s="114">
        <v>24</v>
      </c>
      <c r="F517" s="114">
        <v>36</v>
      </c>
      <c r="G517" s="114">
        <v>43</v>
      </c>
      <c r="H517" s="114" t="s">
        <v>12</v>
      </c>
      <c r="I517" s="114">
        <v>1</v>
      </c>
      <c r="J517" s="114"/>
      <c r="K517" s="120"/>
      <c r="L517" s="120"/>
      <c r="M517" s="120"/>
      <c r="N517" s="121"/>
      <c r="O517" s="121"/>
      <c r="P517" s="121">
        <v>1</v>
      </c>
      <c r="Q517" s="114"/>
    </row>
    <row r="518" spans="2:17" x14ac:dyDescent="0.25">
      <c r="B518" s="4">
        <v>520</v>
      </c>
      <c r="C518" s="114" t="s">
        <v>138</v>
      </c>
      <c r="D518" s="114" t="s">
        <v>2954</v>
      </c>
      <c r="E518" s="114">
        <v>24</v>
      </c>
      <c r="F518" s="114">
        <v>21</v>
      </c>
      <c r="G518" s="114">
        <v>44</v>
      </c>
      <c r="H518" s="114" t="s">
        <v>12</v>
      </c>
      <c r="I518" s="114">
        <v>1</v>
      </c>
      <c r="J518" s="114"/>
      <c r="K518" s="120"/>
      <c r="L518" s="120"/>
      <c r="M518" s="120"/>
      <c r="N518" s="121"/>
      <c r="O518" s="121"/>
      <c r="P518" s="121">
        <v>1</v>
      </c>
      <c r="Q518" s="114"/>
    </row>
    <row r="519" spans="2:17" x14ac:dyDescent="0.25">
      <c r="B519" s="4">
        <v>521</v>
      </c>
      <c r="C519" s="114" t="s">
        <v>716</v>
      </c>
      <c r="D519" s="114" t="s">
        <v>2955</v>
      </c>
      <c r="E519" s="114">
        <v>24</v>
      </c>
      <c r="F519" s="114">
        <v>45</v>
      </c>
      <c r="G519" s="114">
        <v>45</v>
      </c>
      <c r="H519" s="114" t="s">
        <v>12</v>
      </c>
      <c r="I519" s="114">
        <v>1</v>
      </c>
      <c r="J519" s="114"/>
      <c r="K519" s="120"/>
      <c r="L519" s="120"/>
      <c r="M519" s="120"/>
      <c r="N519" s="121"/>
      <c r="O519" s="121"/>
      <c r="P519" s="121">
        <v>1</v>
      </c>
      <c r="Q519" s="114"/>
    </row>
    <row r="520" spans="2:17" x14ac:dyDescent="0.25">
      <c r="B520" s="4">
        <v>522</v>
      </c>
      <c r="C520" s="114" t="s">
        <v>296</v>
      </c>
      <c r="D520" s="114" t="s">
        <v>2956</v>
      </c>
      <c r="E520" s="114">
        <v>24</v>
      </c>
      <c r="F520" s="114">
        <v>50</v>
      </c>
      <c r="G520" s="114">
        <v>45</v>
      </c>
      <c r="H520" s="19" t="s">
        <v>26</v>
      </c>
      <c r="I520" s="114"/>
      <c r="J520" s="114">
        <v>1</v>
      </c>
      <c r="K520" s="120">
        <v>0</v>
      </c>
      <c r="L520" s="120">
        <v>0</v>
      </c>
      <c r="M520" s="120">
        <v>0</v>
      </c>
      <c r="N520" s="121">
        <v>0</v>
      </c>
      <c r="O520" s="121">
        <v>0</v>
      </c>
      <c r="P520" s="121">
        <v>0</v>
      </c>
      <c r="Q520" s="114"/>
    </row>
    <row r="521" spans="2:17" x14ac:dyDescent="0.25">
      <c r="B521" s="4">
        <v>523</v>
      </c>
      <c r="C521" s="114" t="s">
        <v>138</v>
      </c>
      <c r="D521" s="114" t="s">
        <v>2974</v>
      </c>
      <c r="E521" s="114">
        <v>24</v>
      </c>
      <c r="F521" s="114">
        <v>2</v>
      </c>
      <c r="G521" s="114">
        <v>24</v>
      </c>
      <c r="H521" s="114" t="s">
        <v>12</v>
      </c>
      <c r="I521" s="114">
        <v>1</v>
      </c>
      <c r="J521" s="114">
        <v>0</v>
      </c>
      <c r="K521" s="120">
        <v>0</v>
      </c>
      <c r="L521" s="120">
        <v>0</v>
      </c>
      <c r="M521" s="120">
        <v>0</v>
      </c>
      <c r="N521" s="121">
        <v>0</v>
      </c>
      <c r="O521" s="121">
        <v>0</v>
      </c>
      <c r="P521" s="121">
        <v>0</v>
      </c>
      <c r="Q521" s="114" t="s">
        <v>2975</v>
      </c>
    </row>
    <row r="522" spans="2:17" x14ac:dyDescent="0.25">
      <c r="B522" s="4">
        <v>524</v>
      </c>
      <c r="C522" s="114" t="s">
        <v>891</v>
      </c>
      <c r="D522" s="114" t="s">
        <v>3070</v>
      </c>
      <c r="E522" s="114">
        <v>24</v>
      </c>
      <c r="F522" s="114">
        <v>125</v>
      </c>
      <c r="G522" s="114">
        <v>15</v>
      </c>
      <c r="H522" s="114" t="s">
        <v>26</v>
      </c>
      <c r="I522" s="114"/>
      <c r="J522" s="114">
        <v>1</v>
      </c>
      <c r="K522" s="120">
        <v>0</v>
      </c>
      <c r="L522" s="120"/>
      <c r="M522" s="120">
        <v>1</v>
      </c>
      <c r="N522" s="121"/>
      <c r="O522" s="121"/>
      <c r="P522" s="121"/>
      <c r="Q522" s="114"/>
    </row>
    <row r="523" spans="2:17" x14ac:dyDescent="0.25">
      <c r="B523" s="4">
        <v>525</v>
      </c>
      <c r="C523" s="114" t="s">
        <v>138</v>
      </c>
      <c r="D523" s="114" t="s">
        <v>3074</v>
      </c>
      <c r="E523" s="114">
        <v>24</v>
      </c>
      <c r="F523" s="114">
        <v>119</v>
      </c>
      <c r="G523" s="114">
        <v>7</v>
      </c>
      <c r="H523" s="114" t="s">
        <v>26</v>
      </c>
      <c r="I523" s="114"/>
      <c r="J523" s="114">
        <v>1</v>
      </c>
      <c r="K523" s="120">
        <v>0</v>
      </c>
      <c r="L523" s="120"/>
      <c r="M523" s="120">
        <v>1</v>
      </c>
      <c r="N523" s="121"/>
      <c r="O523" s="121"/>
      <c r="P523" s="121"/>
      <c r="Q523" s="114"/>
    </row>
    <row r="524" spans="2:17" x14ac:dyDescent="0.25">
      <c r="B524" s="4">
        <v>526</v>
      </c>
      <c r="C524" s="114" t="s">
        <v>3073</v>
      </c>
      <c r="D524" s="114" t="s">
        <v>3075</v>
      </c>
      <c r="E524" s="114">
        <v>24</v>
      </c>
      <c r="F524" s="114">
        <v>112</v>
      </c>
      <c r="G524" s="114">
        <v>8</v>
      </c>
      <c r="H524" s="114" t="s">
        <v>26</v>
      </c>
      <c r="I524" s="114"/>
      <c r="J524" s="114">
        <v>1</v>
      </c>
      <c r="K524" s="120">
        <v>0</v>
      </c>
      <c r="L524" s="120"/>
      <c r="M524" s="120">
        <v>1</v>
      </c>
      <c r="N524" s="121"/>
      <c r="O524" s="121"/>
      <c r="P524" s="121"/>
      <c r="Q524" s="114"/>
    </row>
    <row r="525" spans="2:17" x14ac:dyDescent="0.25">
      <c r="B525" s="4">
        <v>527</v>
      </c>
      <c r="C525" s="114" t="s">
        <v>132</v>
      </c>
      <c r="D525" s="114" t="s">
        <v>3076</v>
      </c>
      <c r="E525" s="114">
        <v>24</v>
      </c>
      <c r="F525" s="114">
        <v>111</v>
      </c>
      <c r="G525" s="114">
        <v>12</v>
      </c>
      <c r="H525" s="114" t="s">
        <v>26</v>
      </c>
      <c r="I525" s="114"/>
      <c r="J525" s="114">
        <v>1</v>
      </c>
      <c r="K525" s="120">
        <v>0</v>
      </c>
      <c r="L525" s="120"/>
      <c r="M525" s="120">
        <v>1</v>
      </c>
      <c r="N525" s="121"/>
      <c r="O525" s="121"/>
      <c r="P525" s="121"/>
      <c r="Q525" s="114"/>
    </row>
    <row r="526" spans="2:17" x14ac:dyDescent="0.25">
      <c r="B526" s="4">
        <v>528</v>
      </c>
      <c r="C526" s="114" t="s">
        <v>138</v>
      </c>
      <c r="D526" s="114" t="s">
        <v>3078</v>
      </c>
      <c r="E526" s="114">
        <v>24</v>
      </c>
      <c r="F526" s="114">
        <v>112</v>
      </c>
      <c r="G526" s="114">
        <v>5</v>
      </c>
      <c r="H526" s="114" t="s">
        <v>26</v>
      </c>
      <c r="I526" s="114"/>
      <c r="J526" s="114">
        <v>1</v>
      </c>
      <c r="K526" s="120"/>
      <c r="L526" s="120"/>
      <c r="M526" s="120">
        <v>1</v>
      </c>
      <c r="N526" s="121"/>
      <c r="O526" s="121"/>
      <c r="P526" s="121"/>
      <c r="Q526" s="114"/>
    </row>
    <row r="527" spans="2:17" x14ac:dyDescent="0.25">
      <c r="B527" s="4">
        <v>529</v>
      </c>
      <c r="C527" s="114" t="s">
        <v>166</v>
      </c>
      <c r="D527" s="114" t="s">
        <v>3079</v>
      </c>
      <c r="E527" s="114">
        <v>24</v>
      </c>
      <c r="F527" s="114">
        <v>89</v>
      </c>
      <c r="G527" s="114">
        <v>8</v>
      </c>
      <c r="H527" s="114" t="s">
        <v>26</v>
      </c>
      <c r="I527" s="114"/>
      <c r="J527" s="114">
        <v>1</v>
      </c>
      <c r="K527" s="120">
        <v>0</v>
      </c>
      <c r="L527" s="120"/>
      <c r="M527" s="120">
        <v>1</v>
      </c>
      <c r="N527" s="121"/>
      <c r="O527" s="121"/>
      <c r="P527" s="121"/>
      <c r="Q527" s="114"/>
    </row>
    <row r="528" spans="2:17" x14ac:dyDescent="0.25">
      <c r="B528" s="4">
        <v>530</v>
      </c>
      <c r="C528" s="114" t="s">
        <v>3080</v>
      </c>
      <c r="D528" s="114" t="s">
        <v>2752</v>
      </c>
      <c r="E528" s="114">
        <v>24</v>
      </c>
      <c r="F528" s="114">
        <v>94</v>
      </c>
      <c r="G528" s="114">
        <v>24</v>
      </c>
      <c r="H528" s="114" t="s">
        <v>26</v>
      </c>
      <c r="I528" s="114"/>
      <c r="J528" s="114">
        <v>1</v>
      </c>
      <c r="K528" s="120">
        <v>0</v>
      </c>
      <c r="L528" s="120"/>
      <c r="M528" s="120">
        <v>1</v>
      </c>
      <c r="N528" s="121"/>
      <c r="O528" s="121"/>
      <c r="P528" s="121"/>
      <c r="Q528" s="114"/>
    </row>
    <row r="529" spans="2:17" x14ac:dyDescent="0.25">
      <c r="B529" s="4">
        <v>531</v>
      </c>
      <c r="C529" s="114" t="s">
        <v>1055</v>
      </c>
      <c r="D529" s="114" t="s">
        <v>3082</v>
      </c>
      <c r="E529" s="114">
        <v>24</v>
      </c>
      <c r="F529" s="114">
        <v>38</v>
      </c>
      <c r="G529" s="114">
        <v>22</v>
      </c>
      <c r="H529" s="114" t="s">
        <v>26</v>
      </c>
      <c r="I529" s="114">
        <v>0</v>
      </c>
      <c r="J529" s="114">
        <v>1</v>
      </c>
      <c r="K529" s="120">
        <v>0</v>
      </c>
      <c r="L529" s="120"/>
      <c r="M529" s="120">
        <v>1</v>
      </c>
      <c r="N529" s="121"/>
      <c r="O529" s="121"/>
      <c r="P529" s="121"/>
      <c r="Q529" s="114"/>
    </row>
    <row r="530" spans="2:17" x14ac:dyDescent="0.25">
      <c r="B530" s="4">
        <v>532</v>
      </c>
      <c r="C530" s="114" t="s">
        <v>166</v>
      </c>
      <c r="D530" s="114" t="s">
        <v>2720</v>
      </c>
      <c r="E530" s="114">
        <v>24</v>
      </c>
      <c r="F530" s="114">
        <v>82</v>
      </c>
      <c r="G530" s="114">
        <v>1</v>
      </c>
      <c r="H530" s="114" t="s">
        <v>26</v>
      </c>
      <c r="I530" s="114"/>
      <c r="J530" s="114">
        <v>1</v>
      </c>
      <c r="K530" s="120"/>
      <c r="L530" s="120"/>
      <c r="M530" s="120">
        <v>1</v>
      </c>
      <c r="N530" s="121"/>
      <c r="O530" s="121"/>
      <c r="P530" s="121"/>
      <c r="Q530" s="114"/>
    </row>
    <row r="531" spans="2:17" x14ac:dyDescent="0.25">
      <c r="B531" s="4">
        <v>533</v>
      </c>
      <c r="C531" s="114" t="s">
        <v>3207</v>
      </c>
      <c r="D531" s="114" t="s">
        <v>3203</v>
      </c>
      <c r="E531" s="114">
        <v>24</v>
      </c>
      <c r="F531" s="114">
        <v>97</v>
      </c>
      <c r="G531" s="114">
        <v>4</v>
      </c>
      <c r="H531" s="114" t="s">
        <v>26</v>
      </c>
      <c r="I531" s="114"/>
      <c r="J531" s="114">
        <v>1</v>
      </c>
      <c r="K531" s="120"/>
      <c r="L531" s="120"/>
      <c r="M531" s="120">
        <v>1</v>
      </c>
      <c r="N531" s="121"/>
      <c r="O531" s="121"/>
      <c r="P531" s="121"/>
      <c r="Q531" s="114"/>
    </row>
    <row r="532" spans="2:17" x14ac:dyDescent="0.25">
      <c r="B532" s="4">
        <v>534</v>
      </c>
      <c r="C532" s="114" t="s">
        <v>1414</v>
      </c>
      <c r="D532" s="114" t="s">
        <v>3204</v>
      </c>
      <c r="E532" s="114">
        <v>24</v>
      </c>
      <c r="F532" s="114">
        <v>73</v>
      </c>
      <c r="G532" s="114">
        <v>5</v>
      </c>
      <c r="H532" s="114" t="s">
        <v>26</v>
      </c>
      <c r="I532" s="114"/>
      <c r="J532" s="114">
        <v>1</v>
      </c>
      <c r="K532" s="120"/>
      <c r="L532" s="120"/>
      <c r="M532" s="120">
        <v>1</v>
      </c>
      <c r="N532" s="121"/>
      <c r="O532" s="121"/>
      <c r="P532" s="121"/>
      <c r="Q532" s="114"/>
    </row>
    <row r="533" spans="2:17" x14ac:dyDescent="0.25">
      <c r="B533" s="4">
        <v>535</v>
      </c>
      <c r="C533" s="114" t="s">
        <v>1310</v>
      </c>
      <c r="D533" s="114" t="s">
        <v>2739</v>
      </c>
      <c r="E533" s="114">
        <v>24</v>
      </c>
      <c r="F533" s="114">
        <v>7</v>
      </c>
      <c r="G533" s="114">
        <v>70</v>
      </c>
      <c r="H533" s="114" t="s">
        <v>26</v>
      </c>
      <c r="I533" s="114"/>
      <c r="J533" s="114">
        <v>1</v>
      </c>
      <c r="K533" s="120"/>
      <c r="L533" s="120"/>
      <c r="M533" s="120">
        <v>1</v>
      </c>
      <c r="N533" s="121"/>
      <c r="O533" s="121"/>
      <c r="P533" s="121"/>
      <c r="Q533" s="114"/>
    </row>
    <row r="534" spans="2:17" x14ac:dyDescent="0.25">
      <c r="B534" s="4">
        <v>536</v>
      </c>
      <c r="C534" s="114" t="s">
        <v>3205</v>
      </c>
      <c r="D534" s="114" t="s">
        <v>3206</v>
      </c>
      <c r="E534" s="114">
        <v>24</v>
      </c>
      <c r="F534" s="114">
        <v>104</v>
      </c>
      <c r="G534" s="114">
        <v>22</v>
      </c>
      <c r="H534" s="114" t="s">
        <v>26</v>
      </c>
      <c r="I534" s="114"/>
      <c r="J534" s="114">
        <v>1</v>
      </c>
      <c r="K534" s="120"/>
      <c r="L534" s="120"/>
      <c r="M534" s="120">
        <v>1</v>
      </c>
      <c r="N534" s="121"/>
      <c r="O534" s="121"/>
      <c r="P534" s="121"/>
      <c r="Q534" s="114"/>
    </row>
    <row r="535" spans="2:17" x14ac:dyDescent="0.25">
      <c r="B535" s="4">
        <v>537</v>
      </c>
      <c r="C535" s="114" t="s">
        <v>138</v>
      </c>
      <c r="D535" s="114" t="s">
        <v>2949</v>
      </c>
      <c r="E535" s="114">
        <v>24</v>
      </c>
      <c r="F535" s="114">
        <v>23</v>
      </c>
      <c r="G535" s="114">
        <v>42</v>
      </c>
      <c r="H535" s="114" t="s">
        <v>26</v>
      </c>
      <c r="I535" s="114"/>
      <c r="J535" s="114">
        <v>1</v>
      </c>
      <c r="K535" s="120"/>
      <c r="L535" s="120"/>
      <c r="M535" s="120">
        <v>1</v>
      </c>
      <c r="N535" s="121"/>
      <c r="O535" s="121"/>
      <c r="P535" s="121"/>
      <c r="Q535" s="114"/>
    </row>
    <row r="536" spans="2:17" x14ac:dyDescent="0.25">
      <c r="B536" s="4">
        <v>538</v>
      </c>
      <c r="C536" s="230" t="s">
        <v>3256</v>
      </c>
      <c r="D536" s="114" t="s">
        <v>457</v>
      </c>
      <c r="E536" s="114">
        <v>24</v>
      </c>
      <c r="F536" s="114">
        <v>36</v>
      </c>
      <c r="G536" s="114">
        <v>3</v>
      </c>
      <c r="H536" s="114" t="s">
        <v>26</v>
      </c>
      <c r="I536" s="114"/>
      <c r="J536" s="114">
        <v>1</v>
      </c>
      <c r="K536" s="120"/>
      <c r="L536" s="120"/>
      <c r="M536" s="120">
        <v>1</v>
      </c>
      <c r="N536" s="121"/>
      <c r="O536" s="121"/>
      <c r="P536" s="121"/>
      <c r="Q536" s="114"/>
    </row>
    <row r="537" spans="2:17" x14ac:dyDescent="0.25">
      <c r="B537" s="4">
        <v>539</v>
      </c>
      <c r="C537" s="230" t="s">
        <v>3236</v>
      </c>
      <c r="D537" s="114" t="s">
        <v>515</v>
      </c>
      <c r="E537" s="114">
        <v>24</v>
      </c>
      <c r="F537" s="114">
        <v>24</v>
      </c>
      <c r="G537" s="114">
        <v>26</v>
      </c>
      <c r="H537" s="114" t="s">
        <v>26</v>
      </c>
      <c r="I537" s="114"/>
      <c r="J537" s="114">
        <v>1</v>
      </c>
      <c r="K537" s="120"/>
      <c r="L537" s="120"/>
      <c r="M537" s="120">
        <v>1</v>
      </c>
      <c r="N537" s="121"/>
      <c r="O537" s="121"/>
      <c r="P537" s="121"/>
      <c r="Q537" s="114"/>
    </row>
    <row r="538" spans="2:17" x14ac:dyDescent="0.25">
      <c r="B538" s="4">
        <v>540</v>
      </c>
      <c r="C538" s="230" t="s">
        <v>3255</v>
      </c>
      <c r="D538" s="114" t="s">
        <v>265</v>
      </c>
      <c r="E538" s="114">
        <v>24</v>
      </c>
      <c r="F538" s="114">
        <v>68</v>
      </c>
      <c r="G538" s="114">
        <v>47</v>
      </c>
      <c r="H538" s="114" t="s">
        <v>26</v>
      </c>
      <c r="I538" s="114"/>
      <c r="J538" s="114">
        <v>1</v>
      </c>
      <c r="K538" s="120"/>
      <c r="L538" s="120"/>
      <c r="M538" s="120">
        <v>1</v>
      </c>
      <c r="N538" s="121"/>
      <c r="O538" s="121"/>
      <c r="P538" s="121"/>
      <c r="Q538" s="114"/>
    </row>
    <row r="539" spans="2:17" x14ac:dyDescent="0.25">
      <c r="B539" s="4">
        <v>541</v>
      </c>
      <c r="C539" s="230" t="s">
        <v>716</v>
      </c>
      <c r="D539" s="114" t="s">
        <v>3208</v>
      </c>
      <c r="E539" s="114">
        <v>24</v>
      </c>
      <c r="F539" s="114">
        <v>60</v>
      </c>
      <c r="G539" s="114">
        <v>26</v>
      </c>
      <c r="H539" s="114" t="s">
        <v>26</v>
      </c>
      <c r="I539" s="114"/>
      <c r="J539" s="114">
        <v>1</v>
      </c>
      <c r="K539" s="120"/>
      <c r="L539" s="120"/>
      <c r="M539" s="120">
        <v>1</v>
      </c>
      <c r="N539" s="121"/>
      <c r="O539" s="121"/>
      <c r="P539" s="121"/>
      <c r="Q539" s="114"/>
    </row>
    <row r="540" spans="2:17" x14ac:dyDescent="0.25">
      <c r="B540" s="4">
        <v>542</v>
      </c>
      <c r="C540" s="230" t="s">
        <v>3254</v>
      </c>
      <c r="D540" s="114" t="s">
        <v>3209</v>
      </c>
      <c r="E540" s="114">
        <v>24</v>
      </c>
      <c r="F540" s="114">
        <v>56</v>
      </c>
      <c r="G540" s="114">
        <v>24</v>
      </c>
      <c r="H540" s="114" t="s">
        <v>26</v>
      </c>
      <c r="I540" s="114"/>
      <c r="J540" s="114">
        <v>1</v>
      </c>
      <c r="K540" s="120"/>
      <c r="L540" s="120"/>
      <c r="M540" s="120">
        <v>1</v>
      </c>
      <c r="N540" s="121"/>
      <c r="O540" s="121"/>
      <c r="P540" s="121"/>
      <c r="Q540" s="114"/>
    </row>
    <row r="541" spans="2:17" x14ac:dyDescent="0.25">
      <c r="B541" s="4">
        <v>543</v>
      </c>
      <c r="C541" s="230" t="s">
        <v>1069</v>
      </c>
      <c r="D541" s="114" t="s">
        <v>3210</v>
      </c>
      <c r="E541" s="114">
        <v>24</v>
      </c>
      <c r="F541" s="114">
        <v>25</v>
      </c>
      <c r="G541" s="114">
        <v>24</v>
      </c>
      <c r="H541" s="114" t="s">
        <v>26</v>
      </c>
      <c r="I541" s="114"/>
      <c r="J541" s="114">
        <v>1</v>
      </c>
      <c r="K541" s="120"/>
      <c r="L541" s="120"/>
      <c r="M541" s="120">
        <v>1</v>
      </c>
      <c r="N541" s="121"/>
      <c r="O541" s="121"/>
      <c r="P541" s="121"/>
      <c r="Q541" s="114"/>
    </row>
    <row r="542" spans="2:17" x14ac:dyDescent="0.25">
      <c r="B542" s="4">
        <v>544</v>
      </c>
      <c r="C542" s="230" t="s">
        <v>128</v>
      </c>
      <c r="D542" s="114" t="s">
        <v>3211</v>
      </c>
      <c r="E542" s="114">
        <v>24</v>
      </c>
      <c r="F542" s="114">
        <v>92</v>
      </c>
      <c r="G542" s="114">
        <v>36</v>
      </c>
      <c r="H542" s="114" t="s">
        <v>26</v>
      </c>
      <c r="I542" s="114"/>
      <c r="J542" s="114">
        <v>1</v>
      </c>
      <c r="K542" s="120"/>
      <c r="L542" s="120"/>
      <c r="M542" s="120">
        <v>1</v>
      </c>
      <c r="N542" s="121"/>
      <c r="O542" s="121"/>
      <c r="P542" s="121"/>
      <c r="Q542" s="114"/>
    </row>
    <row r="543" spans="2:17" x14ac:dyDescent="0.25">
      <c r="B543" s="4">
        <v>545</v>
      </c>
      <c r="C543" s="230" t="s">
        <v>2010</v>
      </c>
      <c r="D543" s="114" t="s">
        <v>687</v>
      </c>
      <c r="E543" s="114">
        <v>24</v>
      </c>
      <c r="F543" s="114">
        <v>37</v>
      </c>
      <c r="G543" s="114">
        <v>32</v>
      </c>
      <c r="H543" s="114" t="s">
        <v>26</v>
      </c>
      <c r="I543" s="114"/>
      <c r="J543" s="114">
        <v>1</v>
      </c>
      <c r="K543" s="120"/>
      <c r="L543" s="120"/>
      <c r="M543" s="120">
        <v>1</v>
      </c>
      <c r="N543" s="121"/>
      <c r="O543" s="121"/>
      <c r="P543" s="121"/>
      <c r="Q543" s="114"/>
    </row>
    <row r="544" spans="2:17" x14ac:dyDescent="0.25">
      <c r="B544" s="4">
        <v>546</v>
      </c>
      <c r="C544" s="230" t="s">
        <v>3253</v>
      </c>
      <c r="D544" s="114" t="s">
        <v>2858</v>
      </c>
      <c r="E544" s="114">
        <v>24</v>
      </c>
      <c r="F544" s="114">
        <v>32</v>
      </c>
      <c r="G544" s="114">
        <v>37</v>
      </c>
      <c r="H544" s="114" t="s">
        <v>26</v>
      </c>
      <c r="I544" s="114"/>
      <c r="J544" s="114">
        <v>1</v>
      </c>
      <c r="K544" s="120"/>
      <c r="L544" s="120"/>
      <c r="M544" s="120">
        <v>1</v>
      </c>
      <c r="N544" s="121"/>
      <c r="O544" s="121"/>
      <c r="P544" s="121"/>
      <c r="Q544" s="114"/>
    </row>
    <row r="545" spans="2:17" x14ac:dyDescent="0.25">
      <c r="B545" s="4">
        <v>547</v>
      </c>
      <c r="C545" s="230" t="s">
        <v>3252</v>
      </c>
      <c r="D545" s="114" t="s">
        <v>3212</v>
      </c>
      <c r="E545" s="114">
        <v>24</v>
      </c>
      <c r="F545" s="114">
        <v>33</v>
      </c>
      <c r="G545" s="114">
        <v>41</v>
      </c>
      <c r="H545" s="114" t="s">
        <v>26</v>
      </c>
      <c r="I545" s="114"/>
      <c r="J545" s="114">
        <v>1</v>
      </c>
      <c r="K545" s="120"/>
      <c r="L545" s="120"/>
      <c r="M545" s="120">
        <v>1</v>
      </c>
      <c r="N545" s="121"/>
      <c r="O545" s="121"/>
      <c r="P545" s="121"/>
      <c r="Q545" s="114"/>
    </row>
    <row r="546" spans="2:17" x14ac:dyDescent="0.25">
      <c r="B546" s="4">
        <v>548</v>
      </c>
      <c r="C546" s="230" t="s">
        <v>3251</v>
      </c>
      <c r="D546" s="114" t="s">
        <v>2426</v>
      </c>
      <c r="E546" s="114">
        <v>24</v>
      </c>
      <c r="F546" s="114">
        <v>63</v>
      </c>
      <c r="G546" s="114">
        <v>31</v>
      </c>
      <c r="H546" s="114" t="s">
        <v>26</v>
      </c>
      <c r="I546" s="114"/>
      <c r="J546" s="114">
        <v>1</v>
      </c>
      <c r="K546" s="120"/>
      <c r="L546" s="120"/>
      <c r="M546" s="120">
        <v>1</v>
      </c>
      <c r="N546" s="121"/>
      <c r="O546" s="121"/>
      <c r="P546" s="121"/>
      <c r="Q546" s="114"/>
    </row>
    <row r="547" spans="2:17" x14ac:dyDescent="0.25">
      <c r="B547" s="4">
        <v>549</v>
      </c>
      <c r="C547" s="230" t="s">
        <v>3250</v>
      </c>
      <c r="D547" s="114" t="s">
        <v>3213</v>
      </c>
      <c r="E547" s="114">
        <v>24</v>
      </c>
      <c r="F547" s="114">
        <v>39</v>
      </c>
      <c r="G547" s="114">
        <v>36</v>
      </c>
      <c r="H547" s="114" t="s">
        <v>26</v>
      </c>
      <c r="I547" s="114"/>
      <c r="J547" s="114">
        <v>1</v>
      </c>
      <c r="K547" s="120"/>
      <c r="L547" s="120"/>
      <c r="M547" s="120">
        <v>1</v>
      </c>
      <c r="N547" s="121"/>
      <c r="O547" s="121"/>
      <c r="P547" s="121"/>
      <c r="Q547" s="114"/>
    </row>
    <row r="548" spans="2:17" x14ac:dyDescent="0.25">
      <c r="B548" s="4">
        <v>550</v>
      </c>
      <c r="C548" s="230" t="s">
        <v>3249</v>
      </c>
      <c r="D548" s="114" t="s">
        <v>3214</v>
      </c>
      <c r="E548" s="114">
        <v>24</v>
      </c>
      <c r="F548" s="114">
        <v>61</v>
      </c>
      <c r="G548" s="114">
        <v>31</v>
      </c>
      <c r="H548" s="114" t="s">
        <v>26</v>
      </c>
      <c r="I548" s="114"/>
      <c r="J548" s="114">
        <v>1</v>
      </c>
      <c r="K548" s="120"/>
      <c r="L548" s="120"/>
      <c r="M548" s="120">
        <v>1</v>
      </c>
      <c r="N548" s="121"/>
      <c r="O548" s="121"/>
      <c r="P548" s="121"/>
      <c r="Q548" s="114"/>
    </row>
    <row r="549" spans="2:17" ht="21" x14ac:dyDescent="0.25">
      <c r="B549" s="4">
        <v>551</v>
      </c>
      <c r="C549" s="230" t="s">
        <v>3258</v>
      </c>
      <c r="D549" s="114" t="s">
        <v>3215</v>
      </c>
      <c r="E549" s="114">
        <v>24</v>
      </c>
      <c r="F549" s="114">
        <v>18</v>
      </c>
      <c r="G549" s="114">
        <v>12</v>
      </c>
      <c r="H549" s="114" t="s">
        <v>26</v>
      </c>
      <c r="I549" s="114"/>
      <c r="J549" s="114">
        <v>1</v>
      </c>
      <c r="K549" s="120"/>
      <c r="L549" s="120"/>
      <c r="M549" s="120">
        <v>1</v>
      </c>
      <c r="N549" s="121"/>
      <c r="O549" s="121"/>
      <c r="P549" s="121"/>
      <c r="Q549" s="114"/>
    </row>
    <row r="550" spans="2:17" x14ac:dyDescent="0.25">
      <c r="B550" s="4">
        <v>552</v>
      </c>
      <c r="C550" s="230" t="s">
        <v>166</v>
      </c>
      <c r="D550" s="114" t="s">
        <v>2816</v>
      </c>
      <c r="E550" s="114">
        <v>24</v>
      </c>
      <c r="F550" s="114">
        <v>14</v>
      </c>
      <c r="G550" s="114">
        <v>12</v>
      </c>
      <c r="H550" s="114" t="s">
        <v>26</v>
      </c>
      <c r="I550" s="114"/>
      <c r="J550" s="114">
        <v>1</v>
      </c>
      <c r="K550" s="120"/>
      <c r="L550" s="120"/>
      <c r="M550" s="120">
        <v>1</v>
      </c>
      <c r="N550" s="121"/>
      <c r="O550" s="121"/>
      <c r="P550" s="121"/>
      <c r="Q550" s="114"/>
    </row>
    <row r="551" spans="2:17" x14ac:dyDescent="0.25">
      <c r="B551" s="4">
        <v>553</v>
      </c>
      <c r="C551" s="230" t="s">
        <v>3248</v>
      </c>
      <c r="D551" s="114" t="s">
        <v>2812</v>
      </c>
      <c r="E551" s="114">
        <v>24</v>
      </c>
      <c r="F551" s="114">
        <v>30</v>
      </c>
      <c r="G551" s="114">
        <v>6</v>
      </c>
      <c r="H551" s="114" t="s">
        <v>26</v>
      </c>
      <c r="I551" s="114"/>
      <c r="J551" s="114">
        <v>1</v>
      </c>
      <c r="K551" s="120"/>
      <c r="L551" s="120"/>
      <c r="M551" s="120">
        <v>1</v>
      </c>
      <c r="N551" s="121"/>
      <c r="O551" s="121"/>
      <c r="P551" s="121"/>
      <c r="Q551" s="114"/>
    </row>
    <row r="552" spans="2:17" x14ac:dyDescent="0.25">
      <c r="B552" s="4">
        <v>554</v>
      </c>
      <c r="C552" s="230" t="s">
        <v>3240</v>
      </c>
      <c r="D552" s="114" t="s">
        <v>2815</v>
      </c>
      <c r="E552" s="114">
        <v>24</v>
      </c>
      <c r="F552" s="114">
        <v>55</v>
      </c>
      <c r="G552" s="114">
        <v>11</v>
      </c>
      <c r="H552" s="114" t="s">
        <v>26</v>
      </c>
      <c r="I552" s="114"/>
      <c r="J552" s="114">
        <v>1</v>
      </c>
      <c r="K552" s="120"/>
      <c r="L552" s="120"/>
      <c r="M552" s="120">
        <v>1</v>
      </c>
      <c r="N552" s="121"/>
      <c r="O552" s="121"/>
      <c r="P552" s="121"/>
      <c r="Q552" s="114"/>
    </row>
    <row r="553" spans="2:17" x14ac:dyDescent="0.25">
      <c r="B553" s="4">
        <v>555</v>
      </c>
      <c r="C553" s="230" t="s">
        <v>3247</v>
      </c>
      <c r="D553" s="114" t="s">
        <v>645</v>
      </c>
      <c r="E553" s="114">
        <v>24</v>
      </c>
      <c r="F553" s="114">
        <v>44</v>
      </c>
      <c r="G553" s="114">
        <v>8</v>
      </c>
      <c r="H553" s="114" t="s">
        <v>26</v>
      </c>
      <c r="I553" s="114"/>
      <c r="J553" s="114">
        <v>1</v>
      </c>
      <c r="K553" s="120"/>
      <c r="L553" s="120"/>
      <c r="M553" s="120">
        <v>1</v>
      </c>
      <c r="N553" s="121"/>
      <c r="O553" s="121"/>
      <c r="P553" s="121"/>
      <c r="Q553" s="114"/>
    </row>
    <row r="554" spans="2:17" x14ac:dyDescent="0.25">
      <c r="B554" s="4">
        <v>556</v>
      </c>
      <c r="C554" s="230" t="s">
        <v>3246</v>
      </c>
      <c r="D554" s="114" t="s">
        <v>189</v>
      </c>
      <c r="E554" s="114">
        <v>24</v>
      </c>
      <c r="F554" s="114">
        <v>29</v>
      </c>
      <c r="G554" s="114">
        <v>12</v>
      </c>
      <c r="H554" s="114" t="s">
        <v>26</v>
      </c>
      <c r="I554" s="114"/>
      <c r="J554" s="114">
        <v>1</v>
      </c>
      <c r="K554" s="120"/>
      <c r="L554" s="120"/>
      <c r="M554" s="120">
        <v>1</v>
      </c>
      <c r="N554" s="121"/>
      <c r="O554" s="121"/>
      <c r="P554" s="121"/>
      <c r="Q554" s="114"/>
    </row>
    <row r="555" spans="2:17" x14ac:dyDescent="0.25">
      <c r="B555" s="4">
        <v>557</v>
      </c>
      <c r="C555" s="230" t="s">
        <v>3245</v>
      </c>
      <c r="D555" s="114" t="s">
        <v>849</v>
      </c>
      <c r="E555" s="114">
        <v>24</v>
      </c>
      <c r="F555" s="114">
        <v>106</v>
      </c>
      <c r="G555" s="114">
        <v>13</v>
      </c>
      <c r="H555" s="114" t="s">
        <v>26</v>
      </c>
      <c r="I555" s="114"/>
      <c r="J555" s="114">
        <v>1</v>
      </c>
      <c r="K555" s="120"/>
      <c r="L555" s="120"/>
      <c r="M555" s="120">
        <v>1</v>
      </c>
      <c r="N555" s="121"/>
      <c r="O555" s="121"/>
      <c r="P555" s="121"/>
      <c r="Q555" s="114"/>
    </row>
    <row r="556" spans="2:17" x14ac:dyDescent="0.25">
      <c r="B556" s="4">
        <v>558</v>
      </c>
      <c r="C556" s="230" t="s">
        <v>3244</v>
      </c>
      <c r="D556" s="114" t="s">
        <v>1305</v>
      </c>
      <c r="E556" s="114">
        <v>24</v>
      </c>
      <c r="F556" s="114">
        <v>96</v>
      </c>
      <c r="G556" s="114">
        <v>41</v>
      </c>
      <c r="H556" s="114" t="s">
        <v>26</v>
      </c>
      <c r="I556" s="114"/>
      <c r="J556" s="114">
        <v>1</v>
      </c>
      <c r="K556" s="120"/>
      <c r="L556" s="120"/>
      <c r="M556" s="120">
        <v>1</v>
      </c>
      <c r="N556" s="121"/>
      <c r="O556" s="121"/>
      <c r="P556" s="121"/>
      <c r="Q556" s="114"/>
    </row>
    <row r="557" spans="2:17" x14ac:dyDescent="0.25">
      <c r="B557" s="4">
        <v>559</v>
      </c>
      <c r="C557" s="230" t="s">
        <v>3243</v>
      </c>
      <c r="D557" s="114" t="s">
        <v>2603</v>
      </c>
      <c r="E557" s="114">
        <v>24</v>
      </c>
      <c r="F557" s="114">
        <v>133</v>
      </c>
      <c r="G557" s="114">
        <v>34</v>
      </c>
      <c r="H557" s="114" t="s">
        <v>26</v>
      </c>
      <c r="I557" s="114"/>
      <c r="J557" s="114">
        <v>1</v>
      </c>
      <c r="K557" s="120"/>
      <c r="L557" s="120"/>
      <c r="M557" s="120">
        <v>1</v>
      </c>
      <c r="N557" s="121"/>
      <c r="O557" s="121"/>
      <c r="P557" s="121"/>
      <c r="Q557" s="114"/>
    </row>
    <row r="558" spans="2:17" x14ac:dyDescent="0.25">
      <c r="B558" s="4">
        <v>560</v>
      </c>
      <c r="C558" s="230" t="s">
        <v>3207</v>
      </c>
      <c r="D558" s="114" t="s">
        <v>3216</v>
      </c>
      <c r="E558" s="114">
        <v>24</v>
      </c>
      <c r="F558" s="114">
        <v>130</v>
      </c>
      <c r="G558" s="114">
        <v>32</v>
      </c>
      <c r="H558" s="114" t="s">
        <v>26</v>
      </c>
      <c r="I558" s="114"/>
      <c r="J558" s="114">
        <v>1</v>
      </c>
      <c r="K558" s="120"/>
      <c r="L558" s="120"/>
      <c r="M558" s="120">
        <v>1</v>
      </c>
      <c r="N558" s="121"/>
      <c r="O558" s="121"/>
      <c r="P558" s="121"/>
      <c r="Q558" s="114"/>
    </row>
    <row r="559" spans="2:17" x14ac:dyDescent="0.25">
      <c r="B559" s="4">
        <v>561</v>
      </c>
      <c r="C559" s="230" t="s">
        <v>3242</v>
      </c>
      <c r="D559" s="114" t="s">
        <v>3218</v>
      </c>
      <c r="E559" s="114">
        <v>24</v>
      </c>
      <c r="F559" s="114">
        <v>122</v>
      </c>
      <c r="G559" s="114">
        <v>20</v>
      </c>
      <c r="H559" s="114" t="s">
        <v>26</v>
      </c>
      <c r="I559" s="114"/>
      <c r="J559" s="114">
        <v>1</v>
      </c>
      <c r="K559" s="120"/>
      <c r="L559" s="120"/>
      <c r="M559" s="120">
        <v>1</v>
      </c>
      <c r="N559" s="121"/>
      <c r="O559" s="121"/>
      <c r="P559" s="121"/>
      <c r="Q559" s="114"/>
    </row>
    <row r="560" spans="2:17" ht="21" x14ac:dyDescent="0.25">
      <c r="B560" s="4">
        <v>562</v>
      </c>
      <c r="C560" s="230" t="s">
        <v>3259</v>
      </c>
      <c r="D560" s="114" t="s">
        <v>3217</v>
      </c>
      <c r="E560" s="114">
        <v>24</v>
      </c>
      <c r="F560" s="114">
        <v>121</v>
      </c>
      <c r="G560" s="114">
        <v>12</v>
      </c>
      <c r="H560" s="114" t="s">
        <v>26</v>
      </c>
      <c r="I560" s="114"/>
      <c r="J560" s="114">
        <v>1</v>
      </c>
      <c r="K560" s="120"/>
      <c r="L560" s="120"/>
      <c r="M560" s="120">
        <v>1</v>
      </c>
      <c r="N560" s="121"/>
      <c r="O560" s="121"/>
      <c r="P560" s="121"/>
      <c r="Q560" s="114"/>
    </row>
    <row r="561" spans="2:17" x14ac:dyDescent="0.25">
      <c r="B561" s="4">
        <v>563</v>
      </c>
      <c r="C561" s="230" t="s">
        <v>3241</v>
      </c>
      <c r="D561" s="114" t="s">
        <v>2687</v>
      </c>
      <c r="E561" s="114">
        <v>24</v>
      </c>
      <c r="F561" s="114">
        <v>106</v>
      </c>
      <c r="G561" s="114">
        <v>20</v>
      </c>
      <c r="H561" s="114" t="s">
        <v>26</v>
      </c>
      <c r="I561" s="114"/>
      <c r="J561" s="114">
        <v>1</v>
      </c>
      <c r="K561" s="120"/>
      <c r="L561" s="120"/>
      <c r="M561" s="120">
        <v>1</v>
      </c>
      <c r="N561" s="121"/>
      <c r="O561" s="121"/>
      <c r="P561" s="121"/>
      <c r="Q561" s="114"/>
    </row>
    <row r="562" spans="2:17" x14ac:dyDescent="0.25">
      <c r="B562" s="4">
        <v>564</v>
      </c>
      <c r="C562" s="230" t="s">
        <v>3240</v>
      </c>
      <c r="D562" s="114" t="s">
        <v>3219</v>
      </c>
      <c r="E562" s="114">
        <v>24</v>
      </c>
      <c r="F562" s="114">
        <v>101</v>
      </c>
      <c r="G562" s="114">
        <v>23</v>
      </c>
      <c r="H562" s="114" t="s">
        <v>26</v>
      </c>
      <c r="I562" s="114"/>
      <c r="J562" s="114">
        <v>1</v>
      </c>
      <c r="K562" s="120"/>
      <c r="L562" s="120"/>
      <c r="M562" s="120">
        <v>1</v>
      </c>
      <c r="N562" s="121"/>
      <c r="O562" s="121"/>
      <c r="P562" s="121"/>
      <c r="Q562" s="114"/>
    </row>
    <row r="563" spans="2:17" x14ac:dyDescent="0.25">
      <c r="B563" s="4">
        <v>565</v>
      </c>
      <c r="C563" s="230" t="s">
        <v>3239</v>
      </c>
      <c r="D563" s="114" t="s">
        <v>3220</v>
      </c>
      <c r="E563" s="114">
        <v>24</v>
      </c>
      <c r="F563" s="114">
        <v>93</v>
      </c>
      <c r="G563" s="114">
        <v>33</v>
      </c>
      <c r="H563" s="114" t="s">
        <v>26</v>
      </c>
      <c r="I563" s="114"/>
      <c r="J563" s="114">
        <v>1</v>
      </c>
      <c r="K563" s="120"/>
      <c r="L563" s="120"/>
      <c r="M563" s="120">
        <v>1</v>
      </c>
      <c r="N563" s="121"/>
      <c r="O563" s="121"/>
      <c r="P563" s="121"/>
      <c r="Q563" s="114"/>
    </row>
    <row r="564" spans="2:17" ht="21" x14ac:dyDescent="0.25">
      <c r="B564" s="4">
        <v>566</v>
      </c>
      <c r="C564" s="230" t="s">
        <v>3260</v>
      </c>
      <c r="D564" s="114" t="s">
        <v>172</v>
      </c>
      <c r="E564" s="114">
        <v>24</v>
      </c>
      <c r="F564" s="114">
        <v>88</v>
      </c>
      <c r="G564" s="114">
        <v>36</v>
      </c>
      <c r="H564" s="114" t="s">
        <v>26</v>
      </c>
      <c r="I564" s="114"/>
      <c r="J564" s="114">
        <v>1</v>
      </c>
      <c r="K564" s="120"/>
      <c r="L564" s="120"/>
      <c r="M564" s="120">
        <v>1</v>
      </c>
      <c r="N564" s="121"/>
      <c r="O564" s="121"/>
      <c r="P564" s="121"/>
      <c r="Q564" s="114"/>
    </row>
    <row r="565" spans="2:17" ht="21" x14ac:dyDescent="0.25">
      <c r="B565" s="4">
        <v>567</v>
      </c>
      <c r="C565" s="230" t="s">
        <v>3259</v>
      </c>
      <c r="D565" s="114" t="s">
        <v>265</v>
      </c>
      <c r="E565" s="114">
        <v>24</v>
      </c>
      <c r="F565" s="114">
        <v>98</v>
      </c>
      <c r="G565" s="114">
        <v>34</v>
      </c>
      <c r="H565" s="114" t="s">
        <v>26</v>
      </c>
      <c r="I565" s="114"/>
      <c r="J565" s="114">
        <v>1</v>
      </c>
      <c r="K565" s="120"/>
      <c r="L565" s="120"/>
      <c r="M565" s="120">
        <v>1</v>
      </c>
      <c r="N565" s="121"/>
      <c r="O565" s="121"/>
      <c r="P565" s="121"/>
      <c r="Q565" s="114"/>
    </row>
    <row r="566" spans="2:17" x14ac:dyDescent="0.25">
      <c r="B566" s="4">
        <v>568</v>
      </c>
      <c r="C566" s="230" t="s">
        <v>3238</v>
      </c>
      <c r="D566" s="114" t="s">
        <v>3203</v>
      </c>
      <c r="E566" s="114">
        <v>24</v>
      </c>
      <c r="F566" s="114">
        <v>97</v>
      </c>
      <c r="G566" s="114">
        <v>37</v>
      </c>
      <c r="H566" s="114" t="s">
        <v>26</v>
      </c>
      <c r="I566" s="114"/>
      <c r="J566" s="114">
        <v>1</v>
      </c>
      <c r="K566" s="120"/>
      <c r="L566" s="120"/>
      <c r="M566" s="120">
        <v>1</v>
      </c>
      <c r="N566" s="121"/>
      <c r="O566" s="121"/>
      <c r="P566" s="121"/>
      <c r="Q566" s="114"/>
    </row>
    <row r="567" spans="2:17" ht="21" x14ac:dyDescent="0.25">
      <c r="B567" s="4">
        <v>569</v>
      </c>
      <c r="C567" s="230" t="s">
        <v>3261</v>
      </c>
      <c r="D567" s="114" t="s">
        <v>3198</v>
      </c>
      <c r="E567" s="114">
        <v>24</v>
      </c>
      <c r="F567" s="114">
        <v>116</v>
      </c>
      <c r="G567" s="114">
        <v>43</v>
      </c>
      <c r="H567" s="114" t="s">
        <v>26</v>
      </c>
      <c r="I567" s="114"/>
      <c r="J567" s="114">
        <v>1</v>
      </c>
      <c r="K567" s="120"/>
      <c r="L567" s="120"/>
      <c r="M567" s="120">
        <v>1</v>
      </c>
      <c r="N567" s="121"/>
      <c r="O567" s="121"/>
      <c r="P567" s="121"/>
      <c r="Q567" s="114"/>
    </row>
    <row r="568" spans="2:17" x14ac:dyDescent="0.25">
      <c r="B568" s="4">
        <v>570</v>
      </c>
      <c r="C568" s="230" t="s">
        <v>3237</v>
      </c>
      <c r="D568" s="114" t="s">
        <v>3221</v>
      </c>
      <c r="E568" s="114">
        <v>24</v>
      </c>
      <c r="F568" s="114" t="s">
        <v>3231</v>
      </c>
      <c r="G568" s="114">
        <v>1</v>
      </c>
      <c r="H568" s="114" t="s">
        <v>26</v>
      </c>
      <c r="I568" s="114"/>
      <c r="J568" s="114">
        <v>1</v>
      </c>
      <c r="K568" s="120"/>
      <c r="L568" s="120"/>
      <c r="M568" s="120">
        <v>1</v>
      </c>
      <c r="N568" s="121"/>
      <c r="O568" s="121"/>
      <c r="P568" s="121"/>
      <c r="Q568" s="114"/>
    </row>
    <row r="569" spans="2:17" x14ac:dyDescent="0.25">
      <c r="B569" s="4">
        <v>571</v>
      </c>
      <c r="C569" s="231" t="s">
        <v>3236</v>
      </c>
      <c r="D569" s="229" t="s">
        <v>318</v>
      </c>
      <c r="E569" s="114">
        <v>24</v>
      </c>
      <c r="F569" s="114">
        <v>112</v>
      </c>
      <c r="G569" s="114">
        <v>22</v>
      </c>
      <c r="H569" s="114" t="s">
        <v>26</v>
      </c>
      <c r="I569" s="114"/>
      <c r="J569" s="114">
        <v>1</v>
      </c>
      <c r="K569" s="120"/>
      <c r="L569" s="120"/>
      <c r="M569" s="120">
        <v>1</v>
      </c>
      <c r="N569" s="121"/>
      <c r="O569" s="121"/>
      <c r="P569" s="121"/>
      <c r="Q569" s="114"/>
    </row>
    <row r="570" spans="2:17" ht="21" x14ac:dyDescent="0.25">
      <c r="B570" s="4">
        <v>572</v>
      </c>
      <c r="C570" s="230" t="s">
        <v>3262</v>
      </c>
      <c r="D570" s="114" t="s">
        <v>2421</v>
      </c>
      <c r="E570" s="114">
        <v>24</v>
      </c>
      <c r="F570" s="114">
        <v>115</v>
      </c>
      <c r="G570" s="114">
        <v>32</v>
      </c>
      <c r="H570" s="114" t="s">
        <v>26</v>
      </c>
      <c r="I570" s="114"/>
      <c r="J570" s="114">
        <v>1</v>
      </c>
      <c r="K570" s="120"/>
      <c r="L570" s="120"/>
      <c r="M570" s="120">
        <v>1</v>
      </c>
      <c r="N570" s="121"/>
      <c r="O570" s="121"/>
      <c r="P570" s="121"/>
      <c r="Q570" s="114"/>
    </row>
    <row r="571" spans="2:17" ht="21" x14ac:dyDescent="0.25">
      <c r="B571" s="4">
        <v>573</v>
      </c>
      <c r="C571" s="230" t="s">
        <v>3263</v>
      </c>
      <c r="D571" s="114" t="s">
        <v>626</v>
      </c>
      <c r="E571" s="114">
        <v>24</v>
      </c>
      <c r="F571" s="114">
        <v>44</v>
      </c>
      <c r="G571" s="114">
        <v>13</v>
      </c>
      <c r="H571" s="114" t="s">
        <v>26</v>
      </c>
      <c r="I571" s="114"/>
      <c r="J571" s="114">
        <v>1</v>
      </c>
      <c r="K571" s="120"/>
      <c r="L571" s="120"/>
      <c r="M571" s="120">
        <v>1</v>
      </c>
      <c r="N571" s="121"/>
      <c r="O571" s="121"/>
      <c r="P571" s="121"/>
      <c r="Q571" s="114"/>
    </row>
    <row r="572" spans="2:17" ht="21" x14ac:dyDescent="0.25">
      <c r="B572" s="4">
        <v>574</v>
      </c>
      <c r="C572" s="230" t="s">
        <v>3264</v>
      </c>
      <c r="D572" s="114" t="s">
        <v>3222</v>
      </c>
      <c r="E572" s="114">
        <v>24</v>
      </c>
      <c r="F572" s="114">
        <v>43</v>
      </c>
      <c r="G572" s="114">
        <v>13</v>
      </c>
      <c r="H572" s="114" t="s">
        <v>26</v>
      </c>
      <c r="I572" s="114"/>
      <c r="J572" s="114">
        <v>1</v>
      </c>
      <c r="K572" s="120"/>
      <c r="L572" s="120"/>
      <c r="M572" s="120">
        <v>1</v>
      </c>
      <c r="N572" s="121"/>
      <c r="O572" s="121"/>
      <c r="P572" s="121"/>
      <c r="Q572" s="114"/>
    </row>
    <row r="573" spans="2:17" x14ac:dyDescent="0.25">
      <c r="B573" s="4">
        <v>575</v>
      </c>
      <c r="C573" s="230" t="s">
        <v>3235</v>
      </c>
      <c r="D573" s="114" t="s">
        <v>2877</v>
      </c>
      <c r="E573" s="114">
        <v>24</v>
      </c>
      <c r="F573" s="114">
        <v>110</v>
      </c>
      <c r="G573" s="114">
        <v>38</v>
      </c>
      <c r="H573" s="114" t="s">
        <v>26</v>
      </c>
      <c r="I573" s="114"/>
      <c r="J573" s="114">
        <v>1</v>
      </c>
      <c r="K573" s="120"/>
      <c r="L573" s="120"/>
      <c r="M573" s="120">
        <v>1</v>
      </c>
      <c r="N573" s="121"/>
      <c r="O573" s="121"/>
      <c r="P573" s="121"/>
      <c r="Q573" s="114"/>
    </row>
    <row r="574" spans="2:17" x14ac:dyDescent="0.25">
      <c r="B574" s="4">
        <v>576</v>
      </c>
      <c r="C574" s="230" t="s">
        <v>760</v>
      </c>
      <c r="D574" s="114" t="s">
        <v>3223</v>
      </c>
      <c r="E574" s="114">
        <v>24</v>
      </c>
      <c r="F574" s="114">
        <v>100</v>
      </c>
      <c r="G574" s="114">
        <v>30</v>
      </c>
      <c r="H574" s="114" t="s">
        <v>26</v>
      </c>
      <c r="I574" s="114"/>
      <c r="J574" s="114">
        <v>1</v>
      </c>
      <c r="K574" s="120"/>
      <c r="L574" s="120"/>
      <c r="M574" s="120">
        <v>1</v>
      </c>
      <c r="N574" s="121"/>
      <c r="O574" s="121"/>
      <c r="P574" s="121"/>
      <c r="Q574" s="114"/>
    </row>
    <row r="575" spans="2:17" ht="21" x14ac:dyDescent="0.25">
      <c r="B575" s="4">
        <v>577</v>
      </c>
      <c r="C575" s="230" t="s">
        <v>3265</v>
      </c>
      <c r="D575" s="114" t="s">
        <v>2879</v>
      </c>
      <c r="E575" s="114">
        <v>24</v>
      </c>
      <c r="F575" s="114">
        <v>129</v>
      </c>
      <c r="G575" s="114">
        <v>37</v>
      </c>
      <c r="H575" s="114" t="s">
        <v>26</v>
      </c>
      <c r="I575" s="114"/>
      <c r="J575" s="114">
        <v>1</v>
      </c>
      <c r="K575" s="120"/>
      <c r="L575" s="120"/>
      <c r="M575" s="120">
        <v>1</v>
      </c>
      <c r="N575" s="121"/>
      <c r="O575" s="121"/>
      <c r="P575" s="121"/>
      <c r="Q575" s="114"/>
    </row>
    <row r="576" spans="2:17" x14ac:dyDescent="0.25">
      <c r="B576" s="4">
        <v>578</v>
      </c>
      <c r="C576" s="230" t="s">
        <v>3234</v>
      </c>
      <c r="D576" s="114" t="s">
        <v>3209</v>
      </c>
      <c r="E576" s="114">
        <v>24</v>
      </c>
      <c r="F576" s="114">
        <v>42</v>
      </c>
      <c r="G576" s="114">
        <v>35</v>
      </c>
      <c r="H576" s="114" t="s">
        <v>26</v>
      </c>
      <c r="I576" s="114"/>
      <c r="J576" s="114">
        <v>1</v>
      </c>
      <c r="K576" s="120"/>
      <c r="L576" s="120"/>
      <c r="M576" s="120">
        <v>1</v>
      </c>
      <c r="N576" s="121"/>
      <c r="O576" s="121"/>
      <c r="P576" s="121"/>
      <c r="Q576" s="114"/>
    </row>
    <row r="577" spans="2:17" ht="21" x14ac:dyDescent="0.25">
      <c r="B577" s="4">
        <v>579</v>
      </c>
      <c r="C577" s="230" t="s">
        <v>3266</v>
      </c>
      <c r="D577" s="114" t="s">
        <v>658</v>
      </c>
      <c r="E577" s="114">
        <v>24</v>
      </c>
      <c r="F577" s="114">
        <v>38</v>
      </c>
      <c r="G577" s="114">
        <v>9</v>
      </c>
      <c r="H577" s="114" t="s">
        <v>26</v>
      </c>
      <c r="I577" s="114"/>
      <c r="J577" s="114">
        <v>1</v>
      </c>
      <c r="K577" s="120"/>
      <c r="L577" s="120"/>
      <c r="M577" s="120">
        <v>1</v>
      </c>
      <c r="N577" s="121"/>
      <c r="O577" s="121"/>
      <c r="P577" s="121"/>
      <c r="Q577" s="114"/>
    </row>
    <row r="578" spans="2:17" ht="21" x14ac:dyDescent="0.25">
      <c r="B578" s="4">
        <v>580</v>
      </c>
      <c r="C578" s="232" t="s">
        <v>3257</v>
      </c>
      <c r="D578" s="114" t="s">
        <v>2916</v>
      </c>
      <c r="E578" s="114">
        <v>24</v>
      </c>
      <c r="F578" s="114"/>
      <c r="G578" s="114"/>
      <c r="H578" s="114" t="s">
        <v>26</v>
      </c>
      <c r="I578" s="114"/>
      <c r="J578" s="114">
        <v>1</v>
      </c>
      <c r="K578" s="120"/>
      <c r="L578" s="120"/>
      <c r="M578" s="120">
        <v>1</v>
      </c>
      <c r="N578" s="121"/>
      <c r="O578" s="121"/>
      <c r="P578" s="121"/>
      <c r="Q578" s="114"/>
    </row>
    <row r="579" spans="2:17" ht="21" x14ac:dyDescent="0.25">
      <c r="B579" s="4">
        <v>581</v>
      </c>
      <c r="C579" s="230" t="s">
        <v>3267</v>
      </c>
      <c r="D579" s="114" t="s">
        <v>178</v>
      </c>
      <c r="E579" s="114">
        <v>24</v>
      </c>
      <c r="F579" s="114">
        <v>12</v>
      </c>
      <c r="G579" s="114">
        <v>31</v>
      </c>
      <c r="H579" s="114" t="s">
        <v>26</v>
      </c>
      <c r="I579" s="114"/>
      <c r="J579" s="114">
        <v>1</v>
      </c>
      <c r="K579" s="120"/>
      <c r="L579" s="120"/>
      <c r="M579" s="120">
        <v>1</v>
      </c>
      <c r="N579" s="121"/>
      <c r="O579" s="121"/>
      <c r="P579" s="121"/>
      <c r="Q579" s="114"/>
    </row>
    <row r="580" spans="2:17" ht="21" x14ac:dyDescent="0.25">
      <c r="B580" s="4">
        <v>582</v>
      </c>
      <c r="C580" s="230" t="s">
        <v>3268</v>
      </c>
      <c r="D580" s="114" t="s">
        <v>554</v>
      </c>
      <c r="E580" s="114">
        <v>24</v>
      </c>
      <c r="F580" s="114">
        <v>129</v>
      </c>
      <c r="G580" s="114">
        <v>33</v>
      </c>
      <c r="H580" s="114" t="s">
        <v>26</v>
      </c>
      <c r="I580" s="114"/>
      <c r="J580" s="114">
        <v>1</v>
      </c>
      <c r="K580" s="120"/>
      <c r="L580" s="120"/>
      <c r="M580" s="120">
        <v>1</v>
      </c>
      <c r="N580" s="121"/>
      <c r="O580" s="121"/>
      <c r="P580" s="121"/>
      <c r="Q580" s="114"/>
    </row>
    <row r="581" spans="2:17" ht="21" x14ac:dyDescent="0.25">
      <c r="B581" s="4">
        <v>583</v>
      </c>
      <c r="C581" s="230" t="s">
        <v>3269</v>
      </c>
      <c r="D581" s="114" t="s">
        <v>3224</v>
      </c>
      <c r="E581" s="114">
        <v>24</v>
      </c>
      <c r="F581" s="114">
        <v>48</v>
      </c>
      <c r="G581" s="114">
        <v>36</v>
      </c>
      <c r="H581" s="114" t="s">
        <v>26</v>
      </c>
      <c r="I581" s="114"/>
      <c r="J581" s="114">
        <v>1</v>
      </c>
      <c r="K581" s="120"/>
      <c r="L581" s="120"/>
      <c r="M581" s="120">
        <v>1</v>
      </c>
      <c r="N581" s="121"/>
      <c r="O581" s="121"/>
      <c r="P581" s="121"/>
      <c r="Q581" s="114"/>
    </row>
    <row r="582" spans="2:17" ht="21" x14ac:dyDescent="0.25">
      <c r="B582" s="4">
        <v>584</v>
      </c>
      <c r="C582" s="230" t="s">
        <v>3270</v>
      </c>
      <c r="D582" s="114" t="s">
        <v>67</v>
      </c>
      <c r="E582" s="114">
        <v>24</v>
      </c>
      <c r="F582" s="114">
        <v>73</v>
      </c>
      <c r="G582" s="114">
        <v>8</v>
      </c>
      <c r="H582" s="114" t="s">
        <v>26</v>
      </c>
      <c r="I582" s="114"/>
      <c r="J582" s="114">
        <v>1</v>
      </c>
      <c r="K582" s="120"/>
      <c r="L582" s="120"/>
      <c r="M582" s="120">
        <v>1</v>
      </c>
      <c r="N582" s="121"/>
      <c r="O582" s="121"/>
      <c r="P582" s="121"/>
      <c r="Q582" s="114"/>
    </row>
    <row r="583" spans="2:17" ht="21" x14ac:dyDescent="0.25">
      <c r="B583" s="4">
        <v>585</v>
      </c>
      <c r="C583" s="230" t="s">
        <v>3271</v>
      </c>
      <c r="D583" s="114" t="s">
        <v>67</v>
      </c>
      <c r="E583" s="114">
        <v>24</v>
      </c>
      <c r="F583" s="114">
        <v>109</v>
      </c>
      <c r="G583" s="114">
        <v>27</v>
      </c>
      <c r="H583" s="114" t="s">
        <v>26</v>
      </c>
      <c r="I583" s="114"/>
      <c r="J583" s="114">
        <v>1</v>
      </c>
      <c r="K583" s="120"/>
      <c r="L583" s="120"/>
      <c r="M583" s="120">
        <v>1</v>
      </c>
      <c r="N583" s="121"/>
      <c r="O583" s="121"/>
      <c r="P583" s="121"/>
      <c r="Q583" s="114"/>
    </row>
    <row r="584" spans="2:17" x14ac:dyDescent="0.25">
      <c r="B584" s="4">
        <v>586</v>
      </c>
      <c r="C584" s="230" t="s">
        <v>3233</v>
      </c>
      <c r="D584" s="114" t="s">
        <v>3202</v>
      </c>
      <c r="E584" s="114">
        <v>24</v>
      </c>
      <c r="F584" s="114">
        <v>126</v>
      </c>
      <c r="G584" s="114">
        <v>29</v>
      </c>
      <c r="H584" s="114" t="s">
        <v>26</v>
      </c>
      <c r="I584" s="114"/>
      <c r="J584" s="114">
        <v>1</v>
      </c>
      <c r="K584" s="120"/>
      <c r="L584" s="120"/>
      <c r="M584" s="120">
        <v>1</v>
      </c>
      <c r="N584" s="121"/>
      <c r="O584" s="121"/>
      <c r="P584" s="121"/>
      <c r="Q584" s="114"/>
    </row>
    <row r="585" spans="2:17" ht="21" x14ac:dyDescent="0.25">
      <c r="B585" s="4">
        <v>587</v>
      </c>
      <c r="C585" s="230" t="s">
        <v>3272</v>
      </c>
      <c r="D585" s="114" t="s">
        <v>3225</v>
      </c>
      <c r="E585" s="114">
        <v>24</v>
      </c>
      <c r="F585" s="114">
        <v>83</v>
      </c>
      <c r="G585" s="114">
        <v>32</v>
      </c>
      <c r="H585" s="114" t="s">
        <v>26</v>
      </c>
      <c r="I585" s="114"/>
      <c r="J585" s="114">
        <v>1</v>
      </c>
      <c r="K585" s="120"/>
      <c r="L585" s="120"/>
      <c r="M585" s="120">
        <v>1</v>
      </c>
      <c r="N585" s="121"/>
      <c r="O585" s="121"/>
      <c r="P585" s="121"/>
      <c r="Q585" s="114"/>
    </row>
    <row r="586" spans="2:17" ht="21" x14ac:dyDescent="0.25">
      <c r="B586" s="4">
        <v>588</v>
      </c>
      <c r="C586" s="230" t="s">
        <v>3268</v>
      </c>
      <c r="D586" s="114" t="s">
        <v>3226</v>
      </c>
      <c r="E586" s="114">
        <v>24</v>
      </c>
      <c r="F586" s="114">
        <v>96</v>
      </c>
      <c r="G586" s="114">
        <v>31</v>
      </c>
      <c r="H586" s="114" t="s">
        <v>26</v>
      </c>
      <c r="I586" s="114"/>
      <c r="J586" s="114">
        <v>1</v>
      </c>
      <c r="K586" s="120"/>
      <c r="L586" s="120"/>
      <c r="M586" s="120">
        <v>1</v>
      </c>
      <c r="N586" s="121"/>
      <c r="O586" s="121"/>
      <c r="P586" s="121"/>
      <c r="Q586" s="114"/>
    </row>
    <row r="587" spans="2:17" x14ac:dyDescent="0.25">
      <c r="B587" s="4">
        <v>589</v>
      </c>
      <c r="C587" s="230" t="s">
        <v>3232</v>
      </c>
      <c r="D587" s="114" t="s">
        <v>3227</v>
      </c>
      <c r="E587" s="114">
        <v>24</v>
      </c>
      <c r="F587" s="114">
        <v>109</v>
      </c>
      <c r="G587" s="114">
        <v>38</v>
      </c>
      <c r="H587" s="114" t="s">
        <v>26</v>
      </c>
      <c r="I587" s="114"/>
      <c r="J587" s="114">
        <v>1</v>
      </c>
      <c r="K587" s="120"/>
      <c r="L587" s="120"/>
      <c r="M587" s="120">
        <v>1</v>
      </c>
      <c r="N587" s="121"/>
      <c r="O587" s="121"/>
      <c r="P587" s="121"/>
      <c r="Q587" s="114"/>
    </row>
    <row r="588" spans="2:17" ht="21" x14ac:dyDescent="0.25">
      <c r="B588" s="4">
        <v>590</v>
      </c>
      <c r="C588" s="230" t="s">
        <v>3273</v>
      </c>
      <c r="D588" s="114" t="s">
        <v>3228</v>
      </c>
      <c r="E588" s="114">
        <v>24</v>
      </c>
      <c r="F588" s="114">
        <v>114</v>
      </c>
      <c r="G588" s="114">
        <v>42</v>
      </c>
      <c r="H588" s="114" t="s">
        <v>26</v>
      </c>
      <c r="I588" s="114"/>
      <c r="J588" s="114">
        <v>1</v>
      </c>
      <c r="K588" s="120"/>
      <c r="L588" s="120"/>
      <c r="M588" s="120">
        <v>1</v>
      </c>
      <c r="N588" s="121"/>
      <c r="O588" s="121"/>
      <c r="P588" s="121"/>
      <c r="Q588" s="114"/>
    </row>
    <row r="589" spans="2:17" ht="21" x14ac:dyDescent="0.25">
      <c r="B589" s="4">
        <v>591</v>
      </c>
      <c r="C589" s="230" t="s">
        <v>3274</v>
      </c>
      <c r="D589" s="114" t="s">
        <v>2538</v>
      </c>
      <c r="E589" s="114">
        <v>24</v>
      </c>
      <c r="F589" s="114">
        <v>115</v>
      </c>
      <c r="G589" s="114">
        <v>44</v>
      </c>
      <c r="H589" s="114" t="s">
        <v>26</v>
      </c>
      <c r="I589" s="114"/>
      <c r="J589" s="114">
        <v>1</v>
      </c>
      <c r="K589" s="120"/>
      <c r="L589" s="120"/>
      <c r="M589" s="120">
        <v>1</v>
      </c>
      <c r="N589" s="121"/>
      <c r="O589" s="121"/>
      <c r="P589" s="121"/>
      <c r="Q589" s="114"/>
    </row>
    <row r="590" spans="2:17" ht="21" x14ac:dyDescent="0.25">
      <c r="B590" s="4">
        <v>592</v>
      </c>
      <c r="C590" s="230" t="s">
        <v>3275</v>
      </c>
      <c r="D590" s="114" t="s">
        <v>3229</v>
      </c>
      <c r="E590" s="114">
        <v>24</v>
      </c>
      <c r="F590" s="114">
        <v>110</v>
      </c>
      <c r="G590" s="114">
        <v>37</v>
      </c>
      <c r="H590" s="114" t="s">
        <v>26</v>
      </c>
      <c r="I590" s="114"/>
      <c r="J590" s="114">
        <v>1</v>
      </c>
      <c r="K590" s="120"/>
      <c r="L590" s="120"/>
      <c r="M590" s="120">
        <v>1</v>
      </c>
      <c r="N590" s="121"/>
      <c r="O590" s="121"/>
      <c r="P590" s="121"/>
      <c r="Q590" s="114"/>
    </row>
    <row r="591" spans="2:17" ht="21" x14ac:dyDescent="0.25">
      <c r="B591" s="4">
        <v>593</v>
      </c>
      <c r="C591" s="230" t="s">
        <v>3276</v>
      </c>
      <c r="D591" s="114" t="s">
        <v>3230</v>
      </c>
      <c r="E591" s="114">
        <v>24</v>
      </c>
      <c r="F591" s="114">
        <v>32</v>
      </c>
      <c r="G591" s="114">
        <v>26</v>
      </c>
      <c r="H591" s="114" t="s">
        <v>26</v>
      </c>
      <c r="I591" s="114"/>
      <c r="J591" s="114">
        <v>1</v>
      </c>
      <c r="K591" s="120"/>
      <c r="L591" s="120"/>
      <c r="M591" s="120">
        <v>1</v>
      </c>
      <c r="N591" s="121"/>
      <c r="O591" s="121"/>
      <c r="P591" s="121"/>
      <c r="Q591" s="114"/>
    </row>
    <row r="592" spans="2:17" x14ac:dyDescent="0.25">
      <c r="B592" s="4">
        <v>594</v>
      </c>
      <c r="C592" s="230" t="s">
        <v>203</v>
      </c>
      <c r="D592" s="114" t="s">
        <v>3277</v>
      </c>
      <c r="E592" s="114">
        <v>24</v>
      </c>
      <c r="F592" s="114">
        <v>135</v>
      </c>
      <c r="G592" s="114">
        <v>38</v>
      </c>
      <c r="H592" s="114" t="s">
        <v>26</v>
      </c>
      <c r="I592" s="114"/>
      <c r="J592" s="114">
        <v>1</v>
      </c>
      <c r="K592" s="120"/>
      <c r="L592" s="120"/>
      <c r="M592" s="120">
        <v>1</v>
      </c>
      <c r="N592" s="121"/>
      <c r="O592" s="121"/>
      <c r="P592" s="121"/>
      <c r="Q592" s="114"/>
    </row>
    <row r="593" spans="2:18" x14ac:dyDescent="0.25">
      <c r="B593" s="4">
        <v>595</v>
      </c>
      <c r="C593" s="230" t="s">
        <v>1407</v>
      </c>
      <c r="D593" s="114" t="s">
        <v>3278</v>
      </c>
      <c r="E593" s="114">
        <v>24</v>
      </c>
      <c r="F593" s="114">
        <v>36</v>
      </c>
      <c r="G593" s="114">
        <v>45</v>
      </c>
      <c r="H593" s="114" t="s">
        <v>26</v>
      </c>
      <c r="I593" s="114"/>
      <c r="J593" s="114">
        <v>1</v>
      </c>
      <c r="K593" s="120"/>
      <c r="L593" s="120"/>
      <c r="M593" s="120">
        <v>1</v>
      </c>
      <c r="N593" s="121"/>
      <c r="O593" s="121"/>
      <c r="P593" s="121"/>
      <c r="Q593" s="114"/>
    </row>
    <row r="594" spans="2:18" x14ac:dyDescent="0.25">
      <c r="B594" s="4">
        <v>596</v>
      </c>
      <c r="C594" s="230" t="s">
        <v>487</v>
      </c>
      <c r="D594" s="114" t="s">
        <v>801</v>
      </c>
      <c r="E594" s="114">
        <v>24</v>
      </c>
      <c r="F594" s="114">
        <v>90</v>
      </c>
      <c r="G594" s="114">
        <v>37</v>
      </c>
      <c r="H594" s="114" t="s">
        <v>26</v>
      </c>
      <c r="I594" s="114"/>
      <c r="J594" s="114">
        <v>1</v>
      </c>
      <c r="K594" s="120"/>
      <c r="L594" s="120"/>
      <c r="M594" s="120">
        <v>1</v>
      </c>
      <c r="N594" s="121"/>
      <c r="O594" s="121"/>
      <c r="P594" s="121"/>
      <c r="Q594" s="114"/>
    </row>
    <row r="595" spans="2:18" x14ac:dyDescent="0.25">
      <c r="B595" s="4">
        <v>597</v>
      </c>
      <c r="C595" s="230" t="s">
        <v>181</v>
      </c>
      <c r="D595" s="114" t="s">
        <v>3279</v>
      </c>
      <c r="E595" s="114">
        <v>24</v>
      </c>
      <c r="F595" s="114">
        <v>45</v>
      </c>
      <c r="G595" s="114">
        <v>31</v>
      </c>
      <c r="H595" s="114" t="s">
        <v>26</v>
      </c>
      <c r="I595" s="114"/>
      <c r="J595" s="114">
        <v>1</v>
      </c>
      <c r="K595" s="120"/>
      <c r="L595" s="120"/>
      <c r="M595" s="120">
        <v>1</v>
      </c>
      <c r="N595" s="121"/>
      <c r="O595" s="121"/>
      <c r="P595" s="121"/>
      <c r="Q595" s="114"/>
    </row>
    <row r="596" spans="2:18" x14ac:dyDescent="0.25">
      <c r="B596" s="4">
        <v>598</v>
      </c>
      <c r="C596" s="230" t="s">
        <v>799</v>
      </c>
      <c r="D596" s="114" t="s">
        <v>3280</v>
      </c>
      <c r="E596" s="114">
        <v>24</v>
      </c>
      <c r="F596" s="114">
        <v>84</v>
      </c>
      <c r="G596" s="114">
        <v>38</v>
      </c>
      <c r="H596" s="114" t="s">
        <v>26</v>
      </c>
      <c r="I596" s="114"/>
      <c r="J596" s="114">
        <v>1</v>
      </c>
      <c r="K596" s="120"/>
      <c r="L596" s="120"/>
      <c r="M596" s="120">
        <v>1</v>
      </c>
      <c r="N596" s="121"/>
      <c r="O596" s="121"/>
      <c r="P596" s="121"/>
      <c r="Q596" s="114"/>
    </row>
    <row r="597" spans="2:18" x14ac:dyDescent="0.25">
      <c r="B597" s="4">
        <v>599</v>
      </c>
      <c r="C597" s="230" t="s">
        <v>614</v>
      </c>
      <c r="D597" s="114" t="s">
        <v>2875</v>
      </c>
      <c r="E597" s="114">
        <v>24</v>
      </c>
      <c r="F597" s="114">
        <v>76</v>
      </c>
      <c r="G597" s="114">
        <v>38</v>
      </c>
      <c r="H597" s="114" t="s">
        <v>26</v>
      </c>
      <c r="I597" s="114"/>
      <c r="J597" s="114">
        <v>1</v>
      </c>
      <c r="K597" s="120"/>
      <c r="L597" s="120"/>
      <c r="M597" s="120">
        <v>1</v>
      </c>
      <c r="N597" s="121"/>
      <c r="O597" s="121"/>
      <c r="P597" s="121"/>
      <c r="Q597" s="114"/>
    </row>
    <row r="598" spans="2:18" x14ac:dyDescent="0.25">
      <c r="B598" s="4">
        <v>600</v>
      </c>
      <c r="C598" s="230" t="s">
        <v>166</v>
      </c>
      <c r="D598" s="114" t="s">
        <v>2504</v>
      </c>
      <c r="E598" s="114">
        <v>24</v>
      </c>
      <c r="F598" s="114">
        <v>19</v>
      </c>
      <c r="G598" s="114">
        <v>24</v>
      </c>
      <c r="H598" s="114" t="s">
        <v>26</v>
      </c>
      <c r="I598" s="114"/>
      <c r="J598" s="114">
        <v>1</v>
      </c>
      <c r="K598" s="120"/>
      <c r="L598" s="120"/>
      <c r="M598" s="120">
        <v>1</v>
      </c>
      <c r="N598" s="121"/>
      <c r="O598" s="121"/>
      <c r="P598" s="121"/>
      <c r="Q598" s="114"/>
    </row>
    <row r="599" spans="2:18" x14ac:dyDescent="0.25">
      <c r="B599" s="4">
        <v>0</v>
      </c>
      <c r="C599" s="161" t="s">
        <v>449</v>
      </c>
      <c r="D599" s="114"/>
      <c r="E599" s="114"/>
      <c r="F599" s="114"/>
      <c r="G599" s="114"/>
      <c r="H599" s="114"/>
      <c r="I599" s="114">
        <f>SUM(I2:I598)</f>
        <v>281</v>
      </c>
      <c r="J599" s="114">
        <f>SUM(J2:J598)</f>
        <v>316</v>
      </c>
      <c r="K599" s="120">
        <f>SUM(K2:K520)</f>
        <v>0</v>
      </c>
      <c r="L599" s="120">
        <f>SUM(L2:L520)</f>
        <v>0</v>
      </c>
      <c r="M599" s="120">
        <f>SUM(M2:M598)</f>
        <v>120</v>
      </c>
      <c r="N599" s="121">
        <f>SUM(N2:N529)</f>
        <v>8</v>
      </c>
      <c r="O599" s="121">
        <f>SUM(O2:O529)</f>
        <v>13</v>
      </c>
      <c r="P599" s="121">
        <f>SUM(P2:P529)</f>
        <v>166</v>
      </c>
      <c r="Q599" s="114"/>
      <c r="R599" s="167" t="s">
        <v>2412</v>
      </c>
    </row>
    <row r="600" spans="2:18" ht="164.25" customHeight="1" x14ac:dyDescent="0.25">
      <c r="I600" s="162"/>
      <c r="J600" s="162"/>
      <c r="K600" s="162"/>
      <c r="L600" s="162"/>
      <c r="M600" s="162"/>
      <c r="N600" s="162"/>
      <c r="O600" s="162"/>
      <c r="P600" s="162"/>
    </row>
  </sheetData>
  <autoFilter ref="B1:Q599" xr:uid="{0F16CFE2-0B38-46B8-A313-F28A257FF524}">
    <sortState xmlns:xlrd2="http://schemas.microsoft.com/office/spreadsheetml/2017/richdata2" ref="B2:Q259">
      <sortCondition ref="B1:B259"/>
    </sortState>
  </autoFilter>
  <phoneticPr fontId="3" type="noConversion"/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E3D0FC-003D-433D-A1FA-C6E2492C985A}">
  <dimension ref="A1:R368"/>
  <sheetViews>
    <sheetView rightToLeft="1" zoomScale="130" zoomScaleNormal="130" workbookViewId="0">
      <pane ySplit="1" topLeftCell="A346" activePane="bottomLeft" state="frozen"/>
      <selection pane="bottomLeft" activeCell="D368" sqref="D368"/>
    </sheetView>
  </sheetViews>
  <sheetFormatPr defaultRowHeight="19.5" x14ac:dyDescent="0.55000000000000004"/>
  <cols>
    <col min="1" max="1" width="6.140625" style="125" customWidth="1"/>
    <col min="2" max="2" width="6.28515625" style="125" customWidth="1"/>
    <col min="3" max="3" width="9.85546875" style="125" customWidth="1"/>
    <col min="4" max="4" width="15.140625" style="125" customWidth="1"/>
    <col min="5" max="5" width="7" style="125" customWidth="1"/>
    <col min="6" max="6" width="8.140625" style="125" customWidth="1"/>
    <col min="7" max="7" width="6.28515625" style="125" customWidth="1"/>
    <col min="8" max="8" width="8.42578125" style="125" customWidth="1"/>
    <col min="9" max="9" width="6.5703125" style="125" customWidth="1"/>
    <col min="10" max="10" width="6.28515625" style="125" customWidth="1"/>
    <col min="11" max="11" width="10.42578125" style="147" customWidth="1"/>
    <col min="12" max="12" width="9.140625" style="147" customWidth="1"/>
    <col min="13" max="13" width="9.140625" style="226" customWidth="1"/>
    <col min="14" max="14" width="12" style="148" customWidth="1"/>
    <col min="15" max="15" width="9.7109375" style="148" customWidth="1"/>
    <col min="16" max="16" width="9.28515625" style="148" customWidth="1"/>
    <col min="17" max="17" width="22.140625" style="125" customWidth="1"/>
    <col min="18" max="18" width="13.140625" style="125" customWidth="1"/>
    <col min="19" max="16384" width="9.140625" style="125"/>
  </cols>
  <sheetData>
    <row r="1" spans="2:17" ht="64.5" customHeight="1" thickBot="1" x14ac:dyDescent="0.6">
      <c r="B1" s="124" t="s">
        <v>0</v>
      </c>
      <c r="C1" s="106" t="s">
        <v>420</v>
      </c>
      <c r="D1" s="107" t="s">
        <v>419</v>
      </c>
      <c r="E1" s="107" t="s">
        <v>1</v>
      </c>
      <c r="F1" s="107" t="s">
        <v>0</v>
      </c>
      <c r="G1" s="107" t="s">
        <v>2</v>
      </c>
      <c r="H1" s="107" t="s">
        <v>4</v>
      </c>
      <c r="I1" s="108" t="s">
        <v>27</v>
      </c>
      <c r="J1" s="108" t="s">
        <v>435</v>
      </c>
      <c r="K1" s="109" t="s">
        <v>438</v>
      </c>
      <c r="L1" s="109" t="s">
        <v>439</v>
      </c>
      <c r="M1" s="109" t="s">
        <v>440</v>
      </c>
      <c r="N1" s="110" t="s">
        <v>437</v>
      </c>
      <c r="O1" s="110" t="s">
        <v>436</v>
      </c>
      <c r="P1" s="110" t="s">
        <v>443</v>
      </c>
      <c r="Q1" s="111" t="s">
        <v>5</v>
      </c>
    </row>
    <row r="2" spans="2:17" x14ac:dyDescent="0.55000000000000004">
      <c r="B2" s="126">
        <v>1</v>
      </c>
      <c r="C2" s="127" t="s">
        <v>187</v>
      </c>
      <c r="D2" s="127" t="s">
        <v>764</v>
      </c>
      <c r="E2" s="127">
        <v>26</v>
      </c>
      <c r="F2" s="127">
        <v>42</v>
      </c>
      <c r="G2" s="127">
        <v>1</v>
      </c>
      <c r="H2" s="127" t="s">
        <v>26</v>
      </c>
      <c r="I2" s="128"/>
      <c r="J2" s="128">
        <v>1</v>
      </c>
      <c r="K2" s="129"/>
      <c r="L2" s="129"/>
      <c r="M2" s="129"/>
      <c r="N2" s="130"/>
      <c r="O2" s="130"/>
      <c r="P2" s="130"/>
      <c r="Q2" s="127"/>
    </row>
    <row r="3" spans="2:17" x14ac:dyDescent="0.55000000000000004">
      <c r="B3" s="126">
        <v>2</v>
      </c>
      <c r="C3" s="131" t="s">
        <v>682</v>
      </c>
      <c r="D3" s="131" t="s">
        <v>765</v>
      </c>
      <c r="E3" s="131">
        <v>26</v>
      </c>
      <c r="F3" s="131">
        <v>82</v>
      </c>
      <c r="G3" s="131">
        <v>1</v>
      </c>
      <c r="H3" s="127" t="s">
        <v>26</v>
      </c>
      <c r="I3" s="132"/>
      <c r="J3" s="128">
        <v>1</v>
      </c>
      <c r="K3" s="133"/>
      <c r="L3" s="133"/>
      <c r="M3" s="133"/>
      <c r="N3" s="130"/>
      <c r="O3" s="130"/>
      <c r="P3" s="130"/>
      <c r="Q3" s="131"/>
    </row>
    <row r="4" spans="2:17" x14ac:dyDescent="0.55000000000000004">
      <c r="B4" s="126">
        <v>3</v>
      </c>
      <c r="C4" s="131" t="s">
        <v>219</v>
      </c>
      <c r="D4" s="134" t="s">
        <v>772</v>
      </c>
      <c r="E4" s="134">
        <v>26</v>
      </c>
      <c r="F4" s="134">
        <v>60</v>
      </c>
      <c r="G4" s="134">
        <v>2</v>
      </c>
      <c r="H4" s="127" t="s">
        <v>26</v>
      </c>
      <c r="I4" s="135"/>
      <c r="J4" s="128">
        <v>1</v>
      </c>
      <c r="K4" s="129"/>
      <c r="L4" s="129"/>
      <c r="M4" s="129"/>
      <c r="N4" s="130"/>
      <c r="O4" s="130"/>
      <c r="P4" s="130"/>
      <c r="Q4" s="134" t="s">
        <v>35</v>
      </c>
    </row>
    <row r="5" spans="2:17" x14ac:dyDescent="0.55000000000000004">
      <c r="B5" s="126">
        <v>4</v>
      </c>
      <c r="C5" s="127" t="s">
        <v>348</v>
      </c>
      <c r="D5" s="131" t="s">
        <v>771</v>
      </c>
      <c r="E5" s="131">
        <v>26</v>
      </c>
      <c r="F5" s="131">
        <v>96</v>
      </c>
      <c r="G5" s="131">
        <v>3</v>
      </c>
      <c r="H5" s="127" t="s">
        <v>26</v>
      </c>
      <c r="I5" s="132"/>
      <c r="J5" s="128">
        <v>1</v>
      </c>
      <c r="K5" s="133"/>
      <c r="L5" s="133"/>
      <c r="M5" s="133"/>
      <c r="N5" s="130"/>
      <c r="O5" s="130"/>
      <c r="P5" s="130"/>
      <c r="Q5" s="131"/>
    </row>
    <row r="6" spans="2:17" x14ac:dyDescent="0.55000000000000004">
      <c r="B6" s="126">
        <v>5</v>
      </c>
      <c r="C6" s="131" t="s">
        <v>136</v>
      </c>
      <c r="D6" s="131" t="s">
        <v>770</v>
      </c>
      <c r="E6" s="131">
        <v>26</v>
      </c>
      <c r="F6" s="131">
        <v>79</v>
      </c>
      <c r="G6" s="131">
        <v>3</v>
      </c>
      <c r="H6" s="127" t="s">
        <v>26</v>
      </c>
      <c r="I6" s="128"/>
      <c r="J6" s="128">
        <v>1</v>
      </c>
      <c r="K6" s="129"/>
      <c r="L6" s="129"/>
      <c r="M6" s="129"/>
      <c r="N6" s="130"/>
      <c r="O6" s="130"/>
      <c r="P6" s="130"/>
      <c r="Q6" s="131" t="s">
        <v>34</v>
      </c>
    </row>
    <row r="7" spans="2:17" x14ac:dyDescent="0.55000000000000004">
      <c r="B7" s="126">
        <v>6</v>
      </c>
      <c r="C7" s="131" t="s">
        <v>769</v>
      </c>
      <c r="D7" s="134" t="s">
        <v>768</v>
      </c>
      <c r="E7" s="134">
        <v>26</v>
      </c>
      <c r="F7" s="134">
        <v>41</v>
      </c>
      <c r="G7" s="134">
        <v>3</v>
      </c>
      <c r="H7" s="127" t="s">
        <v>26</v>
      </c>
      <c r="I7" s="135"/>
      <c r="J7" s="128">
        <v>1</v>
      </c>
      <c r="K7" s="129"/>
      <c r="L7" s="129"/>
      <c r="M7" s="129"/>
      <c r="N7" s="130"/>
      <c r="O7" s="130"/>
      <c r="P7" s="130"/>
      <c r="Q7" s="134" t="s">
        <v>35</v>
      </c>
    </row>
    <row r="8" spans="2:17" x14ac:dyDescent="0.55000000000000004">
      <c r="B8" s="126">
        <v>7</v>
      </c>
      <c r="C8" s="127" t="s">
        <v>258</v>
      </c>
      <c r="D8" s="134" t="s">
        <v>767</v>
      </c>
      <c r="E8" s="134">
        <v>26</v>
      </c>
      <c r="F8" s="134">
        <v>80</v>
      </c>
      <c r="G8" s="134">
        <v>3</v>
      </c>
      <c r="H8" s="127" t="s">
        <v>26</v>
      </c>
      <c r="I8" s="135"/>
      <c r="J8" s="128">
        <v>1</v>
      </c>
      <c r="K8" s="129"/>
      <c r="L8" s="129"/>
      <c r="M8" s="129"/>
      <c r="N8" s="130"/>
      <c r="O8" s="130"/>
      <c r="P8" s="130"/>
      <c r="Q8" s="134" t="s">
        <v>35</v>
      </c>
    </row>
    <row r="9" spans="2:17" x14ac:dyDescent="0.55000000000000004">
      <c r="B9" s="126">
        <v>8</v>
      </c>
      <c r="C9" s="131" t="s">
        <v>143</v>
      </c>
      <c r="D9" s="134" t="s">
        <v>766</v>
      </c>
      <c r="E9" s="134">
        <v>26</v>
      </c>
      <c r="F9" s="134">
        <v>98</v>
      </c>
      <c r="G9" s="134">
        <v>4</v>
      </c>
      <c r="H9" s="127" t="s">
        <v>26</v>
      </c>
      <c r="I9" s="136"/>
      <c r="J9" s="128">
        <v>1</v>
      </c>
      <c r="K9" s="133"/>
      <c r="L9" s="133"/>
      <c r="M9" s="133"/>
      <c r="N9" s="130"/>
      <c r="O9" s="130"/>
      <c r="P9" s="130"/>
      <c r="Q9" s="134" t="s">
        <v>35</v>
      </c>
    </row>
    <row r="10" spans="2:17" x14ac:dyDescent="0.55000000000000004">
      <c r="B10" s="126">
        <v>10</v>
      </c>
      <c r="C10" s="127" t="s">
        <v>187</v>
      </c>
      <c r="D10" s="134" t="s">
        <v>993</v>
      </c>
      <c r="E10" s="134">
        <v>26</v>
      </c>
      <c r="F10" s="134">
        <v>60</v>
      </c>
      <c r="G10" s="134">
        <v>5</v>
      </c>
      <c r="H10" s="127" t="s">
        <v>26</v>
      </c>
      <c r="I10" s="136"/>
      <c r="J10" s="128">
        <v>1</v>
      </c>
      <c r="K10" s="133"/>
      <c r="L10" s="133"/>
      <c r="M10" s="133"/>
      <c r="N10" s="130"/>
      <c r="O10" s="130"/>
      <c r="P10" s="130"/>
      <c r="Q10" s="134" t="s">
        <v>35</v>
      </c>
    </row>
    <row r="11" spans="2:17" x14ac:dyDescent="0.55000000000000004">
      <c r="B11" s="126">
        <v>11</v>
      </c>
      <c r="C11" s="131" t="s">
        <v>992</v>
      </c>
      <c r="D11" s="131" t="s">
        <v>991</v>
      </c>
      <c r="E11" s="131">
        <v>26</v>
      </c>
      <c r="F11" s="131">
        <v>78</v>
      </c>
      <c r="G11" s="131">
        <v>6</v>
      </c>
      <c r="H11" s="127" t="s">
        <v>26</v>
      </c>
      <c r="I11" s="128"/>
      <c r="J11" s="128">
        <v>1</v>
      </c>
      <c r="K11" s="129"/>
      <c r="L11" s="129"/>
      <c r="M11" s="129"/>
      <c r="N11" s="130"/>
      <c r="O11" s="130"/>
      <c r="P11" s="130"/>
      <c r="Q11" s="131"/>
    </row>
    <row r="12" spans="2:17" x14ac:dyDescent="0.55000000000000004">
      <c r="B12" s="126">
        <v>14</v>
      </c>
      <c r="C12" s="131" t="s">
        <v>736</v>
      </c>
      <c r="D12" s="134" t="s">
        <v>990</v>
      </c>
      <c r="E12" s="134">
        <v>26</v>
      </c>
      <c r="F12" s="134">
        <v>81</v>
      </c>
      <c r="G12" s="134">
        <v>7</v>
      </c>
      <c r="H12" s="127" t="s">
        <v>26</v>
      </c>
      <c r="I12" s="136"/>
      <c r="J12" s="128">
        <v>1</v>
      </c>
      <c r="K12" s="133"/>
      <c r="L12" s="133"/>
      <c r="M12" s="133"/>
      <c r="N12" s="130"/>
      <c r="O12" s="130"/>
      <c r="P12" s="130"/>
      <c r="Q12" s="134" t="s">
        <v>35</v>
      </c>
    </row>
    <row r="13" spans="2:17" x14ac:dyDescent="0.55000000000000004">
      <c r="B13" s="126">
        <v>15</v>
      </c>
      <c r="C13" s="131" t="s">
        <v>232</v>
      </c>
      <c r="D13" s="134" t="s">
        <v>675</v>
      </c>
      <c r="E13" s="134">
        <v>26</v>
      </c>
      <c r="F13" s="134">
        <v>78</v>
      </c>
      <c r="G13" s="134">
        <v>7</v>
      </c>
      <c r="H13" s="127" t="s">
        <v>26</v>
      </c>
      <c r="I13" s="136"/>
      <c r="J13" s="128">
        <v>1</v>
      </c>
      <c r="K13" s="133"/>
      <c r="L13" s="133"/>
      <c r="M13" s="133"/>
      <c r="N13" s="130"/>
      <c r="O13" s="130"/>
      <c r="P13" s="130"/>
      <c r="Q13" s="134" t="s">
        <v>35</v>
      </c>
    </row>
    <row r="14" spans="2:17" x14ac:dyDescent="0.55000000000000004">
      <c r="B14" s="126">
        <v>16</v>
      </c>
      <c r="C14" s="127" t="s">
        <v>143</v>
      </c>
      <c r="D14" s="131" t="s">
        <v>777</v>
      </c>
      <c r="E14" s="131">
        <v>26</v>
      </c>
      <c r="F14" s="131">
        <v>83</v>
      </c>
      <c r="G14" s="131">
        <v>8</v>
      </c>
      <c r="H14" s="127" t="s">
        <v>26</v>
      </c>
      <c r="I14" s="132"/>
      <c r="J14" s="128">
        <v>1</v>
      </c>
      <c r="K14" s="133"/>
      <c r="L14" s="133"/>
      <c r="M14" s="133"/>
      <c r="N14" s="130"/>
      <c r="O14" s="130"/>
      <c r="P14" s="130"/>
      <c r="Q14" s="131"/>
    </row>
    <row r="15" spans="2:17" x14ac:dyDescent="0.55000000000000004">
      <c r="B15" s="126">
        <v>17</v>
      </c>
      <c r="C15" s="131" t="s">
        <v>776</v>
      </c>
      <c r="D15" s="131" t="s">
        <v>775</v>
      </c>
      <c r="E15" s="131">
        <v>26</v>
      </c>
      <c r="F15" s="131">
        <v>86</v>
      </c>
      <c r="G15" s="131">
        <v>8</v>
      </c>
      <c r="H15" s="127" t="s">
        <v>26</v>
      </c>
      <c r="I15" s="128"/>
      <c r="J15" s="128">
        <v>1</v>
      </c>
      <c r="K15" s="129"/>
      <c r="L15" s="129"/>
      <c r="M15" s="129">
        <v>1</v>
      </c>
      <c r="N15" s="130"/>
      <c r="O15" s="130"/>
      <c r="P15" s="130"/>
      <c r="Q15" s="131"/>
    </row>
    <row r="16" spans="2:17" x14ac:dyDescent="0.55000000000000004">
      <c r="B16" s="126">
        <v>18</v>
      </c>
      <c r="C16" s="131" t="s">
        <v>774</v>
      </c>
      <c r="D16" s="134" t="s">
        <v>773</v>
      </c>
      <c r="E16" s="134">
        <v>26</v>
      </c>
      <c r="F16" s="134">
        <v>91</v>
      </c>
      <c r="G16" s="134">
        <v>8</v>
      </c>
      <c r="H16" s="127" t="s">
        <v>26</v>
      </c>
      <c r="I16" s="135"/>
      <c r="J16" s="128">
        <v>1</v>
      </c>
      <c r="K16" s="129"/>
      <c r="L16" s="129"/>
      <c r="M16" s="129"/>
      <c r="N16" s="130"/>
      <c r="O16" s="130"/>
      <c r="P16" s="130"/>
      <c r="Q16" s="134" t="s">
        <v>35</v>
      </c>
    </row>
    <row r="17" spans="2:17" x14ac:dyDescent="0.55000000000000004">
      <c r="B17" s="126">
        <v>19</v>
      </c>
      <c r="C17" s="127" t="s">
        <v>677</v>
      </c>
      <c r="D17" s="134" t="s">
        <v>989</v>
      </c>
      <c r="E17" s="134">
        <v>26</v>
      </c>
      <c r="F17" s="134">
        <v>86</v>
      </c>
      <c r="G17" s="134">
        <v>9</v>
      </c>
      <c r="H17" s="127" t="s">
        <v>26</v>
      </c>
      <c r="I17" s="136"/>
      <c r="J17" s="128">
        <v>1</v>
      </c>
      <c r="K17" s="133"/>
      <c r="L17" s="133"/>
      <c r="M17" s="133"/>
      <c r="N17" s="130"/>
      <c r="O17" s="130"/>
      <c r="P17" s="130"/>
      <c r="Q17" s="134" t="s">
        <v>35</v>
      </c>
    </row>
    <row r="18" spans="2:17" x14ac:dyDescent="0.55000000000000004">
      <c r="B18" s="126">
        <v>20</v>
      </c>
      <c r="C18" s="131" t="s">
        <v>949</v>
      </c>
      <c r="D18" s="134" t="s">
        <v>988</v>
      </c>
      <c r="E18" s="134">
        <v>26</v>
      </c>
      <c r="F18" s="134">
        <v>81</v>
      </c>
      <c r="G18" s="134">
        <v>9</v>
      </c>
      <c r="H18" s="127" t="s">
        <v>26</v>
      </c>
      <c r="I18" s="135"/>
      <c r="J18" s="128">
        <v>1</v>
      </c>
      <c r="K18" s="129"/>
      <c r="L18" s="129"/>
      <c r="M18" s="129"/>
      <c r="N18" s="130"/>
      <c r="O18" s="130"/>
      <c r="P18" s="130"/>
      <c r="Q18" s="134" t="s">
        <v>35</v>
      </c>
    </row>
    <row r="19" spans="2:17" x14ac:dyDescent="0.55000000000000004">
      <c r="B19" s="126">
        <v>21</v>
      </c>
      <c r="C19" s="131" t="s">
        <v>932</v>
      </c>
      <c r="D19" s="131" t="s">
        <v>987</v>
      </c>
      <c r="E19" s="131">
        <v>26</v>
      </c>
      <c r="F19" s="131">
        <v>59</v>
      </c>
      <c r="G19" s="131">
        <v>14</v>
      </c>
      <c r="H19" s="127" t="s">
        <v>26</v>
      </c>
      <c r="I19" s="128"/>
      <c r="J19" s="128">
        <v>1</v>
      </c>
      <c r="K19" s="129"/>
      <c r="L19" s="129"/>
      <c r="M19" s="129"/>
      <c r="N19" s="130"/>
      <c r="O19" s="130"/>
      <c r="P19" s="130"/>
      <c r="Q19" s="131"/>
    </row>
    <row r="20" spans="2:17" x14ac:dyDescent="0.55000000000000004">
      <c r="B20" s="126">
        <v>22</v>
      </c>
      <c r="C20" s="127" t="s">
        <v>712</v>
      </c>
      <c r="D20" s="131" t="s">
        <v>817</v>
      </c>
      <c r="E20" s="131">
        <v>26</v>
      </c>
      <c r="F20" s="131">
        <v>78</v>
      </c>
      <c r="G20" s="131">
        <v>14</v>
      </c>
      <c r="H20" s="127" t="s">
        <v>26</v>
      </c>
      <c r="I20" s="128"/>
      <c r="J20" s="128">
        <v>1</v>
      </c>
      <c r="K20" s="129"/>
      <c r="L20" s="129"/>
      <c r="M20" s="129"/>
      <c r="N20" s="130"/>
      <c r="O20" s="130"/>
      <c r="P20" s="130"/>
      <c r="Q20" s="131"/>
    </row>
    <row r="21" spans="2:17" x14ac:dyDescent="0.55000000000000004">
      <c r="B21" s="126">
        <v>23</v>
      </c>
      <c r="C21" s="131" t="s">
        <v>986</v>
      </c>
      <c r="D21" s="131" t="s">
        <v>985</v>
      </c>
      <c r="E21" s="131">
        <v>26</v>
      </c>
      <c r="F21" s="131">
        <v>89</v>
      </c>
      <c r="G21" s="131">
        <v>15</v>
      </c>
      <c r="H21" s="127" t="s">
        <v>26</v>
      </c>
      <c r="I21" s="128"/>
      <c r="J21" s="128">
        <v>1</v>
      </c>
      <c r="K21" s="129"/>
      <c r="L21" s="129"/>
      <c r="M21" s="129"/>
      <c r="N21" s="130"/>
      <c r="O21" s="130"/>
      <c r="P21" s="130"/>
      <c r="Q21" s="131"/>
    </row>
    <row r="22" spans="2:17" x14ac:dyDescent="0.55000000000000004">
      <c r="B22" s="126">
        <v>24</v>
      </c>
      <c r="C22" s="131" t="s">
        <v>984</v>
      </c>
      <c r="D22" s="131" t="s">
        <v>983</v>
      </c>
      <c r="E22" s="131">
        <v>26</v>
      </c>
      <c r="F22" s="131">
        <v>67</v>
      </c>
      <c r="G22" s="131">
        <v>17</v>
      </c>
      <c r="H22" s="127" t="s">
        <v>26</v>
      </c>
      <c r="I22" s="128"/>
      <c r="J22" s="128">
        <v>1</v>
      </c>
      <c r="K22" s="129"/>
      <c r="L22" s="129"/>
      <c r="M22" s="129"/>
      <c r="N22" s="130"/>
      <c r="O22" s="130"/>
      <c r="P22" s="130"/>
      <c r="Q22" s="131"/>
    </row>
    <row r="23" spans="2:17" x14ac:dyDescent="0.55000000000000004">
      <c r="B23" s="126">
        <v>25</v>
      </c>
      <c r="C23" s="127" t="s">
        <v>652</v>
      </c>
      <c r="D23" s="131" t="s">
        <v>981</v>
      </c>
      <c r="E23" s="131">
        <v>26</v>
      </c>
      <c r="F23" s="131">
        <v>30</v>
      </c>
      <c r="G23" s="131">
        <v>17</v>
      </c>
      <c r="H23" s="127" t="s">
        <v>26</v>
      </c>
      <c r="I23" s="128"/>
      <c r="J23" s="128">
        <v>1</v>
      </c>
      <c r="K23" s="129"/>
      <c r="L23" s="129"/>
      <c r="M23" s="129">
        <v>1</v>
      </c>
      <c r="N23" s="130"/>
      <c r="O23" s="130"/>
      <c r="P23" s="130"/>
      <c r="Q23" s="131"/>
    </row>
    <row r="24" spans="2:17" x14ac:dyDescent="0.55000000000000004">
      <c r="B24" s="126">
        <v>26</v>
      </c>
      <c r="C24" s="131" t="s">
        <v>3201</v>
      </c>
      <c r="D24" s="131" t="s">
        <v>3202</v>
      </c>
      <c r="E24" s="131">
        <v>26</v>
      </c>
      <c r="F24" s="131">
        <v>57</v>
      </c>
      <c r="G24" s="131">
        <v>18</v>
      </c>
      <c r="H24" s="127" t="s">
        <v>26</v>
      </c>
      <c r="I24" s="128"/>
      <c r="J24" s="128">
        <v>1</v>
      </c>
      <c r="K24" s="129"/>
      <c r="L24" s="129"/>
      <c r="M24" s="129"/>
      <c r="N24" s="130"/>
      <c r="O24" s="130"/>
      <c r="P24" s="130"/>
      <c r="Q24" s="131"/>
    </row>
    <row r="25" spans="2:17" x14ac:dyDescent="0.55000000000000004">
      <c r="B25" s="126">
        <v>27</v>
      </c>
      <c r="C25" s="131" t="s">
        <v>270</v>
      </c>
      <c r="D25" s="131" t="s">
        <v>980</v>
      </c>
      <c r="E25" s="131">
        <v>26</v>
      </c>
      <c r="F25" s="131">
        <v>90</v>
      </c>
      <c r="G25" s="131">
        <v>19</v>
      </c>
      <c r="H25" s="127" t="s">
        <v>26</v>
      </c>
      <c r="I25" s="128"/>
      <c r="J25" s="128">
        <v>1</v>
      </c>
      <c r="K25" s="129"/>
      <c r="L25" s="129"/>
      <c r="M25" s="129"/>
      <c r="N25" s="130"/>
      <c r="O25" s="130"/>
      <c r="P25" s="130"/>
      <c r="Q25" s="131" t="s">
        <v>34</v>
      </c>
    </row>
    <row r="26" spans="2:17" x14ac:dyDescent="0.55000000000000004">
      <c r="B26" s="126">
        <v>28</v>
      </c>
      <c r="C26" s="127" t="s">
        <v>979</v>
      </c>
      <c r="D26" s="131" t="s">
        <v>978</v>
      </c>
      <c r="E26" s="131">
        <v>26</v>
      </c>
      <c r="F26" s="131">
        <v>90</v>
      </c>
      <c r="G26" s="131">
        <v>19</v>
      </c>
      <c r="H26" s="127" t="s">
        <v>26</v>
      </c>
      <c r="I26" s="132"/>
      <c r="J26" s="128">
        <v>1</v>
      </c>
      <c r="K26" s="133"/>
      <c r="L26" s="133"/>
      <c r="M26" s="133">
        <v>1</v>
      </c>
      <c r="N26" s="130"/>
      <c r="O26" s="130"/>
      <c r="P26" s="130"/>
      <c r="Q26" s="131"/>
    </row>
    <row r="27" spans="2:17" x14ac:dyDescent="0.55000000000000004">
      <c r="B27" s="126">
        <v>29</v>
      </c>
      <c r="C27" s="131" t="s">
        <v>137</v>
      </c>
      <c r="D27" s="131" t="s">
        <v>542</v>
      </c>
      <c r="E27" s="131">
        <v>26</v>
      </c>
      <c r="F27" s="131">
        <v>87</v>
      </c>
      <c r="G27" s="131">
        <v>20</v>
      </c>
      <c r="H27" s="127" t="s">
        <v>26</v>
      </c>
      <c r="I27" s="132"/>
      <c r="J27" s="128">
        <v>1</v>
      </c>
      <c r="K27" s="133"/>
      <c r="L27" s="133"/>
      <c r="M27" s="133"/>
      <c r="N27" s="130"/>
      <c r="O27" s="130"/>
      <c r="P27" s="130"/>
      <c r="Q27" s="131"/>
    </row>
    <row r="28" spans="2:17" x14ac:dyDescent="0.55000000000000004">
      <c r="B28" s="126">
        <v>30</v>
      </c>
      <c r="C28" s="131" t="s">
        <v>977</v>
      </c>
      <c r="D28" s="131" t="s">
        <v>976</v>
      </c>
      <c r="E28" s="131">
        <v>26</v>
      </c>
      <c r="F28" s="131">
        <v>95</v>
      </c>
      <c r="G28" s="131">
        <v>21</v>
      </c>
      <c r="H28" s="127" t="s">
        <v>26</v>
      </c>
      <c r="I28" s="128"/>
      <c r="J28" s="128">
        <v>1</v>
      </c>
      <c r="K28" s="129"/>
      <c r="L28" s="129"/>
      <c r="M28" s="129"/>
      <c r="N28" s="130"/>
      <c r="O28" s="130"/>
      <c r="P28" s="130"/>
      <c r="Q28" s="131"/>
    </row>
    <row r="29" spans="2:17" x14ac:dyDescent="0.55000000000000004">
      <c r="B29" s="126">
        <v>31</v>
      </c>
      <c r="C29" s="127" t="s">
        <v>125</v>
      </c>
      <c r="D29" s="131" t="s">
        <v>975</v>
      </c>
      <c r="E29" s="131">
        <v>26</v>
      </c>
      <c r="F29" s="131">
        <v>3</v>
      </c>
      <c r="G29" s="131">
        <v>30</v>
      </c>
      <c r="H29" s="127" t="s">
        <v>26</v>
      </c>
      <c r="I29" s="132"/>
      <c r="J29" s="128">
        <v>1</v>
      </c>
      <c r="K29" s="133"/>
      <c r="L29" s="133"/>
      <c r="M29" s="133">
        <v>1</v>
      </c>
      <c r="N29" s="130"/>
      <c r="O29" s="130"/>
      <c r="P29" s="130"/>
      <c r="Q29" s="131"/>
    </row>
    <row r="30" spans="2:17" x14ac:dyDescent="0.55000000000000004">
      <c r="B30" s="126">
        <v>32</v>
      </c>
      <c r="C30" s="131" t="s">
        <v>128</v>
      </c>
      <c r="D30" s="131" t="s">
        <v>3195</v>
      </c>
      <c r="E30" s="131">
        <v>26</v>
      </c>
      <c r="F30" s="131">
        <v>44</v>
      </c>
      <c r="G30" s="131">
        <v>30</v>
      </c>
      <c r="H30" s="127" t="s">
        <v>26</v>
      </c>
      <c r="I30" s="132"/>
      <c r="J30" s="128">
        <v>1</v>
      </c>
      <c r="K30" s="133"/>
      <c r="L30" s="133"/>
      <c r="M30" s="133"/>
      <c r="N30" s="130"/>
      <c r="O30" s="130"/>
      <c r="P30" s="130"/>
      <c r="Q30" s="131"/>
    </row>
    <row r="31" spans="2:17" x14ac:dyDescent="0.55000000000000004">
      <c r="B31" s="126">
        <v>33</v>
      </c>
      <c r="C31" s="131" t="s">
        <v>123</v>
      </c>
      <c r="D31" s="131" t="s">
        <v>974</v>
      </c>
      <c r="E31" s="131">
        <v>26</v>
      </c>
      <c r="F31" s="131">
        <v>33</v>
      </c>
      <c r="G31" s="131">
        <v>30</v>
      </c>
      <c r="H31" s="127" t="s">
        <v>26</v>
      </c>
      <c r="I31" s="132"/>
      <c r="J31" s="128">
        <v>1</v>
      </c>
      <c r="K31" s="133"/>
      <c r="L31" s="133"/>
      <c r="M31" s="133"/>
      <c r="N31" s="130"/>
      <c r="O31" s="130"/>
      <c r="P31" s="130"/>
      <c r="Q31" s="131"/>
    </row>
    <row r="32" spans="2:17" x14ac:dyDescent="0.55000000000000004">
      <c r="B32" s="126">
        <v>34</v>
      </c>
      <c r="C32" s="127" t="s">
        <v>677</v>
      </c>
      <c r="D32" s="134" t="s">
        <v>375</v>
      </c>
      <c r="E32" s="134">
        <v>26</v>
      </c>
      <c r="F32" s="134">
        <v>5</v>
      </c>
      <c r="G32" s="134">
        <v>31</v>
      </c>
      <c r="H32" s="127" t="s">
        <v>26</v>
      </c>
      <c r="I32" s="136"/>
      <c r="J32" s="128">
        <v>1</v>
      </c>
      <c r="K32" s="133"/>
      <c r="L32" s="133"/>
      <c r="M32" s="133"/>
      <c r="N32" s="130"/>
      <c r="O32" s="130"/>
      <c r="P32" s="130"/>
      <c r="Q32" s="134" t="s">
        <v>35</v>
      </c>
    </row>
    <row r="33" spans="2:17" x14ac:dyDescent="0.55000000000000004">
      <c r="B33" s="126">
        <v>35</v>
      </c>
      <c r="C33" s="131" t="s">
        <v>280</v>
      </c>
      <c r="D33" s="131" t="s">
        <v>711</v>
      </c>
      <c r="E33" s="131">
        <v>26</v>
      </c>
      <c r="F33" s="131">
        <v>32</v>
      </c>
      <c r="G33" s="131">
        <v>33</v>
      </c>
      <c r="H33" s="127" t="s">
        <v>26</v>
      </c>
      <c r="I33" s="132"/>
      <c r="J33" s="128">
        <v>1</v>
      </c>
      <c r="K33" s="133"/>
      <c r="L33" s="133"/>
      <c r="M33" s="133"/>
      <c r="N33" s="130"/>
      <c r="O33" s="130"/>
      <c r="P33" s="130"/>
      <c r="Q33" s="131"/>
    </row>
    <row r="34" spans="2:17" x14ac:dyDescent="0.55000000000000004">
      <c r="B34" s="126">
        <v>36</v>
      </c>
      <c r="C34" s="131" t="s">
        <v>132</v>
      </c>
      <c r="D34" s="131" t="s">
        <v>973</v>
      </c>
      <c r="E34" s="131">
        <v>26</v>
      </c>
      <c r="F34" s="131">
        <v>79</v>
      </c>
      <c r="G34" s="131">
        <v>33</v>
      </c>
      <c r="H34" s="131" t="s">
        <v>26</v>
      </c>
      <c r="I34" s="132"/>
      <c r="J34" s="128">
        <v>1</v>
      </c>
      <c r="K34" s="133"/>
      <c r="L34" s="133"/>
      <c r="M34" s="133">
        <v>1</v>
      </c>
      <c r="N34" s="130"/>
      <c r="O34" s="130"/>
      <c r="P34" s="130"/>
      <c r="Q34" s="131"/>
    </row>
    <row r="35" spans="2:17" x14ac:dyDescent="0.55000000000000004">
      <c r="B35" s="126">
        <v>37</v>
      </c>
      <c r="C35" s="127" t="s">
        <v>677</v>
      </c>
      <c r="D35" s="131" t="s">
        <v>972</v>
      </c>
      <c r="E35" s="131">
        <v>26</v>
      </c>
      <c r="F35" s="131">
        <v>50</v>
      </c>
      <c r="G35" s="131">
        <v>34</v>
      </c>
      <c r="H35" s="127" t="s">
        <v>26</v>
      </c>
      <c r="I35" s="132"/>
      <c r="J35" s="128">
        <v>1</v>
      </c>
      <c r="K35" s="133"/>
      <c r="L35" s="133"/>
      <c r="M35" s="133"/>
      <c r="N35" s="130"/>
      <c r="O35" s="130"/>
      <c r="P35" s="130"/>
      <c r="Q35" s="131"/>
    </row>
    <row r="36" spans="2:17" x14ac:dyDescent="0.55000000000000004">
      <c r="B36" s="126">
        <v>38</v>
      </c>
      <c r="C36" s="131" t="s">
        <v>600</v>
      </c>
      <c r="D36" s="131" t="s">
        <v>6</v>
      </c>
      <c r="E36" s="131">
        <v>26</v>
      </c>
      <c r="F36" s="131">
        <v>35</v>
      </c>
      <c r="G36" s="131">
        <v>34</v>
      </c>
      <c r="H36" s="127" t="s">
        <v>26</v>
      </c>
      <c r="I36" s="132"/>
      <c r="J36" s="128">
        <v>1</v>
      </c>
      <c r="K36" s="133"/>
      <c r="L36" s="133"/>
      <c r="M36" s="133"/>
      <c r="N36" s="130"/>
      <c r="O36" s="130"/>
      <c r="P36" s="130"/>
      <c r="Q36" s="131"/>
    </row>
    <row r="37" spans="2:17" x14ac:dyDescent="0.55000000000000004">
      <c r="B37" s="126">
        <v>39</v>
      </c>
      <c r="C37" s="131" t="s">
        <v>575</v>
      </c>
      <c r="D37" s="131" t="s">
        <v>971</v>
      </c>
      <c r="E37" s="131">
        <v>26</v>
      </c>
      <c r="F37" s="131">
        <v>63</v>
      </c>
      <c r="G37" s="131">
        <v>36</v>
      </c>
      <c r="H37" s="127" t="s">
        <v>26</v>
      </c>
      <c r="I37" s="128"/>
      <c r="J37" s="128">
        <v>1</v>
      </c>
      <c r="K37" s="129"/>
      <c r="L37" s="129"/>
      <c r="M37" s="129"/>
      <c r="N37" s="130"/>
      <c r="O37" s="130"/>
      <c r="P37" s="130"/>
      <c r="Q37" s="131"/>
    </row>
    <row r="38" spans="2:17" x14ac:dyDescent="0.55000000000000004">
      <c r="B38" s="126">
        <v>40</v>
      </c>
      <c r="C38" s="127" t="s">
        <v>270</v>
      </c>
      <c r="D38" s="131" t="s">
        <v>970</v>
      </c>
      <c r="E38" s="131">
        <v>26</v>
      </c>
      <c r="F38" s="131">
        <v>34</v>
      </c>
      <c r="G38" s="131">
        <v>38</v>
      </c>
      <c r="H38" s="127" t="s">
        <v>26</v>
      </c>
      <c r="I38" s="128"/>
      <c r="J38" s="128">
        <v>1</v>
      </c>
      <c r="K38" s="129"/>
      <c r="L38" s="129"/>
      <c r="M38" s="129"/>
      <c r="N38" s="130"/>
      <c r="O38" s="130"/>
      <c r="P38" s="130"/>
      <c r="Q38" s="131"/>
    </row>
    <row r="39" spans="2:17" x14ac:dyDescent="0.55000000000000004">
      <c r="B39" s="126">
        <v>41</v>
      </c>
      <c r="C39" s="131" t="s">
        <v>138</v>
      </c>
      <c r="D39" s="131" t="s">
        <v>969</v>
      </c>
      <c r="E39" s="131">
        <v>26</v>
      </c>
      <c r="F39" s="131">
        <v>9</v>
      </c>
      <c r="G39" s="131">
        <v>38</v>
      </c>
      <c r="H39" s="127" t="s">
        <v>26</v>
      </c>
      <c r="I39" s="132"/>
      <c r="J39" s="128">
        <v>1</v>
      </c>
      <c r="K39" s="133"/>
      <c r="L39" s="133"/>
      <c r="M39" s="133">
        <v>1</v>
      </c>
      <c r="N39" s="130"/>
      <c r="O39" s="130"/>
      <c r="P39" s="130"/>
      <c r="Q39" s="131"/>
    </row>
    <row r="40" spans="2:17" x14ac:dyDescent="0.55000000000000004">
      <c r="B40" s="126">
        <v>42</v>
      </c>
      <c r="C40" s="131" t="s">
        <v>968</v>
      </c>
      <c r="D40" s="131" t="s">
        <v>967</v>
      </c>
      <c r="E40" s="131">
        <v>26</v>
      </c>
      <c r="F40" s="131">
        <v>2</v>
      </c>
      <c r="G40" s="131">
        <v>39</v>
      </c>
      <c r="H40" s="127" t="s">
        <v>26</v>
      </c>
      <c r="I40" s="128"/>
      <c r="J40" s="128">
        <v>1</v>
      </c>
      <c r="K40" s="129"/>
      <c r="L40" s="129"/>
      <c r="M40" s="129">
        <v>1</v>
      </c>
      <c r="N40" s="130"/>
      <c r="O40" s="130"/>
      <c r="P40" s="130"/>
      <c r="Q40" s="131"/>
    </row>
    <row r="41" spans="2:17" x14ac:dyDescent="0.55000000000000004">
      <c r="B41" s="126">
        <v>43</v>
      </c>
      <c r="C41" s="127" t="s">
        <v>966</v>
      </c>
      <c r="D41" s="131" t="s">
        <v>965</v>
      </c>
      <c r="E41" s="131">
        <v>26</v>
      </c>
      <c r="F41" s="131">
        <v>51</v>
      </c>
      <c r="G41" s="131">
        <v>42</v>
      </c>
      <c r="H41" s="127" t="s">
        <v>26</v>
      </c>
      <c r="I41" s="128"/>
      <c r="J41" s="128">
        <v>1</v>
      </c>
      <c r="K41" s="129"/>
      <c r="L41" s="129"/>
      <c r="M41" s="129"/>
      <c r="N41" s="130"/>
      <c r="O41" s="130"/>
      <c r="P41" s="130"/>
      <c r="Q41" s="131"/>
    </row>
    <row r="42" spans="2:17" x14ac:dyDescent="0.55000000000000004">
      <c r="B42" s="126">
        <v>44</v>
      </c>
      <c r="C42" s="131" t="s">
        <v>136</v>
      </c>
      <c r="D42" s="131" t="s">
        <v>964</v>
      </c>
      <c r="E42" s="131">
        <v>26</v>
      </c>
      <c r="F42" s="131">
        <v>1</v>
      </c>
      <c r="G42" s="131">
        <v>44</v>
      </c>
      <c r="H42" s="127" t="s">
        <v>26</v>
      </c>
      <c r="I42" s="128"/>
      <c r="J42" s="128">
        <v>1</v>
      </c>
      <c r="K42" s="129"/>
      <c r="L42" s="129"/>
      <c r="M42" s="129"/>
      <c r="N42" s="130"/>
      <c r="O42" s="130"/>
      <c r="P42" s="130"/>
      <c r="Q42" s="131"/>
    </row>
    <row r="43" spans="2:17" x14ac:dyDescent="0.55000000000000004">
      <c r="B43" s="126">
        <v>45</v>
      </c>
      <c r="C43" s="131" t="s">
        <v>123</v>
      </c>
      <c r="D43" s="131" t="s">
        <v>963</v>
      </c>
      <c r="E43" s="131">
        <v>26</v>
      </c>
      <c r="F43" s="131">
        <v>15</v>
      </c>
      <c r="G43" s="131">
        <v>44</v>
      </c>
      <c r="H43" s="127" t="s">
        <v>26</v>
      </c>
      <c r="I43" s="132"/>
      <c r="J43" s="128">
        <v>1</v>
      </c>
      <c r="K43" s="133"/>
      <c r="L43" s="133"/>
      <c r="M43" s="133"/>
      <c r="N43" s="130"/>
      <c r="O43" s="130"/>
      <c r="P43" s="130"/>
      <c r="Q43" s="131"/>
    </row>
    <row r="44" spans="2:17" x14ac:dyDescent="0.55000000000000004">
      <c r="B44" s="126">
        <v>46</v>
      </c>
      <c r="C44" s="127" t="s">
        <v>896</v>
      </c>
      <c r="D44" s="131" t="s">
        <v>962</v>
      </c>
      <c r="E44" s="131">
        <v>26</v>
      </c>
      <c r="F44" s="131">
        <v>47</v>
      </c>
      <c r="G44" s="131">
        <v>45</v>
      </c>
      <c r="H44" s="127" t="s">
        <v>26</v>
      </c>
      <c r="I44" s="132"/>
      <c r="J44" s="128">
        <v>1</v>
      </c>
      <c r="K44" s="133"/>
      <c r="L44" s="133"/>
      <c r="M44" s="133"/>
      <c r="N44" s="130"/>
      <c r="O44" s="130"/>
      <c r="P44" s="130"/>
      <c r="Q44" s="131"/>
    </row>
    <row r="45" spans="2:17" x14ac:dyDescent="0.55000000000000004">
      <c r="B45" s="126">
        <v>47</v>
      </c>
      <c r="C45" s="131" t="s">
        <v>402</v>
      </c>
      <c r="D45" s="131" t="s">
        <v>711</v>
      </c>
      <c r="E45" s="131">
        <v>26</v>
      </c>
      <c r="F45" s="131">
        <v>78</v>
      </c>
      <c r="G45" s="131">
        <v>48</v>
      </c>
      <c r="H45" s="127" t="s">
        <v>26</v>
      </c>
      <c r="I45" s="128"/>
      <c r="J45" s="128">
        <v>1</v>
      </c>
      <c r="K45" s="129"/>
      <c r="L45" s="129"/>
      <c r="M45" s="129">
        <v>1</v>
      </c>
      <c r="N45" s="130"/>
      <c r="O45" s="130"/>
      <c r="P45" s="130"/>
      <c r="Q45" s="131"/>
    </row>
    <row r="46" spans="2:17" x14ac:dyDescent="0.55000000000000004">
      <c r="B46" s="126">
        <v>49</v>
      </c>
      <c r="C46" s="127" t="s">
        <v>960</v>
      </c>
      <c r="D46" s="131" t="s">
        <v>959</v>
      </c>
      <c r="E46" s="131">
        <v>26</v>
      </c>
      <c r="F46" s="131">
        <v>34</v>
      </c>
      <c r="G46" s="131">
        <v>50</v>
      </c>
      <c r="H46" s="127" t="s">
        <v>26</v>
      </c>
      <c r="I46" s="132"/>
      <c r="J46" s="128">
        <v>1</v>
      </c>
      <c r="K46" s="133"/>
      <c r="L46" s="133"/>
      <c r="M46" s="133"/>
      <c r="N46" s="130"/>
      <c r="O46" s="130"/>
      <c r="P46" s="130"/>
      <c r="Q46" s="131"/>
    </row>
    <row r="47" spans="2:17" x14ac:dyDescent="0.55000000000000004">
      <c r="B47" s="126">
        <v>50</v>
      </c>
      <c r="C47" s="131" t="s">
        <v>958</v>
      </c>
      <c r="D47" s="131" t="s">
        <v>2688</v>
      </c>
      <c r="E47" s="131">
        <v>26</v>
      </c>
      <c r="F47" s="131">
        <v>87</v>
      </c>
      <c r="G47" s="131">
        <v>51</v>
      </c>
      <c r="H47" s="127" t="s">
        <v>26</v>
      </c>
      <c r="I47" s="132"/>
      <c r="J47" s="128">
        <v>1</v>
      </c>
      <c r="K47" s="133"/>
      <c r="L47" s="133"/>
      <c r="M47" s="133"/>
      <c r="N47" s="130"/>
      <c r="O47" s="130"/>
      <c r="P47" s="130"/>
      <c r="Q47" s="131"/>
    </row>
    <row r="48" spans="2:17" x14ac:dyDescent="0.55000000000000004">
      <c r="B48" s="126">
        <v>51</v>
      </c>
      <c r="C48" s="131" t="s">
        <v>280</v>
      </c>
      <c r="D48" s="131" t="s">
        <v>957</v>
      </c>
      <c r="E48" s="131">
        <v>26</v>
      </c>
      <c r="F48" s="131">
        <v>94</v>
      </c>
      <c r="G48" s="131">
        <v>51</v>
      </c>
      <c r="H48" s="127" t="s">
        <v>26</v>
      </c>
      <c r="I48" s="132"/>
      <c r="J48" s="128">
        <v>1</v>
      </c>
      <c r="K48" s="133"/>
      <c r="L48" s="133"/>
      <c r="M48" s="133"/>
      <c r="N48" s="130"/>
      <c r="O48" s="130"/>
      <c r="P48" s="130"/>
      <c r="Q48" s="131"/>
    </row>
    <row r="49" spans="2:17" x14ac:dyDescent="0.55000000000000004">
      <c r="B49" s="126">
        <v>52</v>
      </c>
      <c r="C49" s="127" t="s">
        <v>712</v>
      </c>
      <c r="D49" s="131" t="s">
        <v>375</v>
      </c>
      <c r="E49" s="131">
        <v>26</v>
      </c>
      <c r="F49" s="131">
        <v>31</v>
      </c>
      <c r="G49" s="131">
        <v>53</v>
      </c>
      <c r="H49" s="127" t="s">
        <v>26</v>
      </c>
      <c r="I49" s="132"/>
      <c r="J49" s="128">
        <v>1</v>
      </c>
      <c r="K49" s="133"/>
      <c r="L49" s="133"/>
      <c r="M49" s="133"/>
      <c r="N49" s="130"/>
      <c r="O49" s="130"/>
      <c r="P49" s="130"/>
      <c r="Q49" s="131"/>
    </row>
    <row r="50" spans="2:17" x14ac:dyDescent="0.55000000000000004">
      <c r="B50" s="126">
        <v>53</v>
      </c>
      <c r="C50" s="131" t="s">
        <v>128</v>
      </c>
      <c r="D50" s="131" t="s">
        <v>956</v>
      </c>
      <c r="E50" s="131">
        <v>26</v>
      </c>
      <c r="F50" s="131">
        <v>30</v>
      </c>
      <c r="G50" s="131">
        <v>53</v>
      </c>
      <c r="H50" s="127" t="s">
        <v>26</v>
      </c>
      <c r="I50" s="132"/>
      <c r="J50" s="128">
        <v>1</v>
      </c>
      <c r="K50" s="133"/>
      <c r="L50" s="133"/>
      <c r="M50" s="133"/>
      <c r="N50" s="130"/>
      <c r="O50" s="130"/>
      <c r="P50" s="130"/>
      <c r="Q50" s="131"/>
    </row>
    <row r="51" spans="2:17" x14ac:dyDescent="0.55000000000000004">
      <c r="B51" s="126">
        <v>54</v>
      </c>
      <c r="C51" s="131" t="s">
        <v>131</v>
      </c>
      <c r="D51" s="131" t="s">
        <v>955</v>
      </c>
      <c r="E51" s="131">
        <v>26</v>
      </c>
      <c r="F51" s="131">
        <v>37</v>
      </c>
      <c r="G51" s="131">
        <v>25</v>
      </c>
      <c r="H51" s="127" t="s">
        <v>26</v>
      </c>
      <c r="I51" s="132"/>
      <c r="J51" s="128">
        <v>1</v>
      </c>
      <c r="K51" s="133"/>
      <c r="L51" s="133"/>
      <c r="M51" s="133">
        <v>1</v>
      </c>
      <c r="N51" s="130"/>
      <c r="O51" s="130"/>
      <c r="P51" s="130"/>
      <c r="Q51" s="131"/>
    </row>
    <row r="52" spans="2:17" x14ac:dyDescent="0.55000000000000004">
      <c r="B52" s="126">
        <v>55</v>
      </c>
      <c r="C52" s="127" t="s">
        <v>659</v>
      </c>
      <c r="D52" s="131" t="s">
        <v>954</v>
      </c>
      <c r="E52" s="131">
        <v>26</v>
      </c>
      <c r="F52" s="131">
        <v>63</v>
      </c>
      <c r="G52" s="131">
        <v>15</v>
      </c>
      <c r="H52" s="131" t="s">
        <v>12</v>
      </c>
      <c r="I52" s="132">
        <v>1</v>
      </c>
      <c r="J52" s="132"/>
      <c r="K52" s="133"/>
      <c r="L52" s="133"/>
      <c r="M52" s="133"/>
      <c r="N52" s="130"/>
      <c r="O52" s="130"/>
      <c r="P52" s="130">
        <v>1</v>
      </c>
      <c r="Q52" s="131"/>
    </row>
    <row r="53" spans="2:17" x14ac:dyDescent="0.55000000000000004">
      <c r="B53" s="126">
        <v>56</v>
      </c>
      <c r="C53" s="131" t="s">
        <v>138</v>
      </c>
      <c r="D53" s="131" t="s">
        <v>953</v>
      </c>
      <c r="E53" s="131">
        <v>26</v>
      </c>
      <c r="F53" s="131">
        <v>53</v>
      </c>
      <c r="G53" s="131">
        <v>7</v>
      </c>
      <c r="H53" s="131" t="s">
        <v>12</v>
      </c>
      <c r="I53" s="132">
        <v>1</v>
      </c>
      <c r="J53" s="132"/>
      <c r="K53" s="133"/>
      <c r="L53" s="133"/>
      <c r="M53" s="133"/>
      <c r="N53" s="130"/>
      <c r="O53" s="130"/>
      <c r="P53" s="130">
        <v>1</v>
      </c>
      <c r="Q53" s="131"/>
    </row>
    <row r="54" spans="2:17" x14ac:dyDescent="0.55000000000000004">
      <c r="B54" s="126">
        <v>57</v>
      </c>
      <c r="C54" s="131" t="s">
        <v>123</v>
      </c>
      <c r="D54" s="131" t="s">
        <v>952</v>
      </c>
      <c r="E54" s="131">
        <v>26</v>
      </c>
      <c r="F54" s="131">
        <v>93</v>
      </c>
      <c r="G54" s="131">
        <v>47</v>
      </c>
      <c r="H54" s="131" t="s">
        <v>12</v>
      </c>
      <c r="I54" s="132">
        <v>1</v>
      </c>
      <c r="J54" s="132"/>
      <c r="K54" s="133"/>
      <c r="L54" s="133"/>
      <c r="M54" s="133"/>
      <c r="N54" s="130"/>
      <c r="O54" s="130"/>
      <c r="P54" s="130">
        <v>1</v>
      </c>
      <c r="Q54" s="131"/>
    </row>
    <row r="55" spans="2:17" x14ac:dyDescent="0.55000000000000004">
      <c r="B55" s="126">
        <v>58</v>
      </c>
      <c r="C55" s="127" t="s">
        <v>123</v>
      </c>
      <c r="D55" s="131" t="s">
        <v>951</v>
      </c>
      <c r="E55" s="131">
        <v>26</v>
      </c>
      <c r="F55" s="131">
        <v>82</v>
      </c>
      <c r="G55" s="131">
        <v>21</v>
      </c>
      <c r="H55" s="131" t="s">
        <v>12</v>
      </c>
      <c r="I55" s="132">
        <v>1</v>
      </c>
      <c r="J55" s="132"/>
      <c r="K55" s="133"/>
      <c r="L55" s="133"/>
      <c r="M55" s="133"/>
      <c r="N55" s="130"/>
      <c r="O55" s="130"/>
      <c r="P55" s="130"/>
      <c r="Q55" s="131"/>
    </row>
    <row r="56" spans="2:17" x14ac:dyDescent="0.55000000000000004">
      <c r="B56" s="126">
        <v>59</v>
      </c>
      <c r="C56" s="131" t="s">
        <v>280</v>
      </c>
      <c r="D56" s="131" t="s">
        <v>950</v>
      </c>
      <c r="E56" s="131">
        <v>26</v>
      </c>
      <c r="F56" s="131">
        <v>83</v>
      </c>
      <c r="G56" s="131">
        <v>17</v>
      </c>
      <c r="H56" s="131" t="s">
        <v>12</v>
      </c>
      <c r="I56" s="132">
        <v>1</v>
      </c>
      <c r="J56" s="132"/>
      <c r="K56" s="133"/>
      <c r="L56" s="133"/>
      <c r="M56" s="133"/>
      <c r="N56" s="130"/>
      <c r="O56" s="130"/>
      <c r="P56" s="130">
        <v>1</v>
      </c>
      <c r="Q56" s="131"/>
    </row>
    <row r="57" spans="2:17" x14ac:dyDescent="0.55000000000000004">
      <c r="B57" s="126">
        <v>60</v>
      </c>
      <c r="C57" s="131" t="s">
        <v>949</v>
      </c>
      <c r="D57" s="131" t="s">
        <v>948</v>
      </c>
      <c r="E57" s="131">
        <v>26</v>
      </c>
      <c r="F57" s="131">
        <v>1</v>
      </c>
      <c r="G57" s="131">
        <v>29</v>
      </c>
      <c r="H57" s="131" t="s">
        <v>12</v>
      </c>
      <c r="I57" s="132">
        <v>1</v>
      </c>
      <c r="J57" s="132"/>
      <c r="K57" s="133"/>
      <c r="L57" s="133"/>
      <c r="M57" s="133"/>
      <c r="N57" s="130"/>
      <c r="O57" s="130"/>
      <c r="P57" s="130"/>
      <c r="Q57" s="131"/>
    </row>
    <row r="58" spans="2:17" x14ac:dyDescent="0.55000000000000004">
      <c r="B58" s="126">
        <v>61</v>
      </c>
      <c r="C58" s="127" t="s">
        <v>128</v>
      </c>
      <c r="D58" s="131" t="s">
        <v>947</v>
      </c>
      <c r="E58" s="131">
        <v>26</v>
      </c>
      <c r="F58" s="131">
        <v>44</v>
      </c>
      <c r="G58" s="131">
        <v>22</v>
      </c>
      <c r="H58" s="131" t="s">
        <v>12</v>
      </c>
      <c r="I58" s="132">
        <v>1</v>
      </c>
      <c r="J58" s="132"/>
      <c r="K58" s="133"/>
      <c r="L58" s="133"/>
      <c r="M58" s="133"/>
      <c r="N58" s="130"/>
      <c r="O58" s="130"/>
      <c r="P58" s="130">
        <v>1</v>
      </c>
      <c r="Q58" s="131"/>
    </row>
    <row r="59" spans="2:17" x14ac:dyDescent="0.55000000000000004">
      <c r="B59" s="126">
        <v>62</v>
      </c>
      <c r="C59" s="131" t="s">
        <v>600</v>
      </c>
      <c r="D59" s="131" t="s">
        <v>6</v>
      </c>
      <c r="E59" s="131">
        <v>26</v>
      </c>
      <c r="F59" s="131">
        <v>12</v>
      </c>
      <c r="G59" s="131">
        <v>21</v>
      </c>
      <c r="H59" s="131" t="s">
        <v>12</v>
      </c>
      <c r="I59" s="132">
        <v>1</v>
      </c>
      <c r="J59" s="132"/>
      <c r="K59" s="133"/>
      <c r="L59" s="133"/>
      <c r="M59" s="133"/>
      <c r="N59" s="130"/>
      <c r="O59" s="130"/>
      <c r="P59" s="130">
        <v>1</v>
      </c>
      <c r="Q59" s="131"/>
    </row>
    <row r="60" spans="2:17" x14ac:dyDescent="0.55000000000000004">
      <c r="B60" s="126">
        <v>63</v>
      </c>
      <c r="C60" s="131" t="s">
        <v>138</v>
      </c>
      <c r="D60" s="131" t="s">
        <v>946</v>
      </c>
      <c r="E60" s="131">
        <v>26</v>
      </c>
      <c r="F60" s="131">
        <v>29</v>
      </c>
      <c r="G60" s="131">
        <v>21</v>
      </c>
      <c r="H60" s="131" t="s">
        <v>12</v>
      </c>
      <c r="I60" s="132">
        <v>1</v>
      </c>
      <c r="J60" s="132"/>
      <c r="K60" s="133"/>
      <c r="L60" s="133"/>
      <c r="M60" s="133"/>
      <c r="N60" s="130"/>
      <c r="O60" s="130"/>
      <c r="P60" s="130">
        <v>1</v>
      </c>
      <c r="Q60" s="131"/>
    </row>
    <row r="61" spans="2:17" x14ac:dyDescent="0.55000000000000004">
      <c r="B61" s="126">
        <v>64</v>
      </c>
      <c r="C61" s="127" t="s">
        <v>600</v>
      </c>
      <c r="D61" s="131" t="s">
        <v>6</v>
      </c>
      <c r="E61" s="131">
        <v>26</v>
      </c>
      <c r="F61" s="131">
        <v>12</v>
      </c>
      <c r="G61" s="131">
        <v>19</v>
      </c>
      <c r="H61" s="131" t="s">
        <v>12</v>
      </c>
      <c r="I61" s="132">
        <v>1</v>
      </c>
      <c r="J61" s="132"/>
      <c r="K61" s="133"/>
      <c r="L61" s="133"/>
      <c r="M61" s="133"/>
      <c r="N61" s="130"/>
      <c r="O61" s="130"/>
      <c r="P61" s="130">
        <v>1</v>
      </c>
      <c r="Q61" s="131"/>
    </row>
    <row r="62" spans="2:17" x14ac:dyDescent="0.55000000000000004">
      <c r="B62" s="126">
        <v>65</v>
      </c>
      <c r="C62" s="127" t="s">
        <v>600</v>
      </c>
      <c r="D62" s="131" t="s">
        <v>6</v>
      </c>
      <c r="E62" s="131">
        <v>26</v>
      </c>
      <c r="F62" s="131">
        <v>14</v>
      </c>
      <c r="G62" s="131">
        <v>19</v>
      </c>
      <c r="H62" s="131" t="s">
        <v>12</v>
      </c>
      <c r="I62" s="132">
        <v>1</v>
      </c>
      <c r="J62" s="132"/>
      <c r="K62" s="133"/>
      <c r="L62" s="133"/>
      <c r="M62" s="133"/>
      <c r="N62" s="130"/>
      <c r="O62" s="130"/>
      <c r="P62" s="130">
        <v>1</v>
      </c>
      <c r="Q62" s="131"/>
    </row>
    <row r="63" spans="2:17" x14ac:dyDescent="0.55000000000000004">
      <c r="B63" s="126">
        <v>66</v>
      </c>
      <c r="C63" s="127" t="s">
        <v>600</v>
      </c>
      <c r="D63" s="131" t="s">
        <v>6</v>
      </c>
      <c r="E63" s="131">
        <v>26</v>
      </c>
      <c r="F63" s="131">
        <v>12</v>
      </c>
      <c r="G63" s="131">
        <v>18</v>
      </c>
      <c r="H63" s="131" t="s">
        <v>12</v>
      </c>
      <c r="I63" s="132">
        <v>1</v>
      </c>
      <c r="J63" s="132"/>
      <c r="K63" s="133"/>
      <c r="L63" s="133"/>
      <c r="M63" s="133"/>
      <c r="N63" s="130"/>
      <c r="O63" s="130"/>
      <c r="P63" s="130">
        <v>1</v>
      </c>
      <c r="Q63" s="131"/>
    </row>
    <row r="64" spans="2:17" x14ac:dyDescent="0.55000000000000004">
      <c r="B64" s="126">
        <v>67</v>
      </c>
      <c r="C64" s="127" t="s">
        <v>600</v>
      </c>
      <c r="D64" s="131" t="s">
        <v>6</v>
      </c>
      <c r="E64" s="131">
        <v>26</v>
      </c>
      <c r="F64" s="131">
        <v>13</v>
      </c>
      <c r="G64" s="131">
        <v>18</v>
      </c>
      <c r="H64" s="131" t="s">
        <v>12</v>
      </c>
      <c r="I64" s="132">
        <v>1</v>
      </c>
      <c r="J64" s="132"/>
      <c r="K64" s="133"/>
      <c r="L64" s="133"/>
      <c r="M64" s="133"/>
      <c r="N64" s="130"/>
      <c r="O64" s="130"/>
      <c r="P64" s="130">
        <v>1</v>
      </c>
      <c r="Q64" s="131"/>
    </row>
    <row r="65" spans="2:17" x14ac:dyDescent="0.55000000000000004">
      <c r="B65" s="126">
        <v>68</v>
      </c>
      <c r="C65" s="131" t="s">
        <v>945</v>
      </c>
      <c r="D65" s="131" t="s">
        <v>944</v>
      </c>
      <c r="E65" s="131">
        <v>26</v>
      </c>
      <c r="F65" s="131">
        <v>50</v>
      </c>
      <c r="G65" s="131">
        <v>30</v>
      </c>
      <c r="H65" s="131" t="s">
        <v>12</v>
      </c>
      <c r="I65" s="132">
        <v>1</v>
      </c>
      <c r="J65" s="132"/>
      <c r="K65" s="133"/>
      <c r="L65" s="133"/>
      <c r="M65" s="133"/>
      <c r="N65" s="130"/>
      <c r="O65" s="130"/>
      <c r="P65" s="130">
        <v>1</v>
      </c>
      <c r="Q65" s="131"/>
    </row>
    <row r="66" spans="2:17" x14ac:dyDescent="0.55000000000000004">
      <c r="B66" s="126">
        <v>69</v>
      </c>
      <c r="C66" s="131" t="s">
        <v>712</v>
      </c>
      <c r="D66" s="131" t="s">
        <v>542</v>
      </c>
      <c r="E66" s="131">
        <v>26</v>
      </c>
      <c r="F66" s="131">
        <v>79</v>
      </c>
      <c r="G66" s="131">
        <v>30</v>
      </c>
      <c r="H66" s="131" t="s">
        <v>12</v>
      </c>
      <c r="I66" s="132">
        <v>1</v>
      </c>
      <c r="J66" s="132"/>
      <c r="K66" s="133"/>
      <c r="L66" s="133"/>
      <c r="M66" s="133"/>
      <c r="N66" s="130"/>
      <c r="O66" s="130"/>
      <c r="P66" s="130">
        <v>1</v>
      </c>
      <c r="Q66" s="131"/>
    </row>
    <row r="67" spans="2:17" x14ac:dyDescent="0.55000000000000004">
      <c r="B67" s="126">
        <v>70</v>
      </c>
      <c r="C67" s="127" t="s">
        <v>600</v>
      </c>
      <c r="D67" s="131" t="s">
        <v>6</v>
      </c>
      <c r="E67" s="131">
        <v>26</v>
      </c>
      <c r="F67" s="131">
        <v>84</v>
      </c>
      <c r="G67" s="131">
        <v>23</v>
      </c>
      <c r="H67" s="131" t="s">
        <v>12</v>
      </c>
      <c r="I67" s="132">
        <v>1</v>
      </c>
      <c r="J67" s="132"/>
      <c r="K67" s="133"/>
      <c r="L67" s="133"/>
      <c r="M67" s="133"/>
      <c r="N67" s="130"/>
      <c r="O67" s="130"/>
      <c r="P67" s="130"/>
      <c r="Q67" s="131"/>
    </row>
    <row r="68" spans="2:17" x14ac:dyDescent="0.55000000000000004">
      <c r="B68" s="126">
        <v>71</v>
      </c>
      <c r="C68" s="131" t="s">
        <v>943</v>
      </c>
      <c r="D68" s="131" t="s">
        <v>942</v>
      </c>
      <c r="E68" s="131">
        <v>26</v>
      </c>
      <c r="F68" s="131">
        <v>91</v>
      </c>
      <c r="G68" s="131">
        <v>11</v>
      </c>
      <c r="H68" s="131" t="s">
        <v>12</v>
      </c>
      <c r="I68" s="132">
        <v>1</v>
      </c>
      <c r="J68" s="132"/>
      <c r="K68" s="133"/>
      <c r="L68" s="133"/>
      <c r="M68" s="133"/>
      <c r="N68" s="130"/>
      <c r="O68" s="130"/>
      <c r="P68" s="130">
        <v>1</v>
      </c>
      <c r="Q68" s="131"/>
    </row>
    <row r="69" spans="2:17" x14ac:dyDescent="0.55000000000000004">
      <c r="B69" s="126">
        <v>72</v>
      </c>
      <c r="C69" s="131" t="s">
        <v>662</v>
      </c>
      <c r="D69" s="131" t="s">
        <v>930</v>
      </c>
      <c r="E69" s="131">
        <v>26</v>
      </c>
      <c r="F69" s="131">
        <v>88</v>
      </c>
      <c r="G69" s="131">
        <v>12</v>
      </c>
      <c r="H69" s="131" t="s">
        <v>12</v>
      </c>
      <c r="I69" s="132">
        <v>1</v>
      </c>
      <c r="J69" s="132"/>
      <c r="K69" s="133"/>
      <c r="L69" s="133"/>
      <c r="M69" s="133"/>
      <c r="N69" s="130"/>
      <c r="O69" s="130"/>
      <c r="P69" s="130">
        <v>1</v>
      </c>
      <c r="Q69" s="131"/>
    </row>
    <row r="70" spans="2:17" x14ac:dyDescent="0.55000000000000004">
      <c r="B70" s="126">
        <v>73</v>
      </c>
      <c r="C70" s="127" t="s">
        <v>123</v>
      </c>
      <c r="D70" s="131" t="s">
        <v>941</v>
      </c>
      <c r="E70" s="131">
        <v>26</v>
      </c>
      <c r="F70" s="131">
        <v>88</v>
      </c>
      <c r="G70" s="131">
        <v>13</v>
      </c>
      <c r="H70" s="131" t="s">
        <v>12</v>
      </c>
      <c r="I70" s="132">
        <v>1</v>
      </c>
      <c r="J70" s="132"/>
      <c r="K70" s="133"/>
      <c r="L70" s="133"/>
      <c r="M70" s="133"/>
      <c r="N70" s="130"/>
      <c r="O70" s="130"/>
      <c r="P70" s="130">
        <v>1</v>
      </c>
      <c r="Q70" s="131"/>
    </row>
    <row r="71" spans="2:17" x14ac:dyDescent="0.55000000000000004">
      <c r="B71" s="126">
        <v>74</v>
      </c>
      <c r="C71" s="131" t="s">
        <v>135</v>
      </c>
      <c r="D71" s="131" t="s">
        <v>940</v>
      </c>
      <c r="E71" s="131">
        <v>26</v>
      </c>
      <c r="F71" s="131">
        <v>96</v>
      </c>
      <c r="G71" s="131">
        <v>21</v>
      </c>
      <c r="H71" s="131" t="s">
        <v>12</v>
      </c>
      <c r="I71" s="132">
        <v>1</v>
      </c>
      <c r="J71" s="132"/>
      <c r="K71" s="133"/>
      <c r="L71" s="133"/>
      <c r="M71" s="133"/>
      <c r="N71" s="130"/>
      <c r="O71" s="130"/>
      <c r="P71" s="130">
        <v>1</v>
      </c>
      <c r="Q71" s="131"/>
    </row>
    <row r="72" spans="2:17" x14ac:dyDescent="0.55000000000000004">
      <c r="B72" s="126">
        <v>75</v>
      </c>
      <c r="C72" s="131" t="s">
        <v>311</v>
      </c>
      <c r="D72" s="131" t="s">
        <v>939</v>
      </c>
      <c r="E72" s="131">
        <v>26</v>
      </c>
      <c r="F72" s="131">
        <v>81</v>
      </c>
      <c r="G72" s="131">
        <v>5</v>
      </c>
      <c r="H72" s="131" t="s">
        <v>12</v>
      </c>
      <c r="I72" s="132">
        <v>1</v>
      </c>
      <c r="J72" s="132"/>
      <c r="K72" s="133"/>
      <c r="L72" s="133"/>
      <c r="M72" s="133"/>
      <c r="N72" s="130"/>
      <c r="O72" s="130"/>
      <c r="P72" s="130">
        <v>1</v>
      </c>
      <c r="Q72" s="131"/>
    </row>
    <row r="73" spans="2:17" x14ac:dyDescent="0.55000000000000004">
      <c r="B73" s="126">
        <v>76</v>
      </c>
      <c r="C73" s="127" t="s">
        <v>187</v>
      </c>
      <c r="D73" s="131" t="s">
        <v>938</v>
      </c>
      <c r="E73" s="131">
        <v>26</v>
      </c>
      <c r="F73" s="131">
        <v>66</v>
      </c>
      <c r="G73" s="131" t="s">
        <v>24</v>
      </c>
      <c r="H73" s="131" t="s">
        <v>12</v>
      </c>
      <c r="I73" s="132">
        <v>1</v>
      </c>
      <c r="J73" s="132"/>
      <c r="K73" s="133"/>
      <c r="L73" s="133"/>
      <c r="M73" s="133"/>
      <c r="N73" s="130"/>
      <c r="O73" s="130"/>
      <c r="P73" s="130">
        <v>1</v>
      </c>
      <c r="Q73" s="131"/>
    </row>
    <row r="74" spans="2:17" x14ac:dyDescent="0.55000000000000004">
      <c r="B74" s="126">
        <v>77</v>
      </c>
      <c r="C74" s="131" t="s">
        <v>600</v>
      </c>
      <c r="D74" s="131" t="s">
        <v>6</v>
      </c>
      <c r="E74" s="131">
        <v>26</v>
      </c>
      <c r="F74" s="131">
        <v>69</v>
      </c>
      <c r="G74" s="131">
        <v>6</v>
      </c>
      <c r="H74" s="131" t="s">
        <v>12</v>
      </c>
      <c r="I74" s="132">
        <v>1</v>
      </c>
      <c r="J74" s="132"/>
      <c r="K74" s="133"/>
      <c r="L74" s="133"/>
      <c r="M74" s="133"/>
      <c r="N74" s="130"/>
      <c r="O74" s="130"/>
      <c r="P74" s="130"/>
      <c r="Q74" s="131"/>
    </row>
    <row r="75" spans="2:17" x14ac:dyDescent="0.55000000000000004">
      <c r="B75" s="126">
        <v>78</v>
      </c>
      <c r="C75" s="131" t="s">
        <v>815</v>
      </c>
      <c r="D75" s="131" t="s">
        <v>2707</v>
      </c>
      <c r="E75" s="131">
        <v>26</v>
      </c>
      <c r="F75" s="131">
        <v>68</v>
      </c>
      <c r="G75" s="131">
        <v>7</v>
      </c>
      <c r="H75" s="131" t="s">
        <v>12</v>
      </c>
      <c r="I75" s="132">
        <v>1</v>
      </c>
      <c r="J75" s="132"/>
      <c r="K75" s="133"/>
      <c r="L75" s="133"/>
      <c r="M75" s="133"/>
      <c r="N75" s="130"/>
      <c r="O75" s="130"/>
      <c r="P75" s="130">
        <v>1</v>
      </c>
      <c r="Q75" s="131"/>
    </row>
    <row r="76" spans="2:17" x14ac:dyDescent="0.55000000000000004">
      <c r="B76" s="126">
        <v>79</v>
      </c>
      <c r="C76" s="127" t="s">
        <v>600</v>
      </c>
      <c r="D76" s="131" t="s">
        <v>6</v>
      </c>
      <c r="E76" s="131">
        <v>26</v>
      </c>
      <c r="F76" s="131">
        <v>85</v>
      </c>
      <c r="G76" s="131" t="s">
        <v>23</v>
      </c>
      <c r="H76" s="131" t="s">
        <v>26</v>
      </c>
      <c r="I76" s="132">
        <v>0</v>
      </c>
      <c r="J76" s="132">
        <v>1</v>
      </c>
      <c r="K76" s="133"/>
      <c r="L76" s="133"/>
      <c r="M76" s="133">
        <v>1</v>
      </c>
      <c r="N76" s="130"/>
      <c r="O76" s="130"/>
      <c r="P76" s="130"/>
      <c r="Q76" s="131"/>
    </row>
    <row r="77" spans="2:17" x14ac:dyDescent="0.55000000000000004">
      <c r="B77" s="126">
        <v>80</v>
      </c>
      <c r="C77" s="131" t="s">
        <v>937</v>
      </c>
      <c r="D77" s="131" t="s">
        <v>936</v>
      </c>
      <c r="E77" s="131">
        <v>26</v>
      </c>
      <c r="F77" s="131">
        <v>36</v>
      </c>
      <c r="G77" s="131">
        <v>49</v>
      </c>
      <c r="H77" s="131" t="s">
        <v>12</v>
      </c>
      <c r="I77" s="132">
        <v>1</v>
      </c>
      <c r="J77" s="132"/>
      <c r="K77" s="133"/>
      <c r="L77" s="133"/>
      <c r="M77" s="133"/>
      <c r="N77" s="130"/>
      <c r="O77" s="130"/>
      <c r="P77" s="130">
        <v>1</v>
      </c>
      <c r="Q77" s="137"/>
    </row>
    <row r="78" spans="2:17" ht="22.5" customHeight="1" x14ac:dyDescent="0.55000000000000004">
      <c r="B78" s="126">
        <v>81</v>
      </c>
      <c r="C78" s="131" t="s">
        <v>187</v>
      </c>
      <c r="D78" s="131" t="s">
        <v>935</v>
      </c>
      <c r="E78" s="134">
        <v>26</v>
      </c>
      <c r="F78" s="131">
        <v>91</v>
      </c>
      <c r="G78" s="131">
        <v>36</v>
      </c>
      <c r="H78" s="131" t="s">
        <v>12</v>
      </c>
      <c r="I78" s="132">
        <v>1</v>
      </c>
      <c r="J78" s="132"/>
      <c r="K78" s="133"/>
      <c r="L78" s="133"/>
      <c r="M78" s="133"/>
      <c r="N78" s="130"/>
      <c r="O78" s="130"/>
      <c r="P78" s="130"/>
      <c r="Q78" s="134">
        <v>1404</v>
      </c>
    </row>
    <row r="79" spans="2:17" ht="21" x14ac:dyDescent="0.55000000000000004">
      <c r="B79" s="126">
        <v>82</v>
      </c>
      <c r="C79" s="127" t="s">
        <v>135</v>
      </c>
      <c r="D79" s="131" t="s">
        <v>934</v>
      </c>
      <c r="E79" s="131">
        <v>26</v>
      </c>
      <c r="F79" s="131">
        <v>65</v>
      </c>
      <c r="G79" s="131">
        <v>40</v>
      </c>
      <c r="H79" s="131" t="s">
        <v>12</v>
      </c>
      <c r="I79" s="132">
        <v>1</v>
      </c>
      <c r="J79" s="132"/>
      <c r="K79" s="133"/>
      <c r="L79" s="133"/>
      <c r="M79" s="133"/>
      <c r="N79" s="130"/>
      <c r="O79" s="130"/>
      <c r="P79" s="138">
        <v>1</v>
      </c>
      <c r="Q79" s="134">
        <v>1404</v>
      </c>
    </row>
    <row r="80" spans="2:17" ht="21" x14ac:dyDescent="0.55000000000000004">
      <c r="B80" s="126">
        <v>83</v>
      </c>
      <c r="C80" s="131" t="s">
        <v>677</v>
      </c>
      <c r="D80" s="134" t="s">
        <v>933</v>
      </c>
      <c r="E80" s="134">
        <v>26</v>
      </c>
      <c r="F80" s="134">
        <v>23</v>
      </c>
      <c r="G80" s="134">
        <v>31</v>
      </c>
      <c r="H80" s="131" t="s">
        <v>12</v>
      </c>
      <c r="I80" s="132">
        <v>1</v>
      </c>
      <c r="J80" s="132"/>
      <c r="K80" s="133"/>
      <c r="L80" s="133"/>
      <c r="M80" s="133"/>
      <c r="N80" s="130"/>
      <c r="O80" s="130"/>
      <c r="P80" s="138">
        <v>1</v>
      </c>
      <c r="Q80" s="134" t="s">
        <v>36</v>
      </c>
    </row>
    <row r="81" spans="2:17" ht="21" x14ac:dyDescent="0.55000000000000004">
      <c r="B81" s="126">
        <v>84</v>
      </c>
      <c r="C81" s="131" t="s">
        <v>932</v>
      </c>
      <c r="D81" s="134" t="s">
        <v>931</v>
      </c>
      <c r="E81" s="134">
        <v>26</v>
      </c>
      <c r="F81" s="134">
        <v>23</v>
      </c>
      <c r="G81" s="134">
        <v>40</v>
      </c>
      <c r="H81" s="131" t="s">
        <v>12</v>
      </c>
      <c r="I81" s="132">
        <v>1</v>
      </c>
      <c r="J81" s="132"/>
      <c r="K81" s="133"/>
      <c r="L81" s="133"/>
      <c r="M81" s="133"/>
      <c r="N81" s="130"/>
      <c r="O81" s="130"/>
      <c r="P81" s="138">
        <v>1</v>
      </c>
      <c r="Q81" s="134" t="s">
        <v>36</v>
      </c>
    </row>
    <row r="82" spans="2:17" ht="21" x14ac:dyDescent="0.55000000000000004">
      <c r="B82" s="126">
        <v>85</v>
      </c>
      <c r="C82" s="127" t="s">
        <v>640</v>
      </c>
      <c r="D82" s="134" t="s">
        <v>930</v>
      </c>
      <c r="E82" s="134">
        <v>26</v>
      </c>
      <c r="F82" s="134">
        <v>22</v>
      </c>
      <c r="G82" s="134">
        <v>40</v>
      </c>
      <c r="H82" s="131" t="s">
        <v>12</v>
      </c>
      <c r="I82" s="132">
        <v>1</v>
      </c>
      <c r="J82" s="132"/>
      <c r="K82" s="133"/>
      <c r="L82" s="133"/>
      <c r="M82" s="133"/>
      <c r="N82" s="130"/>
      <c r="O82" s="130"/>
      <c r="P82" s="138">
        <v>1</v>
      </c>
      <c r="Q82" s="134" t="s">
        <v>37</v>
      </c>
    </row>
    <row r="83" spans="2:17" ht="21" x14ac:dyDescent="0.55000000000000004">
      <c r="B83" s="126">
        <v>86</v>
      </c>
      <c r="C83" s="131" t="s">
        <v>221</v>
      </c>
      <c r="D83" s="134" t="s">
        <v>929</v>
      </c>
      <c r="E83" s="134">
        <v>26</v>
      </c>
      <c r="F83" s="134">
        <v>67</v>
      </c>
      <c r="G83" s="134">
        <v>26</v>
      </c>
      <c r="H83" s="131" t="s">
        <v>12</v>
      </c>
      <c r="I83" s="132">
        <v>1</v>
      </c>
      <c r="J83" s="132"/>
      <c r="K83" s="133"/>
      <c r="L83" s="133"/>
      <c r="M83" s="133"/>
      <c r="N83" s="130"/>
      <c r="O83" s="130"/>
      <c r="P83" s="138">
        <v>1</v>
      </c>
      <c r="Q83" s="134" t="s">
        <v>36</v>
      </c>
    </row>
    <row r="84" spans="2:17" ht="21" x14ac:dyDescent="0.55000000000000004">
      <c r="B84" s="126">
        <v>87</v>
      </c>
      <c r="C84" s="131" t="s">
        <v>646</v>
      </c>
      <c r="D84" s="134" t="s">
        <v>928</v>
      </c>
      <c r="E84" s="134">
        <v>26</v>
      </c>
      <c r="F84" s="134">
        <v>98</v>
      </c>
      <c r="G84" s="134">
        <v>40</v>
      </c>
      <c r="H84" s="131" t="s">
        <v>12</v>
      </c>
      <c r="I84" s="132">
        <v>1</v>
      </c>
      <c r="J84" s="132"/>
      <c r="K84" s="133"/>
      <c r="L84" s="133"/>
      <c r="M84" s="133"/>
      <c r="N84" s="130"/>
      <c r="O84" s="130"/>
      <c r="P84" s="138">
        <v>1</v>
      </c>
      <c r="Q84" s="134" t="s">
        <v>37</v>
      </c>
    </row>
    <row r="85" spans="2:17" ht="21" x14ac:dyDescent="0.55000000000000004">
      <c r="B85" s="126">
        <v>88</v>
      </c>
      <c r="C85" s="127" t="s">
        <v>927</v>
      </c>
      <c r="D85" s="134" t="s">
        <v>926</v>
      </c>
      <c r="E85" s="134">
        <v>26</v>
      </c>
      <c r="F85" s="134">
        <v>38</v>
      </c>
      <c r="G85" s="134">
        <v>23</v>
      </c>
      <c r="H85" s="131" t="s">
        <v>12</v>
      </c>
      <c r="I85" s="132">
        <v>1</v>
      </c>
      <c r="J85" s="132"/>
      <c r="K85" s="133"/>
      <c r="L85" s="133"/>
      <c r="M85" s="133"/>
      <c r="N85" s="130"/>
      <c r="O85" s="130"/>
      <c r="P85" s="138">
        <v>1</v>
      </c>
      <c r="Q85" s="134">
        <v>1404</v>
      </c>
    </row>
    <row r="86" spans="2:17" ht="21" x14ac:dyDescent="0.55000000000000004">
      <c r="B86" s="126">
        <v>89</v>
      </c>
      <c r="C86" s="131" t="s">
        <v>255</v>
      </c>
      <c r="D86" s="134" t="s">
        <v>457</v>
      </c>
      <c r="E86" s="134">
        <v>26</v>
      </c>
      <c r="F86" s="134">
        <v>88</v>
      </c>
      <c r="G86" s="134">
        <v>40</v>
      </c>
      <c r="H86" s="131" t="s">
        <v>12</v>
      </c>
      <c r="I86" s="132">
        <v>1</v>
      </c>
      <c r="J86" s="132"/>
      <c r="K86" s="133"/>
      <c r="L86" s="133"/>
      <c r="M86" s="133"/>
      <c r="N86" s="130"/>
      <c r="O86" s="130"/>
      <c r="P86" s="138">
        <v>1</v>
      </c>
      <c r="Q86" s="134">
        <v>1404</v>
      </c>
    </row>
    <row r="87" spans="2:17" ht="21" x14ac:dyDescent="0.55000000000000004">
      <c r="B87" s="126">
        <v>90</v>
      </c>
      <c r="C87" s="131" t="s">
        <v>925</v>
      </c>
      <c r="D87" s="134" t="s">
        <v>318</v>
      </c>
      <c r="E87" s="134">
        <v>26</v>
      </c>
      <c r="F87" s="134">
        <v>83</v>
      </c>
      <c r="G87" s="134">
        <v>47</v>
      </c>
      <c r="H87" s="131" t="s">
        <v>12</v>
      </c>
      <c r="I87" s="132">
        <v>1</v>
      </c>
      <c r="J87" s="132"/>
      <c r="K87" s="133"/>
      <c r="L87" s="133"/>
      <c r="M87" s="133"/>
      <c r="N87" s="130"/>
      <c r="O87" s="130"/>
      <c r="P87" s="138">
        <v>1</v>
      </c>
      <c r="Q87" s="134">
        <v>1404</v>
      </c>
    </row>
    <row r="88" spans="2:17" ht="21" x14ac:dyDescent="0.55000000000000004">
      <c r="B88" s="126">
        <v>91</v>
      </c>
      <c r="C88" s="127" t="s">
        <v>135</v>
      </c>
      <c r="D88" s="134" t="s">
        <v>924</v>
      </c>
      <c r="E88" s="134">
        <v>26</v>
      </c>
      <c r="F88" s="134">
        <v>92</v>
      </c>
      <c r="G88" s="134">
        <v>46</v>
      </c>
      <c r="H88" s="131" t="s">
        <v>12</v>
      </c>
      <c r="I88" s="132">
        <v>1</v>
      </c>
      <c r="J88" s="132"/>
      <c r="K88" s="133"/>
      <c r="L88" s="133"/>
      <c r="M88" s="133"/>
      <c r="N88" s="130"/>
      <c r="O88" s="130"/>
      <c r="P88" s="138">
        <v>1</v>
      </c>
      <c r="Q88" s="134">
        <v>1404</v>
      </c>
    </row>
    <row r="89" spans="2:17" ht="21" x14ac:dyDescent="0.55000000000000004">
      <c r="B89" s="126">
        <v>92</v>
      </c>
      <c r="C89" s="131" t="s">
        <v>135</v>
      </c>
      <c r="D89" s="134" t="s">
        <v>923</v>
      </c>
      <c r="E89" s="134">
        <v>26</v>
      </c>
      <c r="F89" s="134">
        <v>82</v>
      </c>
      <c r="G89" s="134">
        <v>48</v>
      </c>
      <c r="H89" s="131" t="s">
        <v>12</v>
      </c>
      <c r="I89" s="132">
        <v>1</v>
      </c>
      <c r="J89" s="132"/>
      <c r="K89" s="133"/>
      <c r="L89" s="133"/>
      <c r="M89" s="133"/>
      <c r="N89" s="130"/>
      <c r="O89" s="130"/>
      <c r="P89" s="138">
        <v>1</v>
      </c>
      <c r="Q89" s="134">
        <v>1404</v>
      </c>
    </row>
    <row r="90" spans="2:17" ht="21" x14ac:dyDescent="0.55000000000000004">
      <c r="B90" s="126">
        <v>93</v>
      </c>
      <c r="C90" s="131" t="s">
        <v>922</v>
      </c>
      <c r="D90" s="134" t="s">
        <v>921</v>
      </c>
      <c r="E90" s="134">
        <v>26</v>
      </c>
      <c r="F90" s="134">
        <v>90</v>
      </c>
      <c r="G90" s="134">
        <v>46</v>
      </c>
      <c r="H90" s="131" t="s">
        <v>12</v>
      </c>
      <c r="I90" s="132">
        <v>1</v>
      </c>
      <c r="J90" s="132"/>
      <c r="K90" s="133"/>
      <c r="L90" s="133"/>
      <c r="M90" s="133"/>
      <c r="N90" s="130"/>
      <c r="O90" s="130"/>
      <c r="P90" s="138">
        <v>1</v>
      </c>
      <c r="Q90" s="134">
        <v>1404</v>
      </c>
    </row>
    <row r="91" spans="2:17" ht="21" x14ac:dyDescent="0.55000000000000004">
      <c r="B91" s="126">
        <v>94</v>
      </c>
      <c r="C91" s="127" t="s">
        <v>306</v>
      </c>
      <c r="D91" s="134" t="s">
        <v>920</v>
      </c>
      <c r="E91" s="134">
        <v>26</v>
      </c>
      <c r="F91" s="134">
        <v>793</v>
      </c>
      <c r="G91" s="134">
        <v>48</v>
      </c>
      <c r="H91" s="131" t="s">
        <v>12</v>
      </c>
      <c r="I91" s="132">
        <v>1</v>
      </c>
      <c r="J91" s="132"/>
      <c r="K91" s="133"/>
      <c r="L91" s="133"/>
      <c r="M91" s="133"/>
      <c r="N91" s="130"/>
      <c r="O91" s="130"/>
      <c r="P91" s="138">
        <v>1</v>
      </c>
      <c r="Q91" s="134">
        <v>1404</v>
      </c>
    </row>
    <row r="92" spans="2:17" ht="21" x14ac:dyDescent="0.55000000000000004">
      <c r="B92" s="126">
        <v>95</v>
      </c>
      <c r="C92" s="131" t="s">
        <v>292</v>
      </c>
      <c r="D92" s="134" t="s">
        <v>919</v>
      </c>
      <c r="E92" s="134">
        <v>26</v>
      </c>
      <c r="F92" s="134">
        <v>87</v>
      </c>
      <c r="G92" s="134">
        <v>47</v>
      </c>
      <c r="H92" s="131" t="s">
        <v>12</v>
      </c>
      <c r="I92" s="132">
        <v>1</v>
      </c>
      <c r="J92" s="132"/>
      <c r="K92" s="133"/>
      <c r="L92" s="133"/>
      <c r="M92" s="133"/>
      <c r="N92" s="130"/>
      <c r="O92" s="130"/>
      <c r="P92" s="138">
        <v>1</v>
      </c>
      <c r="Q92" s="134">
        <v>1404</v>
      </c>
    </row>
    <row r="93" spans="2:17" ht="21" x14ac:dyDescent="0.55000000000000004">
      <c r="B93" s="126">
        <v>96</v>
      </c>
      <c r="C93" s="131" t="s">
        <v>918</v>
      </c>
      <c r="D93" s="134" t="s">
        <v>917</v>
      </c>
      <c r="E93" s="134">
        <v>26</v>
      </c>
      <c r="F93" s="134">
        <v>80</v>
      </c>
      <c r="G93" s="134">
        <v>48</v>
      </c>
      <c r="H93" s="131" t="s">
        <v>12</v>
      </c>
      <c r="I93" s="132">
        <v>1</v>
      </c>
      <c r="J93" s="132"/>
      <c r="K93" s="133"/>
      <c r="L93" s="133"/>
      <c r="M93" s="133"/>
      <c r="N93" s="130"/>
      <c r="O93" s="130"/>
      <c r="P93" s="138">
        <v>1</v>
      </c>
      <c r="Q93" s="134">
        <v>1404</v>
      </c>
    </row>
    <row r="94" spans="2:17" ht="21" x14ac:dyDescent="0.55000000000000004">
      <c r="B94" s="126">
        <v>97</v>
      </c>
      <c r="C94" s="127" t="s">
        <v>138</v>
      </c>
      <c r="D94" s="134" t="s">
        <v>916</v>
      </c>
      <c r="E94" s="134">
        <v>26</v>
      </c>
      <c r="F94" s="134">
        <v>82</v>
      </c>
      <c r="G94" s="134">
        <v>52</v>
      </c>
      <c r="H94" s="131" t="s">
        <v>12</v>
      </c>
      <c r="I94" s="132">
        <v>1</v>
      </c>
      <c r="J94" s="132"/>
      <c r="K94" s="133"/>
      <c r="L94" s="133"/>
      <c r="M94" s="133"/>
      <c r="N94" s="130"/>
      <c r="O94" s="130"/>
      <c r="P94" s="138">
        <v>1</v>
      </c>
      <c r="Q94" s="134">
        <v>1404</v>
      </c>
    </row>
    <row r="95" spans="2:17" ht="21" x14ac:dyDescent="0.55000000000000004">
      <c r="B95" s="126">
        <v>98</v>
      </c>
      <c r="C95" s="131" t="s">
        <v>655</v>
      </c>
      <c r="D95" s="134" t="s">
        <v>915</v>
      </c>
      <c r="E95" s="134">
        <v>26</v>
      </c>
      <c r="F95" s="134">
        <v>88</v>
      </c>
      <c r="G95" s="134">
        <v>49</v>
      </c>
      <c r="H95" s="131" t="s">
        <v>12</v>
      </c>
      <c r="I95" s="132">
        <v>1</v>
      </c>
      <c r="J95" s="132"/>
      <c r="K95" s="133"/>
      <c r="L95" s="133"/>
      <c r="M95" s="133"/>
      <c r="N95" s="130"/>
      <c r="O95" s="130"/>
      <c r="P95" s="138">
        <v>1</v>
      </c>
      <c r="Q95" s="134">
        <v>1404</v>
      </c>
    </row>
    <row r="96" spans="2:17" ht="21" x14ac:dyDescent="0.55000000000000004">
      <c r="B96" s="126">
        <v>99</v>
      </c>
      <c r="C96" s="131" t="s">
        <v>166</v>
      </c>
      <c r="D96" s="134" t="s">
        <v>914</v>
      </c>
      <c r="E96" s="134">
        <v>26</v>
      </c>
      <c r="F96" s="134">
        <v>87</v>
      </c>
      <c r="G96" s="134">
        <v>45</v>
      </c>
      <c r="H96" s="131" t="s">
        <v>12</v>
      </c>
      <c r="I96" s="132">
        <v>1</v>
      </c>
      <c r="J96" s="132"/>
      <c r="K96" s="133"/>
      <c r="L96" s="133"/>
      <c r="M96" s="133"/>
      <c r="N96" s="130"/>
      <c r="O96" s="130"/>
      <c r="P96" s="138">
        <v>1</v>
      </c>
      <c r="Q96" s="134">
        <v>1404</v>
      </c>
    </row>
    <row r="97" spans="2:17" ht="21" x14ac:dyDescent="0.55000000000000004">
      <c r="B97" s="126">
        <v>100</v>
      </c>
      <c r="C97" s="127" t="s">
        <v>913</v>
      </c>
      <c r="D97" s="134" t="s">
        <v>912</v>
      </c>
      <c r="E97" s="134">
        <v>26</v>
      </c>
      <c r="F97" s="134">
        <v>76</v>
      </c>
      <c r="G97" s="134">
        <v>47</v>
      </c>
      <c r="H97" s="131" t="s">
        <v>12</v>
      </c>
      <c r="I97" s="132">
        <v>1</v>
      </c>
      <c r="J97" s="132"/>
      <c r="K97" s="133"/>
      <c r="L97" s="133"/>
      <c r="M97" s="133"/>
      <c r="N97" s="130"/>
      <c r="O97" s="130"/>
      <c r="P97" s="138">
        <v>1</v>
      </c>
      <c r="Q97" s="134">
        <v>1404</v>
      </c>
    </row>
    <row r="98" spans="2:17" ht="21" x14ac:dyDescent="0.55000000000000004">
      <c r="B98" s="126">
        <v>101</v>
      </c>
      <c r="C98" s="131" t="s">
        <v>602</v>
      </c>
      <c r="D98" s="134" t="s">
        <v>911</v>
      </c>
      <c r="E98" s="134">
        <v>26</v>
      </c>
      <c r="F98" s="134">
        <v>86</v>
      </c>
      <c r="G98" s="134">
        <v>53</v>
      </c>
      <c r="H98" s="131" t="s">
        <v>12</v>
      </c>
      <c r="I98" s="132">
        <v>1</v>
      </c>
      <c r="J98" s="132"/>
      <c r="K98" s="133"/>
      <c r="L98" s="133"/>
      <c r="M98" s="133"/>
      <c r="N98" s="130"/>
      <c r="O98" s="130"/>
      <c r="P98" s="138">
        <v>1</v>
      </c>
      <c r="Q98" s="134">
        <v>1404</v>
      </c>
    </row>
    <row r="99" spans="2:17" ht="21" x14ac:dyDescent="0.55000000000000004">
      <c r="B99" s="126">
        <v>102</v>
      </c>
      <c r="C99" s="131" t="s">
        <v>137</v>
      </c>
      <c r="D99" s="134" t="s">
        <v>829</v>
      </c>
      <c r="E99" s="134">
        <v>26</v>
      </c>
      <c r="F99" s="134">
        <v>93</v>
      </c>
      <c r="G99" s="134">
        <v>52</v>
      </c>
      <c r="H99" s="131" t="s">
        <v>12</v>
      </c>
      <c r="I99" s="132">
        <v>1</v>
      </c>
      <c r="J99" s="132"/>
      <c r="K99" s="133"/>
      <c r="L99" s="133"/>
      <c r="M99" s="133"/>
      <c r="N99" s="130"/>
      <c r="O99" s="130"/>
      <c r="P99" s="138">
        <v>1</v>
      </c>
      <c r="Q99" s="134">
        <v>1404</v>
      </c>
    </row>
    <row r="100" spans="2:17" ht="21" x14ac:dyDescent="0.55000000000000004">
      <c r="B100" s="126">
        <v>103</v>
      </c>
      <c r="C100" s="127" t="s">
        <v>600</v>
      </c>
      <c r="D100" s="134" t="s">
        <v>38</v>
      </c>
      <c r="E100" s="134">
        <v>26</v>
      </c>
      <c r="F100" s="134">
        <v>84</v>
      </c>
      <c r="G100" s="134">
        <v>28</v>
      </c>
      <c r="H100" s="131" t="s">
        <v>12</v>
      </c>
      <c r="I100" s="132">
        <v>1</v>
      </c>
      <c r="J100" s="132"/>
      <c r="K100" s="133"/>
      <c r="L100" s="133"/>
      <c r="M100" s="133"/>
      <c r="N100" s="130"/>
      <c r="O100" s="130"/>
      <c r="P100" s="138">
        <v>1</v>
      </c>
      <c r="Q100" s="134">
        <v>1404</v>
      </c>
    </row>
    <row r="101" spans="2:17" ht="21" x14ac:dyDescent="0.55000000000000004">
      <c r="B101" s="126">
        <v>104</v>
      </c>
      <c r="C101" s="131" t="s">
        <v>135</v>
      </c>
      <c r="D101" s="134" t="s">
        <v>910</v>
      </c>
      <c r="E101" s="134">
        <v>26</v>
      </c>
      <c r="F101" s="134">
        <v>87</v>
      </c>
      <c r="G101" s="134">
        <v>51</v>
      </c>
      <c r="H101" s="131" t="s">
        <v>12</v>
      </c>
      <c r="I101" s="132">
        <v>1</v>
      </c>
      <c r="J101" s="132"/>
      <c r="K101" s="133"/>
      <c r="L101" s="133"/>
      <c r="M101" s="133"/>
      <c r="N101" s="130"/>
      <c r="O101" s="130"/>
      <c r="P101" s="138">
        <v>1</v>
      </c>
      <c r="Q101" s="134">
        <v>1404</v>
      </c>
    </row>
    <row r="102" spans="2:17" ht="21" x14ac:dyDescent="0.55000000000000004">
      <c r="B102" s="126">
        <v>105</v>
      </c>
      <c r="C102" s="131" t="s">
        <v>396</v>
      </c>
      <c r="D102" s="134" t="s">
        <v>909</v>
      </c>
      <c r="E102" s="134">
        <v>26</v>
      </c>
      <c r="F102" s="134">
        <v>77</v>
      </c>
      <c r="G102" s="134">
        <v>48</v>
      </c>
      <c r="H102" s="131" t="s">
        <v>12</v>
      </c>
      <c r="I102" s="132">
        <v>1</v>
      </c>
      <c r="J102" s="132"/>
      <c r="K102" s="133"/>
      <c r="L102" s="133"/>
      <c r="M102" s="133"/>
      <c r="N102" s="130"/>
      <c r="O102" s="130"/>
      <c r="P102" s="138">
        <v>1</v>
      </c>
      <c r="Q102" s="134">
        <v>1404</v>
      </c>
    </row>
    <row r="103" spans="2:17" ht="21" x14ac:dyDescent="0.55000000000000004">
      <c r="B103" s="126">
        <v>106</v>
      </c>
      <c r="C103" s="127" t="s">
        <v>131</v>
      </c>
      <c r="D103" s="134" t="s">
        <v>908</v>
      </c>
      <c r="E103" s="134">
        <v>26</v>
      </c>
      <c r="F103" s="134">
        <v>92</v>
      </c>
      <c r="G103" s="134">
        <v>50</v>
      </c>
      <c r="H103" s="131" t="s">
        <v>12</v>
      </c>
      <c r="I103" s="132">
        <v>1</v>
      </c>
      <c r="J103" s="132"/>
      <c r="K103" s="133"/>
      <c r="L103" s="133"/>
      <c r="M103" s="133"/>
      <c r="N103" s="130"/>
      <c r="O103" s="130"/>
      <c r="P103" s="138">
        <v>1</v>
      </c>
      <c r="Q103" s="134">
        <v>1404</v>
      </c>
    </row>
    <row r="104" spans="2:17" ht="21" x14ac:dyDescent="0.55000000000000004">
      <c r="B104" s="126">
        <v>107</v>
      </c>
      <c r="C104" s="131" t="s">
        <v>572</v>
      </c>
      <c r="D104" s="134" t="s">
        <v>907</v>
      </c>
      <c r="E104" s="134">
        <v>26</v>
      </c>
      <c r="F104" s="134">
        <v>76</v>
      </c>
      <c r="G104" s="134">
        <v>47</v>
      </c>
      <c r="H104" s="131" t="s">
        <v>12</v>
      </c>
      <c r="I104" s="132">
        <v>1</v>
      </c>
      <c r="J104" s="132"/>
      <c r="K104" s="133"/>
      <c r="L104" s="133"/>
      <c r="M104" s="133"/>
      <c r="N104" s="130"/>
      <c r="O104" s="130"/>
      <c r="P104" s="138">
        <v>1</v>
      </c>
      <c r="Q104" s="134">
        <v>1404</v>
      </c>
    </row>
    <row r="105" spans="2:17" ht="21" x14ac:dyDescent="0.55000000000000004">
      <c r="B105" s="126">
        <v>108</v>
      </c>
      <c r="C105" s="131" t="s">
        <v>181</v>
      </c>
      <c r="D105" s="134" t="s">
        <v>906</v>
      </c>
      <c r="E105" s="134">
        <v>26</v>
      </c>
      <c r="F105" s="134">
        <v>20</v>
      </c>
      <c r="G105" s="134">
        <v>36</v>
      </c>
      <c r="H105" s="131" t="s">
        <v>12</v>
      </c>
      <c r="I105" s="132">
        <v>1</v>
      </c>
      <c r="J105" s="132"/>
      <c r="K105" s="133"/>
      <c r="L105" s="133"/>
      <c r="M105" s="133"/>
      <c r="N105" s="130"/>
      <c r="O105" s="130"/>
      <c r="P105" s="138">
        <v>1</v>
      </c>
      <c r="Q105" s="134" t="s">
        <v>39</v>
      </c>
    </row>
    <row r="106" spans="2:17" ht="21" x14ac:dyDescent="0.55000000000000004">
      <c r="B106" s="126">
        <v>109</v>
      </c>
      <c r="C106" s="127" t="s">
        <v>296</v>
      </c>
      <c r="D106" s="134" t="s">
        <v>905</v>
      </c>
      <c r="E106" s="134">
        <v>26</v>
      </c>
      <c r="F106" s="134">
        <v>88</v>
      </c>
      <c r="G106" s="134">
        <v>45</v>
      </c>
      <c r="H106" s="131" t="s">
        <v>12</v>
      </c>
      <c r="I106" s="132">
        <v>1</v>
      </c>
      <c r="J106" s="132"/>
      <c r="K106" s="133"/>
      <c r="L106" s="133"/>
      <c r="M106" s="133"/>
      <c r="N106" s="130"/>
      <c r="O106" s="130"/>
      <c r="P106" s="138">
        <v>1</v>
      </c>
      <c r="Q106" s="134" t="s">
        <v>39</v>
      </c>
    </row>
    <row r="107" spans="2:17" ht="21" x14ac:dyDescent="0.55000000000000004">
      <c r="B107" s="126">
        <v>110</v>
      </c>
      <c r="C107" s="131" t="s">
        <v>170</v>
      </c>
      <c r="D107" s="134" t="s">
        <v>904</v>
      </c>
      <c r="E107" s="134">
        <v>26</v>
      </c>
      <c r="F107" s="134">
        <v>76</v>
      </c>
      <c r="G107" s="134">
        <v>48</v>
      </c>
      <c r="H107" s="131" t="s">
        <v>12</v>
      </c>
      <c r="I107" s="132">
        <v>1</v>
      </c>
      <c r="J107" s="132"/>
      <c r="K107" s="133"/>
      <c r="L107" s="133"/>
      <c r="M107" s="133"/>
      <c r="N107" s="130"/>
      <c r="O107" s="130"/>
      <c r="P107" s="138">
        <v>1</v>
      </c>
      <c r="Q107" s="134" t="s">
        <v>39</v>
      </c>
    </row>
    <row r="108" spans="2:17" ht="21" x14ac:dyDescent="0.55000000000000004">
      <c r="B108" s="126">
        <v>111</v>
      </c>
      <c r="C108" s="131" t="s">
        <v>131</v>
      </c>
      <c r="D108" s="134" t="s">
        <v>903</v>
      </c>
      <c r="E108" s="134">
        <v>26</v>
      </c>
      <c r="F108" s="134">
        <v>89</v>
      </c>
      <c r="G108" s="134">
        <v>45</v>
      </c>
      <c r="H108" s="131" t="s">
        <v>12</v>
      </c>
      <c r="I108" s="132">
        <v>1</v>
      </c>
      <c r="J108" s="132"/>
      <c r="K108" s="133"/>
      <c r="L108" s="133"/>
      <c r="M108" s="133"/>
      <c r="N108" s="130"/>
      <c r="O108" s="130"/>
      <c r="P108" s="138">
        <v>1</v>
      </c>
      <c r="Q108" s="134" t="s">
        <v>39</v>
      </c>
    </row>
    <row r="109" spans="2:17" ht="21" x14ac:dyDescent="0.55000000000000004">
      <c r="B109" s="126">
        <v>112</v>
      </c>
      <c r="C109" s="127" t="s">
        <v>902</v>
      </c>
      <c r="D109" s="134" t="s">
        <v>901</v>
      </c>
      <c r="E109" s="134">
        <v>26</v>
      </c>
      <c r="F109" s="134">
        <v>90</v>
      </c>
      <c r="G109" s="134">
        <v>2</v>
      </c>
      <c r="H109" s="131" t="s">
        <v>12</v>
      </c>
      <c r="I109" s="132">
        <v>1</v>
      </c>
      <c r="J109" s="132"/>
      <c r="K109" s="133"/>
      <c r="L109" s="133"/>
      <c r="M109" s="133"/>
      <c r="N109" s="130"/>
      <c r="O109" s="130"/>
      <c r="P109" s="138">
        <v>1</v>
      </c>
      <c r="Q109" s="134" t="s">
        <v>39</v>
      </c>
    </row>
    <row r="110" spans="2:17" ht="21" x14ac:dyDescent="0.55000000000000004">
      <c r="B110" s="126">
        <v>113</v>
      </c>
      <c r="C110" s="131" t="s">
        <v>900</v>
      </c>
      <c r="D110" s="134" t="s">
        <v>899</v>
      </c>
      <c r="E110" s="134">
        <v>26</v>
      </c>
      <c r="F110" s="134">
        <v>80</v>
      </c>
      <c r="G110" s="134">
        <v>34</v>
      </c>
      <c r="H110" s="131" t="s">
        <v>12</v>
      </c>
      <c r="I110" s="132">
        <v>1</v>
      </c>
      <c r="J110" s="132"/>
      <c r="K110" s="133"/>
      <c r="L110" s="133"/>
      <c r="M110" s="133"/>
      <c r="N110" s="130"/>
      <c r="O110" s="130"/>
      <c r="P110" s="138">
        <v>1</v>
      </c>
      <c r="Q110" s="134" t="s">
        <v>39</v>
      </c>
    </row>
    <row r="111" spans="2:17" ht="21" x14ac:dyDescent="0.55000000000000004">
      <c r="B111" s="126">
        <v>114</v>
      </c>
      <c r="C111" s="131" t="s">
        <v>898</v>
      </c>
      <c r="D111" s="134" t="s">
        <v>897</v>
      </c>
      <c r="E111" s="134">
        <v>26</v>
      </c>
      <c r="F111" s="134">
        <v>77</v>
      </c>
      <c r="G111" s="134" t="s">
        <v>40</v>
      </c>
      <c r="H111" s="131" t="s">
        <v>12</v>
      </c>
      <c r="I111" s="132">
        <v>1</v>
      </c>
      <c r="J111" s="132"/>
      <c r="K111" s="133"/>
      <c r="L111" s="133"/>
      <c r="M111" s="133"/>
      <c r="N111" s="130"/>
      <c r="O111" s="130"/>
      <c r="P111" s="138">
        <v>1</v>
      </c>
      <c r="Q111" s="134" t="s">
        <v>42</v>
      </c>
    </row>
    <row r="112" spans="2:17" ht="21" x14ac:dyDescent="0.55000000000000004">
      <c r="B112" s="126">
        <v>115</v>
      </c>
      <c r="C112" s="127" t="s">
        <v>170</v>
      </c>
      <c r="D112" s="134" t="s">
        <v>836</v>
      </c>
      <c r="E112" s="134">
        <v>26</v>
      </c>
      <c r="F112" s="134">
        <v>79</v>
      </c>
      <c r="G112" s="134" t="s">
        <v>40</v>
      </c>
      <c r="H112" s="131" t="s">
        <v>12</v>
      </c>
      <c r="I112" s="132">
        <v>1</v>
      </c>
      <c r="J112" s="132"/>
      <c r="K112" s="133"/>
      <c r="L112" s="133"/>
      <c r="M112" s="133"/>
      <c r="N112" s="130"/>
      <c r="O112" s="130"/>
      <c r="P112" s="138">
        <v>1</v>
      </c>
      <c r="Q112" s="134" t="s">
        <v>42</v>
      </c>
    </row>
    <row r="113" spans="2:17" ht="21" x14ac:dyDescent="0.55000000000000004">
      <c r="B113" s="126">
        <v>116</v>
      </c>
      <c r="C113" s="131" t="s">
        <v>896</v>
      </c>
      <c r="D113" s="134" t="s">
        <v>895</v>
      </c>
      <c r="E113" s="134">
        <v>26</v>
      </c>
      <c r="F113" s="134">
        <v>75</v>
      </c>
      <c r="G113" s="134" t="s">
        <v>40</v>
      </c>
      <c r="H113" s="131" t="s">
        <v>12</v>
      </c>
      <c r="I113" s="132">
        <v>1</v>
      </c>
      <c r="J113" s="132"/>
      <c r="K113" s="133"/>
      <c r="L113" s="133"/>
      <c r="M113" s="133"/>
      <c r="N113" s="130"/>
      <c r="O113" s="130"/>
      <c r="P113" s="138">
        <v>1</v>
      </c>
      <c r="Q113" s="134" t="s">
        <v>42</v>
      </c>
    </row>
    <row r="114" spans="2:17" ht="21" x14ac:dyDescent="0.55000000000000004">
      <c r="B114" s="126">
        <v>117</v>
      </c>
      <c r="C114" s="131" t="s">
        <v>234</v>
      </c>
      <c r="D114" s="134" t="s">
        <v>894</v>
      </c>
      <c r="E114" s="134">
        <v>26</v>
      </c>
      <c r="F114" s="134">
        <v>80</v>
      </c>
      <c r="G114" s="134">
        <v>2</v>
      </c>
      <c r="H114" s="131" t="s">
        <v>12</v>
      </c>
      <c r="I114" s="132">
        <v>1</v>
      </c>
      <c r="J114" s="132"/>
      <c r="K114" s="133"/>
      <c r="L114" s="133"/>
      <c r="M114" s="133"/>
      <c r="N114" s="139"/>
      <c r="O114" s="139"/>
      <c r="P114" s="138">
        <v>1</v>
      </c>
      <c r="Q114" s="134" t="s">
        <v>42</v>
      </c>
    </row>
    <row r="115" spans="2:17" ht="21" x14ac:dyDescent="0.55000000000000004">
      <c r="B115" s="126">
        <v>118</v>
      </c>
      <c r="C115" s="127" t="s">
        <v>253</v>
      </c>
      <c r="D115" s="134" t="s">
        <v>893</v>
      </c>
      <c r="E115" s="134">
        <v>26</v>
      </c>
      <c r="F115" s="134">
        <v>78</v>
      </c>
      <c r="G115" s="134" t="s">
        <v>41</v>
      </c>
      <c r="H115" s="131" t="s">
        <v>12</v>
      </c>
      <c r="I115" s="132">
        <v>1</v>
      </c>
      <c r="J115" s="132"/>
      <c r="K115" s="133"/>
      <c r="L115" s="133"/>
      <c r="M115" s="133"/>
      <c r="N115" s="130"/>
      <c r="O115" s="130"/>
      <c r="P115" s="138">
        <v>1</v>
      </c>
      <c r="Q115" s="134" t="s">
        <v>42</v>
      </c>
    </row>
    <row r="116" spans="2:17" ht="21" x14ac:dyDescent="0.55000000000000004">
      <c r="B116" s="126">
        <v>119</v>
      </c>
      <c r="C116" s="131" t="s">
        <v>578</v>
      </c>
      <c r="D116" s="134" t="s">
        <v>892</v>
      </c>
      <c r="E116" s="134">
        <v>26</v>
      </c>
      <c r="F116" s="134">
        <v>92</v>
      </c>
      <c r="G116" s="134">
        <v>27</v>
      </c>
      <c r="H116" s="131" t="s">
        <v>12</v>
      </c>
      <c r="I116" s="132">
        <v>1</v>
      </c>
      <c r="J116" s="132"/>
      <c r="K116" s="133"/>
      <c r="L116" s="133"/>
      <c r="M116" s="133"/>
      <c r="N116" s="130"/>
      <c r="O116" s="130"/>
      <c r="P116" s="138">
        <v>1</v>
      </c>
      <c r="Q116" s="134" t="s">
        <v>42</v>
      </c>
    </row>
    <row r="117" spans="2:17" ht="21" x14ac:dyDescent="0.55000000000000004">
      <c r="B117" s="126">
        <v>120</v>
      </c>
      <c r="C117" s="131" t="s">
        <v>891</v>
      </c>
      <c r="D117" s="134" t="s">
        <v>890</v>
      </c>
      <c r="E117" s="134">
        <v>26</v>
      </c>
      <c r="F117" s="134">
        <v>34</v>
      </c>
      <c r="G117" s="134">
        <v>49</v>
      </c>
      <c r="H117" s="131" t="s">
        <v>12</v>
      </c>
      <c r="I117" s="132">
        <v>1</v>
      </c>
      <c r="J117" s="132"/>
      <c r="K117" s="133"/>
      <c r="L117" s="133"/>
      <c r="M117" s="133"/>
      <c r="N117" s="130"/>
      <c r="O117" s="130"/>
      <c r="P117" s="138">
        <v>1</v>
      </c>
      <c r="Q117" s="134" t="s">
        <v>42</v>
      </c>
    </row>
    <row r="118" spans="2:17" ht="21" x14ac:dyDescent="0.55000000000000004">
      <c r="B118" s="126">
        <v>121</v>
      </c>
      <c r="C118" s="127" t="s">
        <v>662</v>
      </c>
      <c r="D118" s="134" t="s">
        <v>392</v>
      </c>
      <c r="E118" s="134">
        <v>26</v>
      </c>
      <c r="F118" s="134">
        <v>43</v>
      </c>
      <c r="G118" s="134">
        <v>42</v>
      </c>
      <c r="H118" s="131" t="s">
        <v>12</v>
      </c>
      <c r="I118" s="132">
        <v>1</v>
      </c>
      <c r="J118" s="132"/>
      <c r="K118" s="133"/>
      <c r="L118" s="133"/>
      <c r="M118" s="133"/>
      <c r="N118" s="130"/>
      <c r="O118" s="130"/>
      <c r="P118" s="138">
        <v>1</v>
      </c>
      <c r="Q118" s="134" t="s">
        <v>42</v>
      </c>
    </row>
    <row r="119" spans="2:17" ht="21" x14ac:dyDescent="0.55000000000000004">
      <c r="B119" s="126">
        <v>122</v>
      </c>
      <c r="C119" s="131" t="s">
        <v>889</v>
      </c>
      <c r="D119" s="134" t="s">
        <v>542</v>
      </c>
      <c r="E119" s="134">
        <v>26</v>
      </c>
      <c r="F119" s="134">
        <v>15</v>
      </c>
      <c r="G119" s="134">
        <v>37</v>
      </c>
      <c r="H119" s="131" t="s">
        <v>12</v>
      </c>
      <c r="I119" s="132">
        <v>1</v>
      </c>
      <c r="J119" s="132"/>
      <c r="K119" s="133"/>
      <c r="L119" s="133"/>
      <c r="M119" s="133"/>
      <c r="N119" s="130"/>
      <c r="O119" s="130"/>
      <c r="P119" s="138">
        <v>1</v>
      </c>
      <c r="Q119" s="134" t="s">
        <v>42</v>
      </c>
    </row>
    <row r="120" spans="2:17" ht="21" x14ac:dyDescent="0.55000000000000004">
      <c r="B120" s="126">
        <v>123</v>
      </c>
      <c r="C120" s="131" t="s">
        <v>600</v>
      </c>
      <c r="D120" s="134" t="s">
        <v>43</v>
      </c>
      <c r="E120" s="134">
        <v>26</v>
      </c>
      <c r="F120" s="134">
        <v>17</v>
      </c>
      <c r="G120" s="134">
        <v>50</v>
      </c>
      <c r="H120" s="131" t="s">
        <v>12</v>
      </c>
      <c r="I120" s="132">
        <v>1</v>
      </c>
      <c r="J120" s="132"/>
      <c r="K120" s="133"/>
      <c r="L120" s="133"/>
      <c r="M120" s="133"/>
      <c r="N120" s="130"/>
      <c r="O120" s="130"/>
      <c r="P120" s="138">
        <v>1</v>
      </c>
      <c r="Q120" s="134" t="s">
        <v>42</v>
      </c>
    </row>
    <row r="121" spans="2:17" ht="21" x14ac:dyDescent="0.55000000000000004">
      <c r="B121" s="126">
        <v>124</v>
      </c>
      <c r="C121" s="127" t="s">
        <v>888</v>
      </c>
      <c r="D121" s="134" t="s">
        <v>887</v>
      </c>
      <c r="E121" s="134">
        <v>26</v>
      </c>
      <c r="F121" s="134">
        <v>30</v>
      </c>
      <c r="G121" s="134">
        <v>32</v>
      </c>
      <c r="H121" s="131" t="s">
        <v>12</v>
      </c>
      <c r="I121" s="132">
        <v>1</v>
      </c>
      <c r="J121" s="132"/>
      <c r="K121" s="133"/>
      <c r="L121" s="133"/>
      <c r="M121" s="133"/>
      <c r="N121" s="130"/>
      <c r="O121" s="130"/>
      <c r="P121" s="138">
        <v>1</v>
      </c>
      <c r="Q121" s="134" t="s">
        <v>42</v>
      </c>
    </row>
    <row r="122" spans="2:17" ht="21" x14ac:dyDescent="0.55000000000000004">
      <c r="B122" s="126">
        <v>125</v>
      </c>
      <c r="C122" s="131" t="s">
        <v>886</v>
      </c>
      <c r="D122" s="134" t="s">
        <v>885</v>
      </c>
      <c r="E122" s="134">
        <v>26</v>
      </c>
      <c r="F122" s="134">
        <v>5</v>
      </c>
      <c r="G122" s="134">
        <v>20</v>
      </c>
      <c r="H122" s="131" t="s">
        <v>12</v>
      </c>
      <c r="I122" s="132">
        <v>1</v>
      </c>
      <c r="J122" s="132"/>
      <c r="K122" s="133"/>
      <c r="L122" s="133"/>
      <c r="M122" s="133"/>
      <c r="N122" s="130"/>
      <c r="O122" s="130"/>
      <c r="P122" s="138">
        <v>1</v>
      </c>
      <c r="Q122" s="134" t="s">
        <v>42</v>
      </c>
    </row>
    <row r="123" spans="2:17" ht="21" x14ac:dyDescent="0.55000000000000004">
      <c r="B123" s="126">
        <v>126</v>
      </c>
      <c r="C123" s="131" t="s">
        <v>190</v>
      </c>
      <c r="D123" s="134" t="s">
        <v>884</v>
      </c>
      <c r="E123" s="134">
        <v>26</v>
      </c>
      <c r="F123" s="134">
        <v>4</v>
      </c>
      <c r="G123" s="134">
        <v>32</v>
      </c>
      <c r="H123" s="131" t="s">
        <v>12</v>
      </c>
      <c r="I123" s="132">
        <v>1</v>
      </c>
      <c r="J123" s="132"/>
      <c r="K123" s="133"/>
      <c r="L123" s="133"/>
      <c r="M123" s="133"/>
      <c r="N123" s="130"/>
      <c r="O123" s="130"/>
      <c r="P123" s="138">
        <v>1</v>
      </c>
      <c r="Q123" s="134" t="s">
        <v>42</v>
      </c>
    </row>
    <row r="124" spans="2:17" ht="21" x14ac:dyDescent="0.55000000000000004">
      <c r="B124" s="126">
        <v>127</v>
      </c>
      <c r="C124" s="127" t="s">
        <v>201</v>
      </c>
      <c r="D124" s="134" t="s">
        <v>98</v>
      </c>
      <c r="E124" s="134">
        <v>26</v>
      </c>
      <c r="F124" s="134">
        <v>51</v>
      </c>
      <c r="G124" s="134">
        <v>35</v>
      </c>
      <c r="H124" s="131" t="s">
        <v>12</v>
      </c>
      <c r="I124" s="132">
        <v>1</v>
      </c>
      <c r="J124" s="132"/>
      <c r="K124" s="133"/>
      <c r="L124" s="133"/>
      <c r="M124" s="133"/>
      <c r="N124" s="130"/>
      <c r="O124" s="130"/>
      <c r="P124" s="138">
        <v>1</v>
      </c>
      <c r="Q124" s="134" t="s">
        <v>44</v>
      </c>
    </row>
    <row r="125" spans="2:17" ht="21" x14ac:dyDescent="0.55000000000000004">
      <c r="B125" s="126">
        <v>128</v>
      </c>
      <c r="C125" s="131" t="s">
        <v>883</v>
      </c>
      <c r="D125" s="134" t="s">
        <v>882</v>
      </c>
      <c r="E125" s="134">
        <v>26</v>
      </c>
      <c r="F125" s="134">
        <v>84</v>
      </c>
      <c r="G125" s="134">
        <v>51</v>
      </c>
      <c r="H125" s="131" t="s">
        <v>12</v>
      </c>
      <c r="I125" s="132">
        <v>1</v>
      </c>
      <c r="J125" s="132"/>
      <c r="K125" s="133"/>
      <c r="L125" s="133"/>
      <c r="M125" s="133"/>
      <c r="N125" s="130"/>
      <c r="O125" s="130"/>
      <c r="P125" s="138">
        <v>1</v>
      </c>
      <c r="Q125" s="134" t="s">
        <v>44</v>
      </c>
    </row>
    <row r="126" spans="2:17" ht="21" x14ac:dyDescent="0.55000000000000004">
      <c r="B126" s="126">
        <v>129</v>
      </c>
      <c r="C126" s="131" t="s">
        <v>881</v>
      </c>
      <c r="D126" s="134" t="s">
        <v>849</v>
      </c>
      <c r="E126" s="134">
        <v>26</v>
      </c>
      <c r="F126" s="134">
        <v>82</v>
      </c>
      <c r="G126" s="134">
        <v>51</v>
      </c>
      <c r="H126" s="131" t="s">
        <v>12</v>
      </c>
      <c r="I126" s="132">
        <v>1</v>
      </c>
      <c r="J126" s="132"/>
      <c r="K126" s="133"/>
      <c r="L126" s="133"/>
      <c r="M126" s="133"/>
      <c r="N126" s="130"/>
      <c r="O126" s="130"/>
      <c r="P126" s="138">
        <v>1</v>
      </c>
      <c r="Q126" s="134" t="s">
        <v>44</v>
      </c>
    </row>
    <row r="127" spans="2:17" ht="21" x14ac:dyDescent="0.55000000000000004">
      <c r="B127" s="126">
        <v>130</v>
      </c>
      <c r="C127" s="127" t="s">
        <v>255</v>
      </c>
      <c r="D127" s="134" t="s">
        <v>880</v>
      </c>
      <c r="E127" s="134">
        <v>26</v>
      </c>
      <c r="F127" s="134">
        <v>85</v>
      </c>
      <c r="G127" s="134">
        <v>51</v>
      </c>
      <c r="H127" s="131" t="s">
        <v>12</v>
      </c>
      <c r="I127" s="132">
        <v>1</v>
      </c>
      <c r="J127" s="132"/>
      <c r="K127" s="133"/>
      <c r="L127" s="133"/>
      <c r="M127" s="133"/>
      <c r="N127" s="130"/>
      <c r="O127" s="130"/>
      <c r="P127" s="138">
        <v>1</v>
      </c>
      <c r="Q127" s="134" t="s">
        <v>44</v>
      </c>
    </row>
    <row r="128" spans="2:17" ht="21" x14ac:dyDescent="0.55000000000000004">
      <c r="B128" s="126">
        <v>131</v>
      </c>
      <c r="C128" s="131" t="s">
        <v>706</v>
      </c>
      <c r="D128" s="134" t="s">
        <v>879</v>
      </c>
      <c r="E128" s="134">
        <v>26</v>
      </c>
      <c r="F128" s="134">
        <v>90</v>
      </c>
      <c r="G128" s="134">
        <v>30</v>
      </c>
      <c r="H128" s="131" t="s">
        <v>12</v>
      </c>
      <c r="I128" s="132">
        <v>1</v>
      </c>
      <c r="J128" s="132"/>
      <c r="K128" s="133"/>
      <c r="L128" s="133"/>
      <c r="M128" s="133"/>
      <c r="N128" s="130"/>
      <c r="O128" s="130"/>
      <c r="P128" s="138">
        <v>1</v>
      </c>
      <c r="Q128" s="134" t="s">
        <v>44</v>
      </c>
    </row>
    <row r="129" spans="2:17" ht="21" x14ac:dyDescent="0.55000000000000004">
      <c r="B129" s="126">
        <v>132</v>
      </c>
      <c r="C129" s="131" t="s">
        <v>878</v>
      </c>
      <c r="D129" s="134" t="s">
        <v>877</v>
      </c>
      <c r="E129" s="134">
        <v>26</v>
      </c>
      <c r="F129" s="134">
        <v>83</v>
      </c>
      <c r="G129" s="134">
        <v>51</v>
      </c>
      <c r="H129" s="131" t="s">
        <v>12</v>
      </c>
      <c r="I129" s="132">
        <v>1</v>
      </c>
      <c r="J129" s="132"/>
      <c r="K129" s="133"/>
      <c r="L129" s="133"/>
      <c r="M129" s="133"/>
      <c r="N129" s="130"/>
      <c r="O129" s="130"/>
      <c r="P129" s="138">
        <v>1</v>
      </c>
      <c r="Q129" s="134" t="s">
        <v>44</v>
      </c>
    </row>
    <row r="130" spans="2:17" ht="21" x14ac:dyDescent="0.55000000000000004">
      <c r="B130" s="126">
        <v>133</v>
      </c>
      <c r="C130" s="127" t="s">
        <v>157</v>
      </c>
      <c r="D130" s="134" t="s">
        <v>876</v>
      </c>
      <c r="E130" s="134">
        <v>26</v>
      </c>
      <c r="F130" s="134">
        <v>79</v>
      </c>
      <c r="G130" s="134">
        <v>10</v>
      </c>
      <c r="H130" s="131" t="s">
        <v>12</v>
      </c>
      <c r="I130" s="132">
        <v>1</v>
      </c>
      <c r="J130" s="132"/>
      <c r="K130" s="133"/>
      <c r="L130" s="133"/>
      <c r="M130" s="133"/>
      <c r="N130" s="130"/>
      <c r="O130" s="130"/>
      <c r="P130" s="138">
        <v>1</v>
      </c>
      <c r="Q130" s="134" t="s">
        <v>44</v>
      </c>
    </row>
    <row r="131" spans="2:17" ht="21" x14ac:dyDescent="0.55000000000000004">
      <c r="B131" s="126">
        <v>134</v>
      </c>
      <c r="C131" s="131" t="s">
        <v>131</v>
      </c>
      <c r="D131" s="134" t="s">
        <v>875</v>
      </c>
      <c r="E131" s="134">
        <v>26</v>
      </c>
      <c r="F131" s="134">
        <v>72</v>
      </c>
      <c r="G131" s="134">
        <v>3</v>
      </c>
      <c r="H131" s="131" t="s">
        <v>12</v>
      </c>
      <c r="I131" s="132">
        <v>1</v>
      </c>
      <c r="J131" s="132"/>
      <c r="K131" s="133"/>
      <c r="L131" s="133"/>
      <c r="M131" s="133"/>
      <c r="N131" s="130"/>
      <c r="O131" s="130"/>
      <c r="P131" s="138">
        <v>1</v>
      </c>
      <c r="Q131" s="134" t="s">
        <v>42</v>
      </c>
    </row>
    <row r="132" spans="2:17" ht="21" x14ac:dyDescent="0.55000000000000004">
      <c r="B132" s="126">
        <v>135</v>
      </c>
      <c r="C132" s="131" t="s">
        <v>138</v>
      </c>
      <c r="D132" s="134" t="s">
        <v>874</v>
      </c>
      <c r="E132" s="134">
        <v>26</v>
      </c>
      <c r="F132" s="134">
        <v>76</v>
      </c>
      <c r="G132" s="134">
        <v>1</v>
      </c>
      <c r="H132" s="131" t="s">
        <v>12</v>
      </c>
      <c r="I132" s="132">
        <v>1</v>
      </c>
      <c r="J132" s="132"/>
      <c r="K132" s="133"/>
      <c r="L132" s="133"/>
      <c r="M132" s="133"/>
      <c r="N132" s="130"/>
      <c r="O132" s="130"/>
      <c r="P132" s="138">
        <v>1</v>
      </c>
      <c r="Q132" s="134" t="s">
        <v>42</v>
      </c>
    </row>
    <row r="133" spans="2:17" ht="21" x14ac:dyDescent="0.55000000000000004">
      <c r="B133" s="126">
        <v>136</v>
      </c>
      <c r="C133" s="127" t="s">
        <v>234</v>
      </c>
      <c r="D133" s="134" t="s">
        <v>873</v>
      </c>
      <c r="E133" s="134">
        <v>26</v>
      </c>
      <c r="F133" s="134">
        <v>89</v>
      </c>
      <c r="G133" s="134">
        <v>10</v>
      </c>
      <c r="H133" s="131" t="s">
        <v>12</v>
      </c>
      <c r="I133" s="132">
        <v>1</v>
      </c>
      <c r="J133" s="132"/>
      <c r="K133" s="133"/>
      <c r="L133" s="133"/>
      <c r="M133" s="133"/>
      <c r="N133" s="130"/>
      <c r="O133" s="130"/>
      <c r="P133" s="138">
        <v>1</v>
      </c>
      <c r="Q133" s="134" t="s">
        <v>42</v>
      </c>
    </row>
    <row r="134" spans="2:17" ht="21" x14ac:dyDescent="0.55000000000000004">
      <c r="B134" s="126">
        <v>137</v>
      </c>
      <c r="C134" s="131" t="s">
        <v>799</v>
      </c>
      <c r="D134" s="134" t="s">
        <v>872</v>
      </c>
      <c r="E134" s="134">
        <v>26</v>
      </c>
      <c r="F134" s="134">
        <v>89</v>
      </c>
      <c r="G134" s="134">
        <v>24</v>
      </c>
      <c r="H134" s="131" t="s">
        <v>12</v>
      </c>
      <c r="I134" s="132">
        <v>1</v>
      </c>
      <c r="J134" s="132"/>
      <c r="K134" s="133"/>
      <c r="L134" s="133"/>
      <c r="M134" s="133"/>
      <c r="N134" s="130"/>
      <c r="O134" s="130"/>
      <c r="P134" s="138">
        <v>1</v>
      </c>
      <c r="Q134" s="134" t="s">
        <v>42</v>
      </c>
    </row>
    <row r="135" spans="2:17" ht="21" x14ac:dyDescent="0.55000000000000004">
      <c r="B135" s="126">
        <v>138</v>
      </c>
      <c r="C135" s="131" t="s">
        <v>871</v>
      </c>
      <c r="D135" s="134" t="s">
        <v>870</v>
      </c>
      <c r="E135" s="134">
        <v>26</v>
      </c>
      <c r="F135" s="134">
        <v>84</v>
      </c>
      <c r="G135" s="134">
        <v>35</v>
      </c>
      <c r="H135" s="131" t="s">
        <v>12</v>
      </c>
      <c r="I135" s="132">
        <v>1</v>
      </c>
      <c r="J135" s="132"/>
      <c r="K135" s="133"/>
      <c r="L135" s="133"/>
      <c r="M135" s="133"/>
      <c r="N135" s="130"/>
      <c r="O135" s="130"/>
      <c r="P135" s="138">
        <v>1</v>
      </c>
      <c r="Q135" s="134" t="s">
        <v>42</v>
      </c>
    </row>
    <row r="136" spans="2:17" ht="21" x14ac:dyDescent="0.55000000000000004">
      <c r="B136" s="126">
        <v>139</v>
      </c>
      <c r="C136" s="127" t="s">
        <v>640</v>
      </c>
      <c r="D136" s="134" t="s">
        <v>869</v>
      </c>
      <c r="E136" s="134">
        <v>26</v>
      </c>
      <c r="F136" s="134">
        <v>30</v>
      </c>
      <c r="G136" s="134" t="s">
        <v>45</v>
      </c>
      <c r="H136" s="131" t="s">
        <v>12</v>
      </c>
      <c r="I136" s="132">
        <v>1</v>
      </c>
      <c r="J136" s="132"/>
      <c r="K136" s="133"/>
      <c r="L136" s="133"/>
      <c r="M136" s="133"/>
      <c r="N136" s="130"/>
      <c r="O136" s="130"/>
      <c r="P136" s="138">
        <v>1</v>
      </c>
      <c r="Q136" s="134" t="s">
        <v>48</v>
      </c>
    </row>
    <row r="137" spans="2:17" ht="21" x14ac:dyDescent="0.55000000000000004">
      <c r="B137" s="126">
        <v>140</v>
      </c>
      <c r="C137" s="131" t="s">
        <v>123</v>
      </c>
      <c r="D137" s="134" t="s">
        <v>868</v>
      </c>
      <c r="E137" s="134">
        <v>26</v>
      </c>
      <c r="F137" s="134">
        <v>20</v>
      </c>
      <c r="G137" s="134">
        <v>29</v>
      </c>
      <c r="H137" s="131" t="s">
        <v>26</v>
      </c>
      <c r="I137" s="132">
        <v>0</v>
      </c>
      <c r="J137" s="132">
        <v>1</v>
      </c>
      <c r="K137" s="133"/>
      <c r="L137" s="133"/>
      <c r="M137" s="133">
        <v>1</v>
      </c>
      <c r="N137" s="130"/>
      <c r="O137" s="130"/>
      <c r="P137" s="138"/>
      <c r="Q137" s="134"/>
    </row>
    <row r="138" spans="2:17" ht="21" x14ac:dyDescent="0.55000000000000004">
      <c r="B138" s="126">
        <v>141</v>
      </c>
      <c r="C138" s="131" t="s">
        <v>867</v>
      </c>
      <c r="D138" s="134" t="s">
        <v>866</v>
      </c>
      <c r="E138" s="134">
        <v>26</v>
      </c>
      <c r="F138" s="134">
        <v>28</v>
      </c>
      <c r="G138" s="134">
        <v>52</v>
      </c>
      <c r="H138" s="131" t="s">
        <v>12</v>
      </c>
      <c r="I138" s="132">
        <v>1</v>
      </c>
      <c r="J138" s="132"/>
      <c r="K138" s="133"/>
      <c r="L138" s="133"/>
      <c r="M138" s="133"/>
      <c r="N138" s="130"/>
      <c r="O138" s="130"/>
      <c r="P138" s="138">
        <v>1</v>
      </c>
      <c r="Q138" s="134" t="s">
        <v>48</v>
      </c>
    </row>
    <row r="139" spans="2:17" ht="21" x14ac:dyDescent="0.55000000000000004">
      <c r="B139" s="126">
        <v>142</v>
      </c>
      <c r="C139" s="127" t="s">
        <v>302</v>
      </c>
      <c r="D139" s="134" t="s">
        <v>865</v>
      </c>
      <c r="E139" s="134">
        <v>26</v>
      </c>
      <c r="F139" s="134">
        <v>24</v>
      </c>
      <c r="G139" s="134">
        <v>30</v>
      </c>
      <c r="H139" s="131" t="s">
        <v>12</v>
      </c>
      <c r="I139" s="132">
        <v>1</v>
      </c>
      <c r="J139" s="132"/>
      <c r="K139" s="133"/>
      <c r="L139" s="133"/>
      <c r="M139" s="133"/>
      <c r="N139" s="130"/>
      <c r="O139" s="130"/>
      <c r="P139" s="138">
        <v>1</v>
      </c>
      <c r="Q139" s="134" t="s">
        <v>48</v>
      </c>
    </row>
    <row r="140" spans="2:17" ht="21" x14ac:dyDescent="0.55000000000000004">
      <c r="B140" s="126">
        <v>143</v>
      </c>
      <c r="C140" s="131" t="s">
        <v>600</v>
      </c>
      <c r="D140" s="134" t="s">
        <v>46</v>
      </c>
      <c r="E140" s="134">
        <v>26</v>
      </c>
      <c r="F140" s="134">
        <v>60</v>
      </c>
      <c r="G140" s="134">
        <v>4</v>
      </c>
      <c r="H140" s="131" t="s">
        <v>12</v>
      </c>
      <c r="I140" s="132">
        <v>1</v>
      </c>
      <c r="J140" s="132"/>
      <c r="K140" s="133"/>
      <c r="L140" s="133"/>
      <c r="M140" s="133"/>
      <c r="N140" s="130"/>
      <c r="O140" s="130"/>
      <c r="P140" s="138">
        <v>1</v>
      </c>
      <c r="Q140" s="134" t="s">
        <v>49</v>
      </c>
    </row>
    <row r="141" spans="2:17" ht="21" x14ac:dyDescent="0.55000000000000004">
      <c r="B141" s="126">
        <v>144</v>
      </c>
      <c r="C141" s="131" t="s">
        <v>600</v>
      </c>
      <c r="D141" s="134" t="s">
        <v>47</v>
      </c>
      <c r="E141" s="134">
        <v>26</v>
      </c>
      <c r="F141" s="134">
        <v>67</v>
      </c>
      <c r="G141" s="134">
        <v>26</v>
      </c>
      <c r="H141" s="131" t="s">
        <v>12</v>
      </c>
      <c r="I141" s="132">
        <v>1</v>
      </c>
      <c r="J141" s="132"/>
      <c r="K141" s="133"/>
      <c r="L141" s="133"/>
      <c r="M141" s="133"/>
      <c r="N141" s="130"/>
      <c r="O141" s="130"/>
      <c r="P141" s="138">
        <v>1</v>
      </c>
      <c r="Q141" s="134" t="s">
        <v>50</v>
      </c>
    </row>
    <row r="142" spans="2:17" ht="21" x14ac:dyDescent="0.55000000000000004">
      <c r="B142" s="126">
        <v>145</v>
      </c>
      <c r="C142" s="127" t="s">
        <v>187</v>
      </c>
      <c r="D142" s="134" t="s">
        <v>864</v>
      </c>
      <c r="E142" s="134">
        <v>26</v>
      </c>
      <c r="F142" s="134">
        <v>66</v>
      </c>
      <c r="G142" s="134">
        <v>3</v>
      </c>
      <c r="H142" s="131" t="s">
        <v>12</v>
      </c>
      <c r="I142" s="132">
        <v>1</v>
      </c>
      <c r="J142" s="132"/>
      <c r="K142" s="133"/>
      <c r="L142" s="133"/>
      <c r="M142" s="133"/>
      <c r="N142" s="130"/>
      <c r="O142" s="130"/>
      <c r="P142" s="138">
        <v>1</v>
      </c>
      <c r="Q142" s="134" t="s">
        <v>50</v>
      </c>
    </row>
    <row r="143" spans="2:17" ht="21" x14ac:dyDescent="0.55000000000000004">
      <c r="B143" s="126">
        <v>146</v>
      </c>
      <c r="C143" s="131" t="s">
        <v>170</v>
      </c>
      <c r="D143" s="134" t="s">
        <v>863</v>
      </c>
      <c r="E143" s="134">
        <v>26</v>
      </c>
      <c r="F143" s="134">
        <v>58</v>
      </c>
      <c r="G143" s="134">
        <v>10</v>
      </c>
      <c r="H143" s="131" t="s">
        <v>12</v>
      </c>
      <c r="I143" s="132">
        <v>1</v>
      </c>
      <c r="J143" s="132"/>
      <c r="K143" s="133"/>
      <c r="L143" s="133"/>
      <c r="M143" s="133"/>
      <c r="N143" s="130"/>
      <c r="O143" s="130"/>
      <c r="P143" s="138">
        <v>1</v>
      </c>
      <c r="Q143" s="134" t="s">
        <v>50</v>
      </c>
    </row>
    <row r="144" spans="2:17" ht="21" x14ac:dyDescent="0.55000000000000004">
      <c r="B144" s="126">
        <v>147</v>
      </c>
      <c r="C144" s="131" t="s">
        <v>135</v>
      </c>
      <c r="D144" s="134" t="s">
        <v>861</v>
      </c>
      <c r="E144" s="134">
        <v>26</v>
      </c>
      <c r="F144" s="134">
        <v>50</v>
      </c>
      <c r="G144" s="134">
        <v>10</v>
      </c>
      <c r="H144" s="131" t="s">
        <v>12</v>
      </c>
      <c r="I144" s="132">
        <v>1</v>
      </c>
      <c r="J144" s="132"/>
      <c r="K144" s="133"/>
      <c r="L144" s="133"/>
      <c r="M144" s="133"/>
      <c r="N144" s="130"/>
      <c r="O144" s="130"/>
      <c r="P144" s="138">
        <v>1</v>
      </c>
      <c r="Q144" s="134" t="s">
        <v>50</v>
      </c>
    </row>
    <row r="145" spans="1:17" ht="21" x14ac:dyDescent="0.55000000000000004">
      <c r="B145" s="126">
        <v>148</v>
      </c>
      <c r="C145" s="127" t="s">
        <v>131</v>
      </c>
      <c r="D145" s="134" t="s">
        <v>862</v>
      </c>
      <c r="E145" s="134">
        <v>26</v>
      </c>
      <c r="F145" s="134">
        <v>59</v>
      </c>
      <c r="G145" s="134">
        <v>9</v>
      </c>
      <c r="H145" s="131" t="s">
        <v>12</v>
      </c>
      <c r="I145" s="132">
        <v>1</v>
      </c>
      <c r="J145" s="132"/>
      <c r="K145" s="133"/>
      <c r="L145" s="133"/>
      <c r="M145" s="133"/>
      <c r="N145" s="130"/>
      <c r="O145" s="130"/>
      <c r="P145" s="138">
        <v>1</v>
      </c>
      <c r="Q145" s="134" t="s">
        <v>50</v>
      </c>
    </row>
    <row r="146" spans="1:17" ht="21" x14ac:dyDescent="0.55000000000000004">
      <c r="B146" s="126">
        <v>149</v>
      </c>
      <c r="C146" s="131" t="s">
        <v>131</v>
      </c>
      <c r="D146" s="134" t="s">
        <v>860</v>
      </c>
      <c r="E146" s="134">
        <v>26</v>
      </c>
      <c r="F146" s="134">
        <v>48</v>
      </c>
      <c r="G146" s="134">
        <v>10</v>
      </c>
      <c r="H146" s="131" t="s">
        <v>12</v>
      </c>
      <c r="I146" s="132">
        <v>1</v>
      </c>
      <c r="J146" s="132"/>
      <c r="K146" s="133"/>
      <c r="L146" s="133"/>
      <c r="M146" s="133"/>
      <c r="N146" s="130"/>
      <c r="O146" s="130"/>
      <c r="P146" s="138">
        <v>1</v>
      </c>
      <c r="Q146" s="134" t="s">
        <v>50</v>
      </c>
    </row>
    <row r="147" spans="1:17" ht="21" x14ac:dyDescent="0.55000000000000004">
      <c r="B147" s="126">
        <v>150</v>
      </c>
      <c r="C147" s="131" t="s">
        <v>859</v>
      </c>
      <c r="D147" s="134" t="s">
        <v>858</v>
      </c>
      <c r="E147" s="134">
        <v>26</v>
      </c>
      <c r="F147" s="134">
        <v>98</v>
      </c>
      <c r="G147" s="134">
        <v>11</v>
      </c>
      <c r="H147" s="131" t="s">
        <v>12</v>
      </c>
      <c r="I147" s="132">
        <v>1</v>
      </c>
      <c r="J147" s="132"/>
      <c r="K147" s="133"/>
      <c r="L147" s="133"/>
      <c r="M147" s="133"/>
      <c r="N147" s="130"/>
      <c r="O147" s="130"/>
      <c r="P147" s="138">
        <v>1</v>
      </c>
      <c r="Q147" s="134" t="s">
        <v>50</v>
      </c>
    </row>
    <row r="148" spans="1:17" ht="21" x14ac:dyDescent="0.55000000000000004">
      <c r="B148" s="126">
        <v>151</v>
      </c>
      <c r="C148" s="127" t="s">
        <v>280</v>
      </c>
      <c r="D148" s="134" t="s">
        <v>426</v>
      </c>
      <c r="E148" s="134">
        <v>26</v>
      </c>
      <c r="F148" s="134">
        <v>98</v>
      </c>
      <c r="G148" s="134">
        <v>5</v>
      </c>
      <c r="H148" s="131" t="s">
        <v>12</v>
      </c>
      <c r="I148" s="132">
        <v>1</v>
      </c>
      <c r="J148" s="132"/>
      <c r="K148" s="133"/>
      <c r="L148" s="133"/>
      <c r="M148" s="133"/>
      <c r="N148" s="130"/>
      <c r="O148" s="130"/>
      <c r="P148" s="138">
        <v>1</v>
      </c>
      <c r="Q148" s="134" t="s">
        <v>50</v>
      </c>
    </row>
    <row r="149" spans="1:17" ht="21" x14ac:dyDescent="0.55000000000000004">
      <c r="B149" s="126">
        <v>152</v>
      </c>
      <c r="C149" s="131" t="s">
        <v>716</v>
      </c>
      <c r="D149" s="134" t="s">
        <v>857</v>
      </c>
      <c r="E149" s="134">
        <v>26</v>
      </c>
      <c r="F149" s="134">
        <v>562</v>
      </c>
      <c r="G149" s="134">
        <v>3</v>
      </c>
      <c r="H149" s="131" t="s">
        <v>12</v>
      </c>
      <c r="I149" s="132">
        <v>1</v>
      </c>
      <c r="J149" s="132"/>
      <c r="K149" s="133"/>
      <c r="L149" s="133"/>
      <c r="M149" s="133"/>
      <c r="N149" s="130"/>
      <c r="O149" s="130"/>
      <c r="P149" s="138">
        <v>1</v>
      </c>
      <c r="Q149" s="134" t="s">
        <v>50</v>
      </c>
    </row>
    <row r="150" spans="1:17" ht="25.5" customHeight="1" x14ac:dyDescent="0.55000000000000004">
      <c r="A150" s="112"/>
      <c r="B150" s="126">
        <v>153</v>
      </c>
      <c r="C150" s="131" t="s">
        <v>855</v>
      </c>
      <c r="D150" s="134" t="s">
        <v>854</v>
      </c>
      <c r="E150" s="134">
        <v>26</v>
      </c>
      <c r="F150" s="134">
        <v>80</v>
      </c>
      <c r="G150" s="134">
        <v>17</v>
      </c>
      <c r="H150" s="131" t="s">
        <v>12</v>
      </c>
      <c r="I150" s="132">
        <v>1</v>
      </c>
      <c r="J150" s="132"/>
      <c r="K150" s="133"/>
      <c r="L150" s="133"/>
      <c r="M150" s="133"/>
      <c r="N150" s="130"/>
      <c r="O150" s="130"/>
      <c r="P150" s="138">
        <v>1</v>
      </c>
      <c r="Q150" s="134" t="s">
        <v>3326</v>
      </c>
    </row>
    <row r="151" spans="1:17" ht="21" x14ac:dyDescent="0.55000000000000004">
      <c r="B151" s="126">
        <v>154</v>
      </c>
      <c r="C151" s="127" t="s">
        <v>219</v>
      </c>
      <c r="D151" s="134" t="s">
        <v>853</v>
      </c>
      <c r="E151" s="134">
        <v>26</v>
      </c>
      <c r="F151" s="134">
        <v>65</v>
      </c>
      <c r="G151" s="134">
        <v>14</v>
      </c>
      <c r="H151" s="131" t="s">
        <v>12</v>
      </c>
      <c r="I151" s="132">
        <v>1</v>
      </c>
      <c r="J151" s="132"/>
      <c r="K151" s="133"/>
      <c r="L151" s="133"/>
      <c r="M151" s="133"/>
      <c r="N151" s="130"/>
      <c r="O151" s="130"/>
      <c r="P151" s="138">
        <v>1</v>
      </c>
      <c r="Q151" s="134" t="s">
        <v>51</v>
      </c>
    </row>
    <row r="152" spans="1:17" ht="21" x14ac:dyDescent="0.55000000000000004">
      <c r="B152" s="126">
        <v>155</v>
      </c>
      <c r="C152" s="131" t="s">
        <v>852</v>
      </c>
      <c r="D152" s="134" t="s">
        <v>851</v>
      </c>
      <c r="E152" s="134">
        <v>26</v>
      </c>
      <c r="F152" s="134">
        <v>52</v>
      </c>
      <c r="G152" s="134">
        <v>5</v>
      </c>
      <c r="H152" s="131" t="s">
        <v>12</v>
      </c>
      <c r="I152" s="132">
        <v>1</v>
      </c>
      <c r="J152" s="132"/>
      <c r="K152" s="133"/>
      <c r="L152" s="133"/>
      <c r="M152" s="133"/>
      <c r="N152" s="130"/>
      <c r="O152" s="130"/>
      <c r="P152" s="138">
        <v>1</v>
      </c>
      <c r="Q152" s="134" t="s">
        <v>52</v>
      </c>
    </row>
    <row r="153" spans="1:17" ht="21" x14ac:dyDescent="0.55000000000000004">
      <c r="B153" s="126">
        <v>156</v>
      </c>
      <c r="C153" s="131" t="s">
        <v>850</v>
      </c>
      <c r="D153" s="134" t="s">
        <v>849</v>
      </c>
      <c r="E153" s="134">
        <v>26</v>
      </c>
      <c r="F153" s="134">
        <v>78</v>
      </c>
      <c r="G153" s="134">
        <v>1</v>
      </c>
      <c r="H153" s="131" t="s">
        <v>12</v>
      </c>
      <c r="I153" s="132">
        <v>1</v>
      </c>
      <c r="J153" s="132"/>
      <c r="K153" s="133"/>
      <c r="L153" s="133"/>
      <c r="M153" s="133"/>
      <c r="N153" s="130"/>
      <c r="O153" s="130"/>
      <c r="P153" s="138">
        <v>1</v>
      </c>
      <c r="Q153" s="140" t="s">
        <v>52</v>
      </c>
    </row>
    <row r="154" spans="1:17" ht="21" x14ac:dyDescent="0.55000000000000004">
      <c r="B154" s="126">
        <v>157</v>
      </c>
      <c r="C154" s="127" t="s">
        <v>128</v>
      </c>
      <c r="D154" s="134" t="s">
        <v>848</v>
      </c>
      <c r="E154" s="134">
        <v>26</v>
      </c>
      <c r="F154" s="134">
        <v>77</v>
      </c>
      <c r="G154" s="134">
        <v>7</v>
      </c>
      <c r="H154" s="131" t="s">
        <v>12</v>
      </c>
      <c r="I154" s="132">
        <v>1</v>
      </c>
      <c r="J154" s="132"/>
      <c r="K154" s="133"/>
      <c r="L154" s="133"/>
      <c r="M154" s="133"/>
      <c r="N154" s="130"/>
      <c r="O154" s="130"/>
      <c r="P154" s="138">
        <v>1</v>
      </c>
      <c r="Q154" s="134" t="s">
        <v>52</v>
      </c>
    </row>
    <row r="155" spans="1:17" ht="21" x14ac:dyDescent="0.55000000000000004">
      <c r="B155" s="126">
        <v>158</v>
      </c>
      <c r="C155" s="131" t="s">
        <v>847</v>
      </c>
      <c r="D155" s="134" t="s">
        <v>846</v>
      </c>
      <c r="E155" s="134">
        <v>26</v>
      </c>
      <c r="F155" s="134">
        <v>5</v>
      </c>
      <c r="G155" s="134">
        <v>44</v>
      </c>
      <c r="H155" s="131" t="s">
        <v>12</v>
      </c>
      <c r="I155" s="132">
        <v>1</v>
      </c>
      <c r="J155" s="132"/>
      <c r="K155" s="133"/>
      <c r="L155" s="133"/>
      <c r="M155" s="133"/>
      <c r="N155" s="130"/>
      <c r="O155" s="130"/>
      <c r="P155" s="138">
        <v>1</v>
      </c>
      <c r="Q155" s="134" t="s">
        <v>52</v>
      </c>
    </row>
    <row r="156" spans="1:17" ht="21" x14ac:dyDescent="0.55000000000000004">
      <c r="B156" s="126">
        <v>159</v>
      </c>
      <c r="C156" s="131" t="s">
        <v>845</v>
      </c>
      <c r="D156" s="134" t="s">
        <v>844</v>
      </c>
      <c r="E156" s="134">
        <v>26</v>
      </c>
      <c r="F156" s="134">
        <v>62</v>
      </c>
      <c r="G156" s="134">
        <v>38</v>
      </c>
      <c r="H156" s="131" t="s">
        <v>12</v>
      </c>
      <c r="I156" s="132">
        <v>1</v>
      </c>
      <c r="J156" s="132"/>
      <c r="K156" s="133"/>
      <c r="L156" s="133"/>
      <c r="M156" s="133"/>
      <c r="N156" s="130"/>
      <c r="O156" s="130"/>
      <c r="P156" s="138">
        <v>1</v>
      </c>
      <c r="Q156" s="134" t="s">
        <v>52</v>
      </c>
    </row>
    <row r="157" spans="1:17" ht="21" x14ac:dyDescent="0.55000000000000004">
      <c r="B157" s="126">
        <v>160</v>
      </c>
      <c r="C157" s="127" t="s">
        <v>217</v>
      </c>
      <c r="D157" s="134" t="s">
        <v>375</v>
      </c>
      <c r="E157" s="134">
        <v>26</v>
      </c>
      <c r="F157" s="134">
        <v>45</v>
      </c>
      <c r="G157" s="134">
        <v>15</v>
      </c>
      <c r="H157" s="131" t="s">
        <v>12</v>
      </c>
      <c r="I157" s="132">
        <v>1</v>
      </c>
      <c r="J157" s="132"/>
      <c r="K157" s="133"/>
      <c r="L157" s="133"/>
      <c r="M157" s="133"/>
      <c r="N157" s="130"/>
      <c r="O157" s="130"/>
      <c r="P157" s="138">
        <v>1</v>
      </c>
      <c r="Q157" s="134" t="s">
        <v>52</v>
      </c>
    </row>
    <row r="158" spans="1:17" ht="21" x14ac:dyDescent="0.55000000000000004">
      <c r="B158" s="126">
        <v>161</v>
      </c>
      <c r="C158" s="131" t="s">
        <v>843</v>
      </c>
      <c r="D158" s="134" t="s">
        <v>842</v>
      </c>
      <c r="E158" s="134">
        <v>26</v>
      </c>
      <c r="F158" s="134">
        <v>70</v>
      </c>
      <c r="G158" s="134">
        <v>5</v>
      </c>
      <c r="H158" s="131" t="s">
        <v>12</v>
      </c>
      <c r="I158" s="132">
        <v>1</v>
      </c>
      <c r="J158" s="132"/>
      <c r="K158" s="133"/>
      <c r="L158" s="133"/>
      <c r="M158" s="133"/>
      <c r="N158" s="130"/>
      <c r="O158" s="130"/>
      <c r="P158" s="138">
        <v>1</v>
      </c>
      <c r="Q158" s="134" t="s">
        <v>52</v>
      </c>
    </row>
    <row r="159" spans="1:17" ht="21" x14ac:dyDescent="0.55000000000000004">
      <c r="B159" s="126">
        <v>162</v>
      </c>
      <c r="C159" s="131" t="s">
        <v>731</v>
      </c>
      <c r="D159" s="134" t="s">
        <v>167</v>
      </c>
      <c r="E159" s="134">
        <v>26</v>
      </c>
      <c r="F159" s="134">
        <v>85</v>
      </c>
      <c r="G159" s="134">
        <v>28</v>
      </c>
      <c r="H159" s="131" t="s">
        <v>12</v>
      </c>
      <c r="I159" s="132">
        <v>1</v>
      </c>
      <c r="J159" s="132"/>
      <c r="K159" s="133"/>
      <c r="L159" s="133"/>
      <c r="M159" s="133"/>
      <c r="N159" s="130"/>
      <c r="O159" s="130"/>
      <c r="P159" s="138">
        <v>1</v>
      </c>
      <c r="Q159" s="134" t="s">
        <v>52</v>
      </c>
    </row>
    <row r="160" spans="1:17" ht="21" x14ac:dyDescent="0.55000000000000004">
      <c r="B160" s="126">
        <v>163</v>
      </c>
      <c r="C160" s="127" t="s">
        <v>622</v>
      </c>
      <c r="D160" s="134" t="s">
        <v>841</v>
      </c>
      <c r="E160" s="134">
        <v>26</v>
      </c>
      <c r="F160" s="134">
        <v>12</v>
      </c>
      <c r="G160" s="134">
        <v>23</v>
      </c>
      <c r="H160" s="131" t="s">
        <v>12</v>
      </c>
      <c r="I160" s="132">
        <v>1</v>
      </c>
      <c r="J160" s="132"/>
      <c r="K160" s="133"/>
      <c r="L160" s="133"/>
      <c r="M160" s="133"/>
      <c r="N160" s="130"/>
      <c r="O160" s="130"/>
      <c r="P160" s="138">
        <v>1</v>
      </c>
      <c r="Q160" s="134" t="s">
        <v>52</v>
      </c>
    </row>
    <row r="161" spans="2:17" ht="21" x14ac:dyDescent="0.55000000000000004">
      <c r="B161" s="126">
        <v>164</v>
      </c>
      <c r="C161" s="131" t="s">
        <v>166</v>
      </c>
      <c r="D161" s="134" t="s">
        <v>840</v>
      </c>
      <c r="E161" s="134">
        <v>26</v>
      </c>
      <c r="F161" s="134">
        <v>15</v>
      </c>
      <c r="G161" s="134">
        <v>18</v>
      </c>
      <c r="H161" s="131" t="s">
        <v>12</v>
      </c>
      <c r="I161" s="132">
        <v>1</v>
      </c>
      <c r="J161" s="132"/>
      <c r="K161" s="133"/>
      <c r="L161" s="133"/>
      <c r="M161" s="133"/>
      <c r="N161" s="130"/>
      <c r="O161" s="130"/>
      <c r="P161" s="138">
        <v>1</v>
      </c>
      <c r="Q161" s="134" t="s">
        <v>52</v>
      </c>
    </row>
    <row r="162" spans="2:17" ht="21" x14ac:dyDescent="0.55000000000000004">
      <c r="B162" s="126">
        <v>165</v>
      </c>
      <c r="C162" s="131" t="s">
        <v>131</v>
      </c>
      <c r="D162" s="134" t="s">
        <v>839</v>
      </c>
      <c r="E162" s="134">
        <v>26</v>
      </c>
      <c r="F162" s="134">
        <v>68</v>
      </c>
      <c r="G162" s="134">
        <v>17</v>
      </c>
      <c r="H162" s="131" t="s">
        <v>12</v>
      </c>
      <c r="I162" s="132">
        <v>1</v>
      </c>
      <c r="J162" s="132"/>
      <c r="K162" s="133"/>
      <c r="L162" s="133"/>
      <c r="M162" s="133"/>
      <c r="N162" s="130"/>
      <c r="O162" s="130"/>
      <c r="P162" s="138">
        <v>1</v>
      </c>
      <c r="Q162" s="134" t="s">
        <v>52</v>
      </c>
    </row>
    <row r="163" spans="2:17" ht="21" x14ac:dyDescent="0.55000000000000004">
      <c r="B163" s="126">
        <v>166</v>
      </c>
      <c r="C163" s="127" t="s">
        <v>201</v>
      </c>
      <c r="D163" s="134" t="s">
        <v>838</v>
      </c>
      <c r="E163" s="134">
        <v>26</v>
      </c>
      <c r="F163" s="134">
        <v>35</v>
      </c>
      <c r="G163" s="134">
        <v>21</v>
      </c>
      <c r="H163" s="131" t="s">
        <v>12</v>
      </c>
      <c r="I163" s="132">
        <v>1</v>
      </c>
      <c r="J163" s="132"/>
      <c r="K163" s="133"/>
      <c r="L163" s="133"/>
      <c r="M163" s="133"/>
      <c r="N163" s="130"/>
      <c r="O163" s="130"/>
      <c r="P163" s="138">
        <v>1</v>
      </c>
      <c r="Q163" s="134" t="s">
        <v>52</v>
      </c>
    </row>
    <row r="164" spans="2:17" ht="21" x14ac:dyDescent="0.55000000000000004">
      <c r="B164" s="126">
        <v>167</v>
      </c>
      <c r="C164" s="131" t="s">
        <v>123</v>
      </c>
      <c r="D164" s="140" t="s">
        <v>837</v>
      </c>
      <c r="E164" s="140">
        <v>26</v>
      </c>
      <c r="F164" s="140">
        <v>21</v>
      </c>
      <c r="G164" s="140">
        <v>20</v>
      </c>
      <c r="H164" s="131" t="s">
        <v>12</v>
      </c>
      <c r="I164" s="132">
        <v>1</v>
      </c>
      <c r="J164" s="132"/>
      <c r="K164" s="133"/>
      <c r="L164" s="133"/>
      <c r="M164" s="133"/>
      <c r="N164" s="130"/>
      <c r="O164" s="130"/>
      <c r="P164" s="138">
        <v>1</v>
      </c>
      <c r="Q164" s="134" t="s">
        <v>52</v>
      </c>
    </row>
    <row r="165" spans="2:17" ht="21" x14ac:dyDescent="0.55000000000000004">
      <c r="B165" s="126">
        <v>168</v>
      </c>
      <c r="C165" s="131" t="s">
        <v>132</v>
      </c>
      <c r="D165" s="134" t="s">
        <v>836</v>
      </c>
      <c r="E165" s="134">
        <v>26</v>
      </c>
      <c r="F165" s="134">
        <v>7</v>
      </c>
      <c r="G165" s="134">
        <v>18</v>
      </c>
      <c r="H165" s="131" t="s">
        <v>12</v>
      </c>
      <c r="I165" s="132">
        <v>1</v>
      </c>
      <c r="J165" s="132"/>
      <c r="K165" s="133"/>
      <c r="L165" s="133"/>
      <c r="M165" s="133"/>
      <c r="N165" s="130"/>
      <c r="O165" s="130"/>
      <c r="P165" s="138">
        <v>1</v>
      </c>
      <c r="Q165" s="134" t="s">
        <v>52</v>
      </c>
    </row>
    <row r="166" spans="2:17" ht="21" x14ac:dyDescent="0.55000000000000004">
      <c r="B166" s="126">
        <v>169</v>
      </c>
      <c r="C166" s="127" t="s">
        <v>247</v>
      </c>
      <c r="D166" s="134" t="s">
        <v>835</v>
      </c>
      <c r="E166" s="134">
        <v>26</v>
      </c>
      <c r="F166" s="134">
        <v>81</v>
      </c>
      <c r="G166" s="134">
        <v>17</v>
      </c>
      <c r="H166" s="131" t="s">
        <v>12</v>
      </c>
      <c r="I166" s="132">
        <v>1</v>
      </c>
      <c r="J166" s="132"/>
      <c r="K166" s="133"/>
      <c r="L166" s="133"/>
      <c r="M166" s="133"/>
      <c r="N166" s="130"/>
      <c r="O166" s="130"/>
      <c r="P166" s="138">
        <v>1</v>
      </c>
      <c r="Q166" s="134" t="s">
        <v>52</v>
      </c>
    </row>
    <row r="167" spans="2:17" ht="21" x14ac:dyDescent="0.55000000000000004">
      <c r="B167" s="126">
        <v>170</v>
      </c>
      <c r="C167" s="131" t="s">
        <v>834</v>
      </c>
      <c r="D167" s="134" t="s">
        <v>833</v>
      </c>
      <c r="E167" s="134">
        <v>26</v>
      </c>
      <c r="F167" s="134">
        <v>2</v>
      </c>
      <c r="G167" s="134">
        <v>20</v>
      </c>
      <c r="H167" s="131" t="s">
        <v>12</v>
      </c>
      <c r="I167" s="132">
        <v>1</v>
      </c>
      <c r="J167" s="132"/>
      <c r="K167" s="133"/>
      <c r="L167" s="133"/>
      <c r="M167" s="133"/>
      <c r="N167" s="130"/>
      <c r="O167" s="130"/>
      <c r="P167" s="138">
        <v>1</v>
      </c>
      <c r="Q167" s="134" t="s">
        <v>52</v>
      </c>
    </row>
    <row r="168" spans="2:17" ht="21" x14ac:dyDescent="0.55000000000000004">
      <c r="B168" s="126">
        <v>171</v>
      </c>
      <c r="C168" s="131" t="s">
        <v>832</v>
      </c>
      <c r="D168" s="134" t="s">
        <v>831</v>
      </c>
      <c r="E168" s="134">
        <v>26</v>
      </c>
      <c r="F168" s="134">
        <v>84</v>
      </c>
      <c r="G168" s="134">
        <v>18</v>
      </c>
      <c r="H168" s="131" t="s">
        <v>12</v>
      </c>
      <c r="I168" s="132">
        <v>1</v>
      </c>
      <c r="J168" s="132"/>
      <c r="K168" s="133"/>
      <c r="L168" s="133"/>
      <c r="M168" s="133"/>
      <c r="N168" s="130"/>
      <c r="O168" s="130"/>
      <c r="P168" s="138">
        <v>1</v>
      </c>
      <c r="Q168" s="134" t="s">
        <v>52</v>
      </c>
    </row>
    <row r="169" spans="2:17" ht="21" x14ac:dyDescent="0.55000000000000004">
      <c r="B169" s="126">
        <v>172</v>
      </c>
      <c r="C169" s="127" t="s">
        <v>699</v>
      </c>
      <c r="D169" s="134" t="s">
        <v>295</v>
      </c>
      <c r="E169" s="134">
        <v>26</v>
      </c>
      <c r="F169" s="134">
        <v>59</v>
      </c>
      <c r="G169" s="134">
        <v>16</v>
      </c>
      <c r="H169" s="131" t="s">
        <v>12</v>
      </c>
      <c r="I169" s="132">
        <v>1</v>
      </c>
      <c r="J169" s="132"/>
      <c r="K169" s="133"/>
      <c r="L169" s="133"/>
      <c r="M169" s="133"/>
      <c r="N169" s="130"/>
      <c r="O169" s="130"/>
      <c r="P169" s="138">
        <v>1</v>
      </c>
      <c r="Q169" s="134" t="s">
        <v>53</v>
      </c>
    </row>
    <row r="170" spans="2:17" ht="21" x14ac:dyDescent="0.55000000000000004">
      <c r="B170" s="126">
        <v>173</v>
      </c>
      <c r="C170" s="131" t="s">
        <v>799</v>
      </c>
      <c r="D170" s="134" t="s">
        <v>830</v>
      </c>
      <c r="E170" s="134">
        <v>26</v>
      </c>
      <c r="F170" s="134">
        <v>67</v>
      </c>
      <c r="G170" s="134">
        <v>17</v>
      </c>
      <c r="H170" s="131" t="s">
        <v>12</v>
      </c>
      <c r="I170" s="132">
        <v>1</v>
      </c>
      <c r="J170" s="132"/>
      <c r="K170" s="133"/>
      <c r="L170" s="133"/>
      <c r="M170" s="133"/>
      <c r="N170" s="130"/>
      <c r="O170" s="130"/>
      <c r="P170" s="138">
        <v>1</v>
      </c>
      <c r="Q170" s="134" t="s">
        <v>54</v>
      </c>
    </row>
    <row r="171" spans="2:17" ht="21" x14ac:dyDescent="0.55000000000000004">
      <c r="B171" s="126">
        <v>174</v>
      </c>
      <c r="C171" s="131" t="s">
        <v>586</v>
      </c>
      <c r="D171" s="134" t="s">
        <v>829</v>
      </c>
      <c r="E171" s="134">
        <v>26</v>
      </c>
      <c r="F171" s="134">
        <v>78</v>
      </c>
      <c r="G171" s="134">
        <v>12</v>
      </c>
      <c r="H171" s="131" t="s">
        <v>12</v>
      </c>
      <c r="I171" s="132">
        <v>1</v>
      </c>
      <c r="J171" s="132"/>
      <c r="K171" s="133"/>
      <c r="L171" s="133"/>
      <c r="M171" s="133"/>
      <c r="N171" s="130"/>
      <c r="O171" s="130"/>
      <c r="P171" s="138">
        <v>1</v>
      </c>
      <c r="Q171" s="134" t="s">
        <v>55</v>
      </c>
    </row>
    <row r="172" spans="2:17" ht="21" x14ac:dyDescent="0.55000000000000004">
      <c r="B172" s="126">
        <v>175</v>
      </c>
      <c r="C172" s="127" t="s">
        <v>828</v>
      </c>
      <c r="D172" s="134" t="s">
        <v>827</v>
      </c>
      <c r="E172" s="134">
        <v>26</v>
      </c>
      <c r="F172" s="134">
        <v>38</v>
      </c>
      <c r="G172" s="134">
        <v>21</v>
      </c>
      <c r="H172" s="131" t="s">
        <v>12</v>
      </c>
      <c r="I172" s="132">
        <v>1</v>
      </c>
      <c r="J172" s="132"/>
      <c r="K172" s="133"/>
      <c r="L172" s="133"/>
      <c r="M172" s="133"/>
      <c r="N172" s="130"/>
      <c r="O172" s="130"/>
      <c r="P172" s="138">
        <v>1</v>
      </c>
      <c r="Q172" s="134" t="s">
        <v>55</v>
      </c>
    </row>
    <row r="173" spans="2:17" ht="21" x14ac:dyDescent="0.55000000000000004">
      <c r="B173" s="126">
        <v>176</v>
      </c>
      <c r="C173" s="131" t="s">
        <v>258</v>
      </c>
      <c r="D173" s="134" t="s">
        <v>826</v>
      </c>
      <c r="E173" s="134">
        <v>26</v>
      </c>
      <c r="F173" s="134">
        <v>7</v>
      </c>
      <c r="G173" s="134">
        <v>24</v>
      </c>
      <c r="H173" s="131" t="s">
        <v>12</v>
      </c>
      <c r="I173" s="132">
        <v>1</v>
      </c>
      <c r="J173" s="132"/>
      <c r="K173" s="133"/>
      <c r="L173" s="133"/>
      <c r="M173" s="133"/>
      <c r="N173" s="130"/>
      <c r="O173" s="130"/>
      <c r="P173" s="138">
        <v>1</v>
      </c>
      <c r="Q173" s="134" t="s">
        <v>55</v>
      </c>
    </row>
    <row r="174" spans="2:17" ht="21" x14ac:dyDescent="0.55000000000000004">
      <c r="B174" s="126">
        <v>177</v>
      </c>
      <c r="C174" s="131" t="s">
        <v>825</v>
      </c>
      <c r="D174" s="134" t="s">
        <v>745</v>
      </c>
      <c r="E174" s="134">
        <v>26</v>
      </c>
      <c r="F174" s="134">
        <v>59</v>
      </c>
      <c r="G174" s="134">
        <v>14</v>
      </c>
      <c r="H174" s="131" t="s">
        <v>12</v>
      </c>
      <c r="I174" s="132">
        <v>1</v>
      </c>
      <c r="J174" s="132"/>
      <c r="K174" s="133"/>
      <c r="L174" s="133"/>
      <c r="M174" s="133"/>
      <c r="N174" s="130"/>
      <c r="O174" s="130"/>
      <c r="P174" s="138">
        <v>1</v>
      </c>
      <c r="Q174" s="134" t="s">
        <v>55</v>
      </c>
    </row>
    <row r="175" spans="2:17" ht="21" x14ac:dyDescent="0.55000000000000004">
      <c r="B175" s="126">
        <v>178</v>
      </c>
      <c r="C175" s="127" t="s">
        <v>234</v>
      </c>
      <c r="D175" s="134" t="s">
        <v>824</v>
      </c>
      <c r="E175" s="134">
        <v>26</v>
      </c>
      <c r="F175" s="134">
        <v>8</v>
      </c>
      <c r="G175" s="134">
        <v>18</v>
      </c>
      <c r="H175" s="131" t="s">
        <v>12</v>
      </c>
      <c r="I175" s="132">
        <v>1</v>
      </c>
      <c r="J175" s="132"/>
      <c r="K175" s="133"/>
      <c r="L175" s="133"/>
      <c r="M175" s="133"/>
      <c r="N175" s="130"/>
      <c r="O175" s="130"/>
      <c r="P175" s="138">
        <v>1</v>
      </c>
      <c r="Q175" s="134" t="s">
        <v>55</v>
      </c>
    </row>
    <row r="176" spans="2:17" ht="21" x14ac:dyDescent="0.55000000000000004">
      <c r="B176" s="126">
        <v>179</v>
      </c>
      <c r="C176" s="131" t="s">
        <v>823</v>
      </c>
      <c r="D176" s="134" t="s">
        <v>822</v>
      </c>
      <c r="E176" s="134">
        <v>26</v>
      </c>
      <c r="F176" s="134">
        <v>19</v>
      </c>
      <c r="G176" s="134">
        <v>23</v>
      </c>
      <c r="H176" s="131" t="s">
        <v>12</v>
      </c>
      <c r="I176" s="132">
        <v>1</v>
      </c>
      <c r="J176" s="132"/>
      <c r="K176" s="133"/>
      <c r="L176" s="133"/>
      <c r="M176" s="133"/>
      <c r="N176" s="130"/>
      <c r="O176" s="130"/>
      <c r="P176" s="138">
        <v>1</v>
      </c>
      <c r="Q176" s="134" t="s">
        <v>55</v>
      </c>
    </row>
    <row r="177" spans="2:17" ht="21" x14ac:dyDescent="0.55000000000000004">
      <c r="B177" s="126">
        <v>180</v>
      </c>
      <c r="C177" s="131" t="s">
        <v>821</v>
      </c>
      <c r="D177" s="134" t="s">
        <v>511</v>
      </c>
      <c r="E177" s="134">
        <v>26</v>
      </c>
      <c r="F177" s="134">
        <v>8</v>
      </c>
      <c r="G177" s="134">
        <v>24</v>
      </c>
      <c r="H177" s="131" t="s">
        <v>12</v>
      </c>
      <c r="I177" s="132">
        <v>1</v>
      </c>
      <c r="J177" s="132"/>
      <c r="K177" s="133"/>
      <c r="L177" s="133"/>
      <c r="M177" s="133"/>
      <c r="N177" s="130"/>
      <c r="O177" s="130"/>
      <c r="P177" s="138">
        <v>1</v>
      </c>
      <c r="Q177" s="134" t="s">
        <v>55</v>
      </c>
    </row>
    <row r="178" spans="2:17" ht="21" x14ac:dyDescent="0.55000000000000004">
      <c r="B178" s="126">
        <v>181</v>
      </c>
      <c r="C178" s="127" t="s">
        <v>131</v>
      </c>
      <c r="D178" s="134" t="s">
        <v>820</v>
      </c>
      <c r="E178" s="134">
        <v>26</v>
      </c>
      <c r="F178" s="134">
        <v>3</v>
      </c>
      <c r="G178" s="134">
        <v>23</v>
      </c>
      <c r="H178" s="131" t="s">
        <v>12</v>
      </c>
      <c r="I178" s="132">
        <v>1</v>
      </c>
      <c r="J178" s="132"/>
      <c r="K178" s="133"/>
      <c r="L178" s="133"/>
      <c r="M178" s="133"/>
      <c r="N178" s="130"/>
      <c r="O178" s="130"/>
      <c r="P178" s="138">
        <v>1</v>
      </c>
      <c r="Q178" s="134" t="s">
        <v>55</v>
      </c>
    </row>
    <row r="179" spans="2:17" ht="21" x14ac:dyDescent="0.55000000000000004">
      <c r="B179" s="126">
        <v>182</v>
      </c>
      <c r="C179" s="131" t="s">
        <v>135</v>
      </c>
      <c r="D179" s="134" t="s">
        <v>819</v>
      </c>
      <c r="E179" s="134">
        <v>26</v>
      </c>
      <c r="F179" s="134">
        <v>64</v>
      </c>
      <c r="G179" s="134">
        <v>17</v>
      </c>
      <c r="H179" s="131" t="s">
        <v>12</v>
      </c>
      <c r="I179" s="132">
        <v>1</v>
      </c>
      <c r="J179" s="132"/>
      <c r="K179" s="133"/>
      <c r="L179" s="133"/>
      <c r="M179" s="133"/>
      <c r="N179" s="130"/>
      <c r="O179" s="130"/>
      <c r="P179" s="138">
        <v>1</v>
      </c>
      <c r="Q179" s="134" t="s">
        <v>55</v>
      </c>
    </row>
    <row r="180" spans="2:17" ht="21" x14ac:dyDescent="0.55000000000000004">
      <c r="B180" s="126">
        <v>183</v>
      </c>
      <c r="C180" s="131" t="s">
        <v>128</v>
      </c>
      <c r="D180" s="134" t="s">
        <v>818</v>
      </c>
      <c r="E180" s="134">
        <v>26</v>
      </c>
      <c r="F180" s="134">
        <v>69</v>
      </c>
      <c r="G180" s="134">
        <v>17</v>
      </c>
      <c r="H180" s="131" t="s">
        <v>12</v>
      </c>
      <c r="I180" s="132">
        <v>1</v>
      </c>
      <c r="J180" s="128"/>
      <c r="K180" s="129"/>
      <c r="L180" s="129"/>
      <c r="M180" s="129"/>
      <c r="N180" s="138"/>
      <c r="O180" s="138"/>
      <c r="P180" s="138">
        <v>1</v>
      </c>
      <c r="Q180" s="134" t="s">
        <v>55</v>
      </c>
    </row>
    <row r="181" spans="2:17" ht="21" x14ac:dyDescent="0.55000000000000004">
      <c r="B181" s="126">
        <v>184</v>
      </c>
      <c r="C181" s="127" t="s">
        <v>135</v>
      </c>
      <c r="D181" s="134" t="s">
        <v>817</v>
      </c>
      <c r="E181" s="134">
        <v>26</v>
      </c>
      <c r="F181" s="134">
        <v>44</v>
      </c>
      <c r="G181" s="134">
        <v>37</v>
      </c>
      <c r="H181" s="131" t="s">
        <v>12</v>
      </c>
      <c r="I181" s="132">
        <v>1</v>
      </c>
      <c r="J181" s="128"/>
      <c r="K181" s="129"/>
      <c r="L181" s="129"/>
      <c r="M181" s="129"/>
      <c r="N181" s="138"/>
      <c r="O181" s="138"/>
      <c r="P181" s="138">
        <v>1</v>
      </c>
      <c r="Q181" s="134" t="s">
        <v>55</v>
      </c>
    </row>
    <row r="182" spans="2:17" ht="21" x14ac:dyDescent="0.55000000000000004">
      <c r="B182" s="126">
        <v>185</v>
      </c>
      <c r="C182" s="131" t="s">
        <v>138</v>
      </c>
      <c r="D182" s="134" t="s">
        <v>816</v>
      </c>
      <c r="E182" s="134">
        <v>26</v>
      </c>
      <c r="F182" s="134">
        <v>49</v>
      </c>
      <c r="G182" s="134">
        <v>51</v>
      </c>
      <c r="H182" s="131" t="s">
        <v>12</v>
      </c>
      <c r="I182" s="132">
        <v>1</v>
      </c>
      <c r="J182" s="128"/>
      <c r="K182" s="129"/>
      <c r="L182" s="129"/>
      <c r="M182" s="129"/>
      <c r="N182" s="138"/>
      <c r="O182" s="138"/>
      <c r="P182" s="138">
        <v>1</v>
      </c>
      <c r="Q182" s="134" t="s">
        <v>55</v>
      </c>
    </row>
    <row r="183" spans="2:17" ht="21" x14ac:dyDescent="0.55000000000000004">
      <c r="B183" s="126">
        <v>186</v>
      </c>
      <c r="C183" s="131" t="s">
        <v>734</v>
      </c>
      <c r="D183" s="134" t="s">
        <v>663</v>
      </c>
      <c r="E183" s="134">
        <v>26</v>
      </c>
      <c r="F183" s="134">
        <v>53</v>
      </c>
      <c r="G183" s="134">
        <v>15</v>
      </c>
      <c r="H183" s="131" t="s">
        <v>12</v>
      </c>
      <c r="I183" s="132">
        <v>1</v>
      </c>
      <c r="J183" s="128"/>
      <c r="K183" s="129"/>
      <c r="L183" s="129"/>
      <c r="M183" s="129"/>
      <c r="N183" s="138"/>
      <c r="O183" s="138"/>
      <c r="P183" s="138">
        <v>1</v>
      </c>
      <c r="Q183" s="134" t="s">
        <v>55</v>
      </c>
    </row>
    <row r="184" spans="2:17" ht="21" x14ac:dyDescent="0.55000000000000004">
      <c r="B184" s="126">
        <v>187</v>
      </c>
      <c r="C184" s="127" t="s">
        <v>164</v>
      </c>
      <c r="D184" s="134" t="s">
        <v>84</v>
      </c>
      <c r="E184" s="134">
        <v>26</v>
      </c>
      <c r="F184" s="134">
        <v>24</v>
      </c>
      <c r="G184" s="134">
        <v>17</v>
      </c>
      <c r="H184" s="131" t="s">
        <v>12</v>
      </c>
      <c r="I184" s="132">
        <v>1</v>
      </c>
      <c r="J184" s="128"/>
      <c r="K184" s="129"/>
      <c r="L184" s="129"/>
      <c r="M184" s="129"/>
      <c r="N184" s="138"/>
      <c r="O184" s="138"/>
      <c r="P184" s="138">
        <v>1</v>
      </c>
      <c r="Q184" s="134" t="s">
        <v>55</v>
      </c>
    </row>
    <row r="185" spans="2:17" ht="21" x14ac:dyDescent="0.55000000000000004">
      <c r="B185" s="126">
        <v>188</v>
      </c>
      <c r="C185" s="131" t="s">
        <v>131</v>
      </c>
      <c r="D185" s="134" t="s">
        <v>692</v>
      </c>
      <c r="E185" s="134">
        <v>26</v>
      </c>
      <c r="F185" s="134">
        <v>69</v>
      </c>
      <c r="G185" s="134">
        <v>538</v>
      </c>
      <c r="H185" s="131" t="s">
        <v>12</v>
      </c>
      <c r="I185" s="132">
        <v>1</v>
      </c>
      <c r="J185" s="128"/>
      <c r="K185" s="129"/>
      <c r="L185" s="129"/>
      <c r="M185" s="129"/>
      <c r="N185" s="138"/>
      <c r="O185" s="138"/>
      <c r="P185" s="138">
        <v>1</v>
      </c>
      <c r="Q185" s="134" t="s">
        <v>57</v>
      </c>
    </row>
    <row r="186" spans="2:17" ht="21" x14ac:dyDescent="0.55000000000000004">
      <c r="B186" s="126">
        <v>189</v>
      </c>
      <c r="C186" s="131" t="s">
        <v>815</v>
      </c>
      <c r="D186" s="134" t="s">
        <v>814</v>
      </c>
      <c r="E186" s="134">
        <v>26</v>
      </c>
      <c r="F186" s="134">
        <v>53</v>
      </c>
      <c r="G186" s="134">
        <v>15</v>
      </c>
      <c r="H186" s="131" t="s">
        <v>12</v>
      </c>
      <c r="I186" s="132">
        <v>1</v>
      </c>
      <c r="J186" s="128"/>
      <c r="K186" s="129"/>
      <c r="L186" s="129"/>
      <c r="M186" s="129"/>
      <c r="N186" s="138"/>
      <c r="O186" s="138"/>
      <c r="P186" s="138">
        <v>1</v>
      </c>
      <c r="Q186" s="134" t="s">
        <v>57</v>
      </c>
    </row>
    <row r="187" spans="2:17" ht="21" x14ac:dyDescent="0.55000000000000004">
      <c r="B187" s="126">
        <v>190</v>
      </c>
      <c r="C187" s="127" t="s">
        <v>157</v>
      </c>
      <c r="D187" s="134" t="s">
        <v>813</v>
      </c>
      <c r="E187" s="134">
        <v>26</v>
      </c>
      <c r="F187" s="134">
        <v>76</v>
      </c>
      <c r="G187" s="134">
        <v>16</v>
      </c>
      <c r="H187" s="131" t="s">
        <v>12</v>
      </c>
      <c r="I187" s="132">
        <v>1</v>
      </c>
      <c r="J187" s="128"/>
      <c r="K187" s="129"/>
      <c r="L187" s="129"/>
      <c r="M187" s="129"/>
      <c r="N187" s="138"/>
      <c r="O187" s="138"/>
      <c r="P187" s="138">
        <v>1</v>
      </c>
      <c r="Q187" s="134" t="s">
        <v>57</v>
      </c>
    </row>
    <row r="188" spans="2:17" ht="21" x14ac:dyDescent="0.55000000000000004">
      <c r="B188" s="126">
        <v>191</v>
      </c>
      <c r="C188" s="131" t="s">
        <v>812</v>
      </c>
      <c r="D188" s="140" t="s">
        <v>811</v>
      </c>
      <c r="E188" s="134">
        <v>26</v>
      </c>
      <c r="F188" s="134">
        <v>82</v>
      </c>
      <c r="G188" s="134">
        <v>17</v>
      </c>
      <c r="H188" s="131" t="s">
        <v>12</v>
      </c>
      <c r="I188" s="132">
        <v>1</v>
      </c>
      <c r="J188" s="128"/>
      <c r="K188" s="129"/>
      <c r="L188" s="129"/>
      <c r="M188" s="129"/>
      <c r="N188" s="138"/>
      <c r="O188" s="138"/>
      <c r="P188" s="138">
        <v>1</v>
      </c>
      <c r="Q188" s="134" t="s">
        <v>54</v>
      </c>
    </row>
    <row r="189" spans="2:17" ht="21" x14ac:dyDescent="0.55000000000000004">
      <c r="B189" s="126">
        <v>192</v>
      </c>
      <c r="C189" s="131" t="s">
        <v>177</v>
      </c>
      <c r="D189" s="134" t="s">
        <v>810</v>
      </c>
      <c r="E189" s="134">
        <v>26</v>
      </c>
      <c r="F189" s="134">
        <v>75</v>
      </c>
      <c r="G189" s="134">
        <v>31</v>
      </c>
      <c r="H189" s="131" t="s">
        <v>12</v>
      </c>
      <c r="I189" s="132">
        <v>1</v>
      </c>
      <c r="J189" s="128"/>
      <c r="K189" s="129"/>
      <c r="L189" s="129"/>
      <c r="M189" s="129"/>
      <c r="N189" s="138"/>
      <c r="O189" s="138"/>
      <c r="P189" s="138">
        <v>1</v>
      </c>
      <c r="Q189" s="134" t="s">
        <v>55</v>
      </c>
    </row>
    <row r="190" spans="2:17" ht="21" x14ac:dyDescent="0.55000000000000004">
      <c r="B190" s="126">
        <v>193</v>
      </c>
      <c r="C190" s="127" t="s">
        <v>809</v>
      </c>
      <c r="D190" s="134" t="s">
        <v>808</v>
      </c>
      <c r="E190" s="134">
        <v>26</v>
      </c>
      <c r="F190" s="134">
        <v>51</v>
      </c>
      <c r="G190" s="134">
        <v>7</v>
      </c>
      <c r="H190" s="131" t="s">
        <v>12</v>
      </c>
      <c r="I190" s="132">
        <v>1</v>
      </c>
      <c r="J190" s="128"/>
      <c r="K190" s="129"/>
      <c r="L190" s="129"/>
      <c r="M190" s="129"/>
      <c r="N190" s="138"/>
      <c r="O190" s="138"/>
      <c r="P190" s="138">
        <v>1</v>
      </c>
      <c r="Q190" s="134" t="s">
        <v>55</v>
      </c>
    </row>
    <row r="191" spans="2:17" ht="21" x14ac:dyDescent="0.55000000000000004">
      <c r="B191" s="126">
        <v>194</v>
      </c>
      <c r="C191" s="131" t="s">
        <v>138</v>
      </c>
      <c r="D191" s="134" t="s">
        <v>807</v>
      </c>
      <c r="E191" s="134">
        <v>26</v>
      </c>
      <c r="F191" s="134">
        <v>85</v>
      </c>
      <c r="G191" s="134">
        <v>22</v>
      </c>
      <c r="H191" s="131" t="s">
        <v>12</v>
      </c>
      <c r="I191" s="132">
        <v>1</v>
      </c>
      <c r="J191" s="128"/>
      <c r="K191" s="129"/>
      <c r="L191" s="129"/>
      <c r="M191" s="129"/>
      <c r="N191" s="138"/>
      <c r="O191" s="138"/>
      <c r="P191" s="138">
        <v>1</v>
      </c>
      <c r="Q191" s="134" t="s">
        <v>55</v>
      </c>
    </row>
    <row r="192" spans="2:17" ht="21" x14ac:dyDescent="0.55000000000000004">
      <c r="B192" s="126">
        <v>195</v>
      </c>
      <c r="C192" s="131" t="s">
        <v>362</v>
      </c>
      <c r="D192" s="134" t="s">
        <v>806</v>
      </c>
      <c r="E192" s="134">
        <v>26</v>
      </c>
      <c r="F192" s="134">
        <v>83</v>
      </c>
      <c r="G192" s="134">
        <v>17</v>
      </c>
      <c r="H192" s="131" t="s">
        <v>12</v>
      </c>
      <c r="I192" s="132">
        <v>1</v>
      </c>
      <c r="J192" s="128"/>
      <c r="K192" s="129"/>
      <c r="L192" s="129"/>
      <c r="M192" s="129"/>
      <c r="N192" s="138"/>
      <c r="O192" s="138"/>
      <c r="P192" s="138">
        <v>1</v>
      </c>
      <c r="Q192" s="134" t="s">
        <v>55</v>
      </c>
    </row>
    <row r="193" spans="2:17" ht="21" x14ac:dyDescent="0.55000000000000004">
      <c r="B193" s="126">
        <v>196</v>
      </c>
      <c r="C193" s="127" t="s">
        <v>135</v>
      </c>
      <c r="D193" s="134" t="s">
        <v>805</v>
      </c>
      <c r="E193" s="134">
        <v>26</v>
      </c>
      <c r="F193" s="134">
        <v>74</v>
      </c>
      <c r="G193" s="134">
        <v>21</v>
      </c>
      <c r="H193" s="131" t="s">
        <v>12</v>
      </c>
      <c r="I193" s="132">
        <v>1</v>
      </c>
      <c r="J193" s="128"/>
      <c r="K193" s="129"/>
      <c r="L193" s="129"/>
      <c r="M193" s="129"/>
      <c r="N193" s="138"/>
      <c r="O193" s="138"/>
      <c r="P193" s="138">
        <v>1</v>
      </c>
      <c r="Q193" s="134" t="s">
        <v>55</v>
      </c>
    </row>
    <row r="194" spans="2:17" ht="21" x14ac:dyDescent="0.55000000000000004">
      <c r="B194" s="126">
        <v>197</v>
      </c>
      <c r="C194" s="131" t="s">
        <v>270</v>
      </c>
      <c r="D194" s="134" t="s">
        <v>463</v>
      </c>
      <c r="E194" s="134">
        <v>26</v>
      </c>
      <c r="F194" s="134">
        <v>82</v>
      </c>
      <c r="G194" s="134">
        <v>19</v>
      </c>
      <c r="H194" s="131" t="s">
        <v>12</v>
      </c>
      <c r="I194" s="132">
        <v>1</v>
      </c>
      <c r="J194" s="128"/>
      <c r="K194" s="129"/>
      <c r="L194" s="129"/>
      <c r="M194" s="129"/>
      <c r="N194" s="138"/>
      <c r="O194" s="138"/>
      <c r="P194" s="138">
        <v>1</v>
      </c>
      <c r="Q194" s="134" t="s">
        <v>55</v>
      </c>
    </row>
    <row r="195" spans="2:17" ht="21" x14ac:dyDescent="0.55000000000000004">
      <c r="B195" s="126">
        <v>198</v>
      </c>
      <c r="C195" s="131" t="s">
        <v>804</v>
      </c>
      <c r="D195" s="134" t="s">
        <v>803</v>
      </c>
      <c r="E195" s="134">
        <v>26</v>
      </c>
      <c r="F195" s="134">
        <v>78</v>
      </c>
      <c r="G195" s="134">
        <v>27</v>
      </c>
      <c r="H195" s="131" t="s">
        <v>12</v>
      </c>
      <c r="I195" s="132">
        <v>1</v>
      </c>
      <c r="J195" s="128"/>
      <c r="K195" s="129"/>
      <c r="L195" s="129"/>
      <c r="M195" s="129"/>
      <c r="N195" s="138"/>
      <c r="O195" s="138"/>
      <c r="P195" s="138">
        <v>1</v>
      </c>
      <c r="Q195" s="134" t="s">
        <v>55</v>
      </c>
    </row>
    <row r="196" spans="2:17" ht="21" x14ac:dyDescent="0.55000000000000004">
      <c r="B196" s="126">
        <v>199</v>
      </c>
      <c r="C196" s="127" t="s">
        <v>128</v>
      </c>
      <c r="D196" s="134" t="s">
        <v>802</v>
      </c>
      <c r="E196" s="134">
        <v>26</v>
      </c>
      <c r="F196" s="134">
        <v>62</v>
      </c>
      <c r="G196" s="134">
        <v>42</v>
      </c>
      <c r="H196" s="131" t="s">
        <v>12</v>
      </c>
      <c r="I196" s="132">
        <v>1</v>
      </c>
      <c r="J196" s="128"/>
      <c r="K196" s="129"/>
      <c r="L196" s="129"/>
      <c r="M196" s="129"/>
      <c r="N196" s="138"/>
      <c r="O196" s="138"/>
      <c r="P196" s="138">
        <v>1</v>
      </c>
      <c r="Q196" s="134" t="s">
        <v>55</v>
      </c>
    </row>
    <row r="197" spans="2:17" ht="21" x14ac:dyDescent="0.55000000000000004">
      <c r="B197" s="126">
        <v>200</v>
      </c>
      <c r="C197" s="131" t="s">
        <v>311</v>
      </c>
      <c r="D197" s="134" t="s">
        <v>801</v>
      </c>
      <c r="E197" s="134">
        <v>26</v>
      </c>
      <c r="F197" s="134">
        <v>86</v>
      </c>
      <c r="G197" s="134">
        <v>17</v>
      </c>
      <c r="H197" s="131" t="s">
        <v>12</v>
      </c>
      <c r="I197" s="132">
        <v>1</v>
      </c>
      <c r="J197" s="128"/>
      <c r="K197" s="129"/>
      <c r="L197" s="129"/>
      <c r="M197" s="129"/>
      <c r="N197" s="138"/>
      <c r="O197" s="138"/>
      <c r="P197" s="138">
        <v>1</v>
      </c>
      <c r="Q197" s="134" t="s">
        <v>55</v>
      </c>
    </row>
    <row r="198" spans="2:17" ht="21" x14ac:dyDescent="0.55000000000000004">
      <c r="B198" s="126">
        <v>201</v>
      </c>
      <c r="C198" s="131" t="s">
        <v>166</v>
      </c>
      <c r="D198" s="134" t="s">
        <v>800</v>
      </c>
      <c r="E198" s="134">
        <v>26</v>
      </c>
      <c r="F198" s="134">
        <v>76</v>
      </c>
      <c r="G198" s="134">
        <v>22</v>
      </c>
      <c r="H198" s="131" t="s">
        <v>12</v>
      </c>
      <c r="I198" s="132">
        <v>1</v>
      </c>
      <c r="J198" s="128"/>
      <c r="K198" s="129"/>
      <c r="L198" s="129"/>
      <c r="M198" s="129"/>
      <c r="N198" s="138"/>
      <c r="O198" s="138"/>
      <c r="P198" s="138">
        <v>1</v>
      </c>
      <c r="Q198" s="134" t="s">
        <v>55</v>
      </c>
    </row>
    <row r="199" spans="2:17" ht="21" x14ac:dyDescent="0.55000000000000004">
      <c r="B199" s="126">
        <v>202</v>
      </c>
      <c r="C199" s="127" t="s">
        <v>799</v>
      </c>
      <c r="D199" s="134" t="s">
        <v>798</v>
      </c>
      <c r="E199" s="134">
        <v>26</v>
      </c>
      <c r="F199" s="134">
        <v>75</v>
      </c>
      <c r="G199" s="134">
        <v>51</v>
      </c>
      <c r="H199" s="131" t="s">
        <v>12</v>
      </c>
      <c r="I199" s="132">
        <v>1</v>
      </c>
      <c r="J199" s="128"/>
      <c r="K199" s="129"/>
      <c r="L199" s="129"/>
      <c r="M199" s="129"/>
      <c r="N199" s="138"/>
      <c r="O199" s="138"/>
      <c r="P199" s="138">
        <v>1</v>
      </c>
      <c r="Q199" s="134" t="s">
        <v>55</v>
      </c>
    </row>
    <row r="200" spans="2:17" ht="21" x14ac:dyDescent="0.55000000000000004">
      <c r="B200" s="126">
        <v>203</v>
      </c>
      <c r="C200" s="131" t="s">
        <v>477</v>
      </c>
      <c r="D200" s="134" t="s">
        <v>797</v>
      </c>
      <c r="E200" s="134">
        <v>26</v>
      </c>
      <c r="F200" s="134">
        <v>5</v>
      </c>
      <c r="G200" s="134">
        <v>20</v>
      </c>
      <c r="H200" s="131" t="s">
        <v>12</v>
      </c>
      <c r="I200" s="132">
        <v>1</v>
      </c>
      <c r="J200" s="128"/>
      <c r="K200" s="129"/>
      <c r="L200" s="129"/>
      <c r="M200" s="129"/>
      <c r="N200" s="138"/>
      <c r="O200" s="138"/>
      <c r="P200" s="138">
        <v>1</v>
      </c>
      <c r="Q200" s="134" t="s">
        <v>55</v>
      </c>
    </row>
    <row r="201" spans="2:17" ht="21" x14ac:dyDescent="0.55000000000000004">
      <c r="B201" s="126">
        <v>204</v>
      </c>
      <c r="C201" s="131" t="s">
        <v>187</v>
      </c>
      <c r="D201" s="134" t="s">
        <v>788</v>
      </c>
      <c r="E201" s="134">
        <v>26</v>
      </c>
      <c r="F201" s="134">
        <v>84</v>
      </c>
      <c r="G201" s="134">
        <v>2</v>
      </c>
      <c r="H201" s="131" t="s">
        <v>12</v>
      </c>
      <c r="I201" s="132">
        <v>1</v>
      </c>
      <c r="J201" s="128"/>
      <c r="K201" s="129"/>
      <c r="L201" s="129"/>
      <c r="M201" s="129"/>
      <c r="N201" s="138"/>
      <c r="O201" s="138"/>
      <c r="P201" s="138">
        <v>1</v>
      </c>
      <c r="Q201" s="134" t="s">
        <v>55</v>
      </c>
    </row>
    <row r="202" spans="2:17" ht="21" x14ac:dyDescent="0.55000000000000004">
      <c r="B202" s="126">
        <v>205</v>
      </c>
      <c r="C202" s="127" t="s">
        <v>796</v>
      </c>
      <c r="D202" s="134" t="s">
        <v>795</v>
      </c>
      <c r="E202" s="134">
        <v>26</v>
      </c>
      <c r="F202" s="134">
        <v>79</v>
      </c>
      <c r="G202" s="134">
        <v>52</v>
      </c>
      <c r="H202" s="131" t="s">
        <v>12</v>
      </c>
      <c r="I202" s="132">
        <v>1</v>
      </c>
      <c r="J202" s="128"/>
      <c r="K202" s="129"/>
      <c r="L202" s="129"/>
      <c r="M202" s="129"/>
      <c r="N202" s="138"/>
      <c r="O202" s="138"/>
      <c r="P202" s="138">
        <v>1</v>
      </c>
      <c r="Q202" s="134" t="s">
        <v>58</v>
      </c>
    </row>
    <row r="203" spans="2:17" ht="21" x14ac:dyDescent="0.55000000000000004">
      <c r="B203" s="126">
        <v>206</v>
      </c>
      <c r="C203" s="131" t="s">
        <v>794</v>
      </c>
      <c r="D203" s="134" t="s">
        <v>793</v>
      </c>
      <c r="E203" s="134">
        <v>26</v>
      </c>
      <c r="F203" s="134">
        <v>87</v>
      </c>
      <c r="G203" s="134">
        <v>7</v>
      </c>
      <c r="H203" s="131" t="s">
        <v>12</v>
      </c>
      <c r="I203" s="132">
        <v>1</v>
      </c>
      <c r="J203" s="128"/>
      <c r="K203" s="129"/>
      <c r="L203" s="129"/>
      <c r="M203" s="129"/>
      <c r="N203" s="138"/>
      <c r="O203" s="138"/>
      <c r="P203" s="138">
        <v>1</v>
      </c>
      <c r="Q203" s="134" t="s">
        <v>59</v>
      </c>
    </row>
    <row r="204" spans="2:17" ht="21" x14ac:dyDescent="0.55000000000000004">
      <c r="B204" s="126">
        <v>207</v>
      </c>
      <c r="C204" s="131" t="s">
        <v>792</v>
      </c>
      <c r="D204" s="134" t="s">
        <v>791</v>
      </c>
      <c r="E204" s="134">
        <v>26</v>
      </c>
      <c r="F204" s="134">
        <v>84</v>
      </c>
      <c r="G204" s="134">
        <v>52</v>
      </c>
      <c r="H204" s="131" t="s">
        <v>12</v>
      </c>
      <c r="I204" s="132">
        <v>1</v>
      </c>
      <c r="J204" s="128"/>
      <c r="K204" s="129"/>
      <c r="L204" s="129"/>
      <c r="M204" s="129"/>
      <c r="N204" s="138"/>
      <c r="O204" s="138"/>
      <c r="P204" s="138">
        <v>1</v>
      </c>
      <c r="Q204" s="134" t="s">
        <v>59</v>
      </c>
    </row>
    <row r="205" spans="2:17" ht="21" x14ac:dyDescent="0.55000000000000004">
      <c r="B205" s="126">
        <v>208</v>
      </c>
      <c r="C205" s="127" t="s">
        <v>137</v>
      </c>
      <c r="D205" s="134" t="s">
        <v>790</v>
      </c>
      <c r="E205" s="134">
        <v>26</v>
      </c>
      <c r="F205" s="134">
        <v>85</v>
      </c>
      <c r="G205" s="134">
        <v>52</v>
      </c>
      <c r="H205" s="131" t="s">
        <v>12</v>
      </c>
      <c r="I205" s="132">
        <v>1</v>
      </c>
      <c r="J205" s="128"/>
      <c r="K205" s="129"/>
      <c r="L205" s="129"/>
      <c r="M205" s="129"/>
      <c r="N205" s="138"/>
      <c r="O205" s="138"/>
      <c r="P205" s="138">
        <v>1</v>
      </c>
      <c r="Q205" s="134" t="s">
        <v>59</v>
      </c>
    </row>
    <row r="206" spans="2:17" ht="21" x14ac:dyDescent="0.55000000000000004">
      <c r="B206" s="126">
        <v>209</v>
      </c>
      <c r="C206" s="131" t="s">
        <v>738</v>
      </c>
      <c r="D206" s="134" t="s">
        <v>789</v>
      </c>
      <c r="E206" s="134">
        <v>26</v>
      </c>
      <c r="F206" s="134">
        <v>86</v>
      </c>
      <c r="G206" s="134">
        <v>1</v>
      </c>
      <c r="H206" s="131" t="s">
        <v>12</v>
      </c>
      <c r="I206" s="132">
        <v>1</v>
      </c>
      <c r="J206" s="128"/>
      <c r="K206" s="129"/>
      <c r="L206" s="129"/>
      <c r="M206" s="129"/>
      <c r="N206" s="138"/>
      <c r="O206" s="138"/>
      <c r="P206" s="138">
        <v>1</v>
      </c>
      <c r="Q206" s="134" t="s">
        <v>59</v>
      </c>
    </row>
    <row r="207" spans="2:17" ht="21" x14ac:dyDescent="0.55000000000000004">
      <c r="B207" s="126">
        <v>210</v>
      </c>
      <c r="C207" s="131" t="s">
        <v>131</v>
      </c>
      <c r="D207" s="134" t="s">
        <v>788</v>
      </c>
      <c r="E207" s="134">
        <v>26</v>
      </c>
      <c r="F207" s="134">
        <v>84</v>
      </c>
      <c r="G207" s="134">
        <v>26</v>
      </c>
      <c r="H207" s="131" t="s">
        <v>12</v>
      </c>
      <c r="I207" s="132">
        <v>1</v>
      </c>
      <c r="J207" s="128"/>
      <c r="K207" s="129"/>
      <c r="L207" s="129"/>
      <c r="M207" s="129"/>
      <c r="N207" s="138"/>
      <c r="O207" s="138"/>
      <c r="P207" s="138">
        <v>1</v>
      </c>
      <c r="Q207" s="134" t="s">
        <v>59</v>
      </c>
    </row>
    <row r="208" spans="2:17" ht="21" x14ac:dyDescent="0.55000000000000004">
      <c r="B208" s="126">
        <v>211</v>
      </c>
      <c r="C208" s="127" t="s">
        <v>128</v>
      </c>
      <c r="D208" s="134" t="s">
        <v>787</v>
      </c>
      <c r="E208" s="134">
        <v>26</v>
      </c>
      <c r="F208" s="134">
        <v>94</v>
      </c>
      <c r="G208" s="134">
        <v>29</v>
      </c>
      <c r="H208" s="131" t="s">
        <v>12</v>
      </c>
      <c r="I208" s="132">
        <v>1</v>
      </c>
      <c r="J208" s="128"/>
      <c r="K208" s="129"/>
      <c r="L208" s="129"/>
      <c r="M208" s="129"/>
      <c r="N208" s="138"/>
      <c r="O208" s="138"/>
      <c r="P208" s="138">
        <v>1</v>
      </c>
      <c r="Q208" s="134" t="s">
        <v>59</v>
      </c>
    </row>
    <row r="209" spans="2:17" ht="21" x14ac:dyDescent="0.55000000000000004">
      <c r="B209" s="126">
        <v>212</v>
      </c>
      <c r="C209" s="131" t="s">
        <v>786</v>
      </c>
      <c r="D209" s="134" t="s">
        <v>785</v>
      </c>
      <c r="E209" s="134">
        <v>26</v>
      </c>
      <c r="F209" s="134">
        <v>86</v>
      </c>
      <c r="G209" s="134">
        <v>28</v>
      </c>
      <c r="H209" s="131" t="s">
        <v>12</v>
      </c>
      <c r="I209" s="132">
        <v>1</v>
      </c>
      <c r="J209" s="128"/>
      <c r="K209" s="129"/>
      <c r="L209" s="129"/>
      <c r="M209" s="129"/>
      <c r="N209" s="138"/>
      <c r="O209" s="138"/>
      <c r="P209" s="138">
        <v>1</v>
      </c>
      <c r="Q209" s="134" t="s">
        <v>59</v>
      </c>
    </row>
    <row r="210" spans="2:17" ht="21" x14ac:dyDescent="0.55000000000000004">
      <c r="B210" s="126">
        <v>213</v>
      </c>
      <c r="C210" s="131" t="s">
        <v>132</v>
      </c>
      <c r="D210" s="134" t="s">
        <v>784</v>
      </c>
      <c r="E210" s="134">
        <v>26</v>
      </c>
      <c r="F210" s="134">
        <v>34</v>
      </c>
      <c r="G210" s="134">
        <v>25</v>
      </c>
      <c r="H210" s="131" t="s">
        <v>12</v>
      </c>
      <c r="I210" s="132">
        <v>1</v>
      </c>
      <c r="J210" s="128"/>
      <c r="K210" s="129"/>
      <c r="L210" s="129"/>
      <c r="M210" s="129"/>
      <c r="N210" s="138"/>
      <c r="O210" s="138"/>
      <c r="P210" s="138">
        <v>1</v>
      </c>
      <c r="Q210" s="134" t="s">
        <v>60</v>
      </c>
    </row>
    <row r="211" spans="2:17" ht="21" x14ac:dyDescent="0.55000000000000004">
      <c r="B211" s="126">
        <v>214</v>
      </c>
      <c r="C211" s="127" t="s">
        <v>132</v>
      </c>
      <c r="D211" s="134" t="s">
        <v>783</v>
      </c>
      <c r="E211" s="134">
        <v>26</v>
      </c>
      <c r="F211" s="134">
        <v>86</v>
      </c>
      <c r="G211" s="134">
        <v>51</v>
      </c>
      <c r="H211" s="131" t="s">
        <v>12</v>
      </c>
      <c r="I211" s="132">
        <v>1</v>
      </c>
      <c r="J211" s="128"/>
      <c r="K211" s="129"/>
      <c r="L211" s="129"/>
      <c r="M211" s="129"/>
      <c r="N211" s="138"/>
      <c r="O211" s="138"/>
      <c r="P211" s="138">
        <v>1</v>
      </c>
      <c r="Q211" s="134" t="s">
        <v>60</v>
      </c>
    </row>
    <row r="212" spans="2:17" ht="21" x14ac:dyDescent="0.55000000000000004">
      <c r="B212" s="126">
        <v>215</v>
      </c>
      <c r="C212" s="131" t="s">
        <v>712</v>
      </c>
      <c r="D212" s="134" t="s">
        <v>542</v>
      </c>
      <c r="E212" s="134">
        <v>26</v>
      </c>
      <c r="F212" s="134">
        <v>95</v>
      </c>
      <c r="G212" s="134">
        <v>10</v>
      </c>
      <c r="H212" s="131" t="s">
        <v>12</v>
      </c>
      <c r="I212" s="132">
        <v>1</v>
      </c>
      <c r="J212" s="128"/>
      <c r="K212" s="129"/>
      <c r="L212" s="129"/>
      <c r="M212" s="129"/>
      <c r="N212" s="138"/>
      <c r="O212" s="138"/>
      <c r="P212" s="138">
        <v>1</v>
      </c>
      <c r="Q212" s="134" t="s">
        <v>60</v>
      </c>
    </row>
    <row r="213" spans="2:17" ht="21" x14ac:dyDescent="0.55000000000000004">
      <c r="B213" s="126">
        <v>216</v>
      </c>
      <c r="C213" s="131" t="s">
        <v>203</v>
      </c>
      <c r="D213" s="134" t="s">
        <v>782</v>
      </c>
      <c r="E213" s="134">
        <v>26</v>
      </c>
      <c r="F213" s="134">
        <v>82</v>
      </c>
      <c r="G213" s="134">
        <v>8</v>
      </c>
      <c r="H213" s="131" t="s">
        <v>12</v>
      </c>
      <c r="I213" s="132">
        <v>1</v>
      </c>
      <c r="J213" s="128"/>
      <c r="K213" s="129"/>
      <c r="L213" s="129"/>
      <c r="M213" s="129"/>
      <c r="N213" s="138"/>
      <c r="O213" s="138"/>
      <c r="P213" s="138">
        <v>1</v>
      </c>
      <c r="Q213" s="134" t="s">
        <v>61</v>
      </c>
    </row>
    <row r="214" spans="2:17" ht="21.75" customHeight="1" x14ac:dyDescent="0.55000000000000004">
      <c r="B214" s="126">
        <v>217</v>
      </c>
      <c r="C214" s="127" t="s">
        <v>781</v>
      </c>
      <c r="D214" s="134" t="s">
        <v>780</v>
      </c>
      <c r="E214" s="134">
        <v>26</v>
      </c>
      <c r="F214" s="134">
        <v>10</v>
      </c>
      <c r="G214" s="134">
        <v>19</v>
      </c>
      <c r="H214" s="131" t="s">
        <v>12</v>
      </c>
      <c r="I214" s="132">
        <v>1</v>
      </c>
      <c r="J214" s="128"/>
      <c r="K214" s="129"/>
      <c r="L214" s="129"/>
      <c r="M214" s="129"/>
      <c r="N214" s="138"/>
      <c r="O214" s="138"/>
      <c r="P214" s="138">
        <v>1</v>
      </c>
      <c r="Q214" s="134" t="s">
        <v>2539</v>
      </c>
    </row>
    <row r="215" spans="2:17" ht="24.75" x14ac:dyDescent="0.55000000000000004">
      <c r="B215" s="126">
        <v>218</v>
      </c>
      <c r="C215" s="131" t="s">
        <v>409</v>
      </c>
      <c r="D215" s="134" t="s">
        <v>779</v>
      </c>
      <c r="E215" s="134">
        <v>26</v>
      </c>
      <c r="F215" s="134">
        <v>75</v>
      </c>
      <c r="G215" s="134">
        <v>9</v>
      </c>
      <c r="H215" s="131" t="s">
        <v>12</v>
      </c>
      <c r="I215" s="132">
        <v>1</v>
      </c>
      <c r="J215" s="128"/>
      <c r="K215" s="129"/>
      <c r="L215" s="129"/>
      <c r="M215" s="129"/>
      <c r="N215" s="138"/>
      <c r="O215" s="138"/>
      <c r="P215" s="138">
        <v>1</v>
      </c>
      <c r="Q215" s="134" t="s">
        <v>2774</v>
      </c>
    </row>
    <row r="216" spans="2:17" ht="24.75" x14ac:dyDescent="0.55000000000000004">
      <c r="B216" s="126">
        <v>219</v>
      </c>
      <c r="C216" s="131" t="s">
        <v>1982</v>
      </c>
      <c r="D216" s="134" t="s">
        <v>515</v>
      </c>
      <c r="E216" s="134">
        <v>26</v>
      </c>
      <c r="F216" s="134">
        <v>81</v>
      </c>
      <c r="G216" s="134">
        <v>34</v>
      </c>
      <c r="H216" s="131" t="s">
        <v>12</v>
      </c>
      <c r="I216" s="132">
        <v>1</v>
      </c>
      <c r="J216" s="128"/>
      <c r="K216" s="129"/>
      <c r="L216" s="129"/>
      <c r="M216" s="129"/>
      <c r="N216" s="138"/>
      <c r="O216" s="138"/>
      <c r="P216" s="138">
        <v>1</v>
      </c>
      <c r="Q216" s="134" t="s">
        <v>2774</v>
      </c>
    </row>
    <row r="217" spans="2:17" ht="21" x14ac:dyDescent="0.55000000000000004">
      <c r="B217" s="126">
        <v>220</v>
      </c>
      <c r="C217" s="131" t="s">
        <v>1286</v>
      </c>
      <c r="D217" s="134" t="s">
        <v>2474</v>
      </c>
      <c r="E217" s="134">
        <v>26</v>
      </c>
      <c r="F217" s="134">
        <v>91</v>
      </c>
      <c r="G217" s="134">
        <v>8</v>
      </c>
      <c r="H217" s="131" t="s">
        <v>26</v>
      </c>
      <c r="I217" s="132"/>
      <c r="J217" s="128">
        <v>1</v>
      </c>
      <c r="K217" s="129"/>
      <c r="L217" s="129"/>
      <c r="M217" s="129">
        <v>1</v>
      </c>
      <c r="N217" s="138"/>
      <c r="O217" s="138"/>
      <c r="P217" s="138"/>
      <c r="Q217" s="134"/>
    </row>
    <row r="218" spans="2:17" ht="21" x14ac:dyDescent="0.55000000000000004">
      <c r="B218" s="126">
        <v>221</v>
      </c>
      <c r="C218" s="131" t="s">
        <v>804</v>
      </c>
      <c r="D218" s="134" t="s">
        <v>2475</v>
      </c>
      <c r="E218" s="134">
        <v>26</v>
      </c>
      <c r="F218" s="134">
        <v>83</v>
      </c>
      <c r="G218" s="134">
        <v>7</v>
      </c>
      <c r="H218" s="131" t="s">
        <v>26</v>
      </c>
      <c r="I218" s="132"/>
      <c r="J218" s="128">
        <v>1</v>
      </c>
      <c r="K218" s="129"/>
      <c r="L218" s="129"/>
      <c r="M218" s="129">
        <v>1</v>
      </c>
      <c r="N218" s="138"/>
      <c r="O218" s="138"/>
      <c r="P218" s="138"/>
      <c r="Q218" s="134"/>
    </row>
    <row r="219" spans="2:17" ht="21" x14ac:dyDescent="0.55000000000000004">
      <c r="B219" s="126">
        <v>222</v>
      </c>
      <c r="C219" s="131" t="s">
        <v>949</v>
      </c>
      <c r="D219" s="134" t="s">
        <v>2476</v>
      </c>
      <c r="E219" s="134">
        <v>26</v>
      </c>
      <c r="F219" s="134">
        <v>81</v>
      </c>
      <c r="G219" s="134">
        <v>8</v>
      </c>
      <c r="H219" s="131" t="s">
        <v>26</v>
      </c>
      <c r="I219" s="132"/>
      <c r="J219" s="128">
        <v>1</v>
      </c>
      <c r="K219" s="129"/>
      <c r="L219" s="129"/>
      <c r="M219" s="129">
        <v>1</v>
      </c>
      <c r="N219" s="138"/>
      <c r="O219" s="138"/>
      <c r="P219" s="138"/>
      <c r="Q219" s="134"/>
    </row>
    <row r="220" spans="2:17" ht="21" x14ac:dyDescent="0.55000000000000004">
      <c r="B220" s="126">
        <v>223</v>
      </c>
      <c r="C220" s="131" t="s">
        <v>143</v>
      </c>
      <c r="D220" s="134" t="s">
        <v>2477</v>
      </c>
      <c r="E220" s="134">
        <v>26</v>
      </c>
      <c r="F220" s="134">
        <v>98</v>
      </c>
      <c r="G220" s="134">
        <v>4</v>
      </c>
      <c r="H220" s="131" t="s">
        <v>26</v>
      </c>
      <c r="I220" s="132"/>
      <c r="J220" s="128">
        <v>1</v>
      </c>
      <c r="K220" s="129"/>
      <c r="L220" s="129"/>
      <c r="M220" s="129">
        <v>1</v>
      </c>
      <c r="N220" s="138"/>
      <c r="O220" s="138"/>
      <c r="P220" s="138"/>
      <c r="Q220" s="134"/>
    </row>
    <row r="221" spans="2:17" ht="21" x14ac:dyDescent="0.55000000000000004">
      <c r="B221" s="126">
        <v>224</v>
      </c>
      <c r="C221" s="131" t="s">
        <v>2471</v>
      </c>
      <c r="D221" s="134" t="s">
        <v>2478</v>
      </c>
      <c r="E221" s="134">
        <v>26</v>
      </c>
      <c r="F221" s="134">
        <v>96</v>
      </c>
      <c r="G221" s="134">
        <v>12</v>
      </c>
      <c r="H221" s="131" t="s">
        <v>26</v>
      </c>
      <c r="I221" s="132"/>
      <c r="J221" s="128">
        <v>1</v>
      </c>
      <c r="K221" s="129"/>
      <c r="L221" s="129"/>
      <c r="M221" s="129">
        <v>1</v>
      </c>
      <c r="N221" s="138"/>
      <c r="O221" s="138"/>
      <c r="P221" s="138"/>
      <c r="Q221" s="134"/>
    </row>
    <row r="222" spans="2:17" ht="21" x14ac:dyDescent="0.55000000000000004">
      <c r="B222" s="126">
        <v>225</v>
      </c>
      <c r="C222" s="131" t="s">
        <v>575</v>
      </c>
      <c r="D222" s="134" t="s">
        <v>2479</v>
      </c>
      <c r="E222" s="134">
        <v>26</v>
      </c>
      <c r="F222" s="134">
        <v>93</v>
      </c>
      <c r="G222" s="134">
        <v>12</v>
      </c>
      <c r="H222" s="131" t="s">
        <v>26</v>
      </c>
      <c r="I222" s="132"/>
      <c r="J222" s="128">
        <v>1</v>
      </c>
      <c r="K222" s="129"/>
      <c r="L222" s="129"/>
      <c r="M222" s="129">
        <v>1</v>
      </c>
      <c r="N222" s="138"/>
      <c r="O222" s="138"/>
      <c r="P222" s="138"/>
      <c r="Q222" s="134"/>
    </row>
    <row r="223" spans="2:17" ht="21" x14ac:dyDescent="0.55000000000000004">
      <c r="B223" s="126">
        <v>226</v>
      </c>
      <c r="C223" s="131" t="s">
        <v>781</v>
      </c>
      <c r="D223" s="134" t="s">
        <v>2480</v>
      </c>
      <c r="E223" s="134">
        <v>26</v>
      </c>
      <c r="F223" s="134">
        <v>96</v>
      </c>
      <c r="G223" s="134">
        <v>14</v>
      </c>
      <c r="H223" s="131" t="s">
        <v>26</v>
      </c>
      <c r="I223" s="132"/>
      <c r="J223" s="128">
        <v>1</v>
      </c>
      <c r="K223" s="129"/>
      <c r="L223" s="129"/>
      <c r="M223" s="129">
        <v>1</v>
      </c>
      <c r="N223" s="138"/>
      <c r="O223" s="138"/>
      <c r="P223" s="138"/>
      <c r="Q223" s="134"/>
    </row>
    <row r="224" spans="2:17" ht="21" x14ac:dyDescent="0.55000000000000004">
      <c r="B224" s="126">
        <v>227</v>
      </c>
      <c r="C224" s="131" t="s">
        <v>1932</v>
      </c>
      <c r="D224" s="134" t="s">
        <v>2481</v>
      </c>
      <c r="E224" s="134">
        <v>26</v>
      </c>
      <c r="F224" s="134">
        <v>94</v>
      </c>
      <c r="G224" s="134">
        <v>4</v>
      </c>
      <c r="H224" s="131" t="s">
        <v>26</v>
      </c>
      <c r="I224" s="132"/>
      <c r="J224" s="128">
        <v>1</v>
      </c>
      <c r="K224" s="129"/>
      <c r="L224" s="129"/>
      <c r="M224" s="129">
        <v>1</v>
      </c>
      <c r="N224" s="138"/>
      <c r="O224" s="138"/>
      <c r="P224" s="138"/>
      <c r="Q224" s="134"/>
    </row>
    <row r="225" spans="2:17" ht="21" x14ac:dyDescent="0.55000000000000004">
      <c r="B225" s="126">
        <v>228</v>
      </c>
      <c r="C225" s="131" t="s">
        <v>1044</v>
      </c>
      <c r="D225" s="134" t="s">
        <v>2482</v>
      </c>
      <c r="E225" s="134">
        <v>26</v>
      </c>
      <c r="F225" s="134">
        <v>95</v>
      </c>
      <c r="G225" s="134">
        <v>20</v>
      </c>
      <c r="H225" s="131" t="s">
        <v>26</v>
      </c>
      <c r="I225" s="132"/>
      <c r="J225" s="128">
        <v>1</v>
      </c>
      <c r="K225" s="129"/>
      <c r="L225" s="129"/>
      <c r="M225" s="129">
        <v>1</v>
      </c>
      <c r="N225" s="138"/>
      <c r="O225" s="138"/>
      <c r="P225" s="138"/>
      <c r="Q225" s="134"/>
    </row>
    <row r="226" spans="2:17" ht="21" x14ac:dyDescent="0.55000000000000004">
      <c r="B226" s="126">
        <v>229</v>
      </c>
      <c r="C226" s="131" t="s">
        <v>977</v>
      </c>
      <c r="D226" s="134" t="s">
        <v>2483</v>
      </c>
      <c r="E226" s="134">
        <v>26</v>
      </c>
      <c r="F226" s="134">
        <v>95</v>
      </c>
      <c r="G226" s="134">
        <v>21</v>
      </c>
      <c r="H226" s="131" t="s">
        <v>26</v>
      </c>
      <c r="I226" s="132"/>
      <c r="J226" s="128">
        <v>1</v>
      </c>
      <c r="K226" s="129"/>
      <c r="L226" s="129"/>
      <c r="M226" s="129">
        <v>1</v>
      </c>
      <c r="N226" s="138"/>
      <c r="O226" s="138"/>
      <c r="P226" s="138"/>
      <c r="Q226" s="134"/>
    </row>
    <row r="227" spans="2:17" ht="21" x14ac:dyDescent="0.55000000000000004">
      <c r="B227" s="126">
        <v>230</v>
      </c>
      <c r="C227" s="131" t="s">
        <v>655</v>
      </c>
      <c r="D227" s="134" t="s">
        <v>2484</v>
      </c>
      <c r="E227" s="134">
        <v>26</v>
      </c>
      <c r="F227" s="134">
        <v>73</v>
      </c>
      <c r="G227" s="134">
        <v>48</v>
      </c>
      <c r="H227" s="131" t="s">
        <v>26</v>
      </c>
      <c r="I227" s="132"/>
      <c r="J227" s="128">
        <v>1</v>
      </c>
      <c r="K227" s="129"/>
      <c r="L227" s="129"/>
      <c r="M227" s="129">
        <v>1</v>
      </c>
      <c r="N227" s="138"/>
      <c r="O227" s="138"/>
      <c r="P227" s="138"/>
      <c r="Q227" s="134"/>
    </row>
    <row r="228" spans="2:17" ht="21" x14ac:dyDescent="0.55000000000000004">
      <c r="B228" s="126">
        <v>231</v>
      </c>
      <c r="C228" s="131" t="s">
        <v>402</v>
      </c>
      <c r="D228" s="134" t="s">
        <v>1089</v>
      </c>
      <c r="E228" s="134">
        <v>26</v>
      </c>
      <c r="F228" s="134">
        <v>49</v>
      </c>
      <c r="G228" s="134">
        <v>11</v>
      </c>
      <c r="H228" s="131" t="s">
        <v>26</v>
      </c>
      <c r="I228" s="132"/>
      <c r="J228" s="128">
        <v>1</v>
      </c>
      <c r="K228" s="129"/>
      <c r="L228" s="129"/>
      <c r="M228" s="129">
        <v>1</v>
      </c>
      <c r="N228" s="138"/>
      <c r="O228" s="138"/>
      <c r="P228" s="138"/>
      <c r="Q228" s="134"/>
    </row>
    <row r="229" spans="2:17" ht="21" x14ac:dyDescent="0.55000000000000004">
      <c r="B229" s="126">
        <v>232</v>
      </c>
      <c r="C229" s="131" t="s">
        <v>462</v>
      </c>
      <c r="D229" s="134" t="s">
        <v>2485</v>
      </c>
      <c r="E229" s="134">
        <v>26</v>
      </c>
      <c r="F229" s="134">
        <v>75</v>
      </c>
      <c r="G229" s="134">
        <v>49</v>
      </c>
      <c r="H229" s="131" t="s">
        <v>26</v>
      </c>
      <c r="I229" s="132"/>
      <c r="J229" s="128">
        <v>1</v>
      </c>
      <c r="K229" s="141"/>
      <c r="L229" s="141"/>
      <c r="M229" s="129">
        <v>1</v>
      </c>
      <c r="N229" s="142"/>
      <c r="O229" s="142"/>
      <c r="P229" s="142"/>
      <c r="Q229" s="134"/>
    </row>
    <row r="230" spans="2:17" ht="21" x14ac:dyDescent="0.55000000000000004">
      <c r="B230" s="126">
        <v>233</v>
      </c>
      <c r="C230" s="131" t="s">
        <v>119</v>
      </c>
      <c r="D230" s="134" t="s">
        <v>879</v>
      </c>
      <c r="E230" s="134">
        <v>26</v>
      </c>
      <c r="F230" s="134">
        <v>61</v>
      </c>
      <c r="G230" s="134">
        <v>49</v>
      </c>
      <c r="H230" s="131" t="s">
        <v>26</v>
      </c>
      <c r="I230" s="132"/>
      <c r="J230" s="128">
        <v>1</v>
      </c>
      <c r="K230" s="141"/>
      <c r="L230" s="141"/>
      <c r="M230" s="129">
        <v>1</v>
      </c>
      <c r="N230" s="142"/>
      <c r="O230" s="142"/>
      <c r="P230" s="142"/>
      <c r="Q230" s="134"/>
    </row>
    <row r="231" spans="2:17" ht="21" x14ac:dyDescent="0.55000000000000004">
      <c r="B231" s="126">
        <v>234</v>
      </c>
      <c r="C231" s="131" t="s">
        <v>135</v>
      </c>
      <c r="D231" s="134" t="s">
        <v>2486</v>
      </c>
      <c r="E231" s="134">
        <v>26</v>
      </c>
      <c r="F231" s="134">
        <v>60</v>
      </c>
      <c r="G231" s="134">
        <v>48</v>
      </c>
      <c r="H231" s="131" t="s">
        <v>26</v>
      </c>
      <c r="I231" s="132"/>
      <c r="J231" s="128">
        <v>1</v>
      </c>
      <c r="K231" s="141"/>
      <c r="L231" s="141"/>
      <c r="M231" s="129">
        <v>1</v>
      </c>
      <c r="N231" s="142"/>
      <c r="O231" s="142"/>
      <c r="P231" s="142"/>
      <c r="Q231" s="134"/>
    </row>
    <row r="232" spans="2:17" ht="21" x14ac:dyDescent="0.55000000000000004">
      <c r="B232" s="126">
        <v>235</v>
      </c>
      <c r="C232" s="131" t="s">
        <v>2472</v>
      </c>
      <c r="D232" s="134" t="s">
        <v>2491</v>
      </c>
      <c r="E232" s="134">
        <v>26</v>
      </c>
      <c r="F232" s="134">
        <v>62</v>
      </c>
      <c r="G232" s="134">
        <v>48</v>
      </c>
      <c r="H232" s="131" t="s">
        <v>26</v>
      </c>
      <c r="I232" s="132"/>
      <c r="J232" s="128">
        <v>1</v>
      </c>
      <c r="K232" s="141"/>
      <c r="L232" s="141"/>
      <c r="M232" s="129">
        <v>1</v>
      </c>
      <c r="N232" s="142"/>
      <c r="O232" s="142"/>
      <c r="P232" s="142"/>
      <c r="Q232" s="134"/>
    </row>
    <row r="233" spans="2:17" ht="21" x14ac:dyDescent="0.55000000000000004">
      <c r="B233" s="126">
        <v>236</v>
      </c>
      <c r="C233" s="131" t="s">
        <v>659</v>
      </c>
      <c r="D233" s="134" t="s">
        <v>2487</v>
      </c>
      <c r="E233" s="134">
        <v>26</v>
      </c>
      <c r="F233" s="134">
        <v>63</v>
      </c>
      <c r="G233" s="134">
        <v>48</v>
      </c>
      <c r="H233" s="131" t="s">
        <v>26</v>
      </c>
      <c r="I233" s="132"/>
      <c r="J233" s="128">
        <v>1</v>
      </c>
      <c r="K233" s="141"/>
      <c r="L233" s="141"/>
      <c r="M233" s="129">
        <v>1</v>
      </c>
      <c r="N233" s="142"/>
      <c r="O233" s="142"/>
      <c r="P233" s="142"/>
      <c r="Q233" s="134"/>
    </row>
    <row r="234" spans="2:17" ht="21" x14ac:dyDescent="0.55000000000000004">
      <c r="B234" s="126">
        <v>237</v>
      </c>
      <c r="C234" s="131" t="s">
        <v>136</v>
      </c>
      <c r="D234" s="134" t="s">
        <v>2488</v>
      </c>
      <c r="E234" s="134">
        <v>26</v>
      </c>
      <c r="F234" s="134">
        <v>2</v>
      </c>
      <c r="G234" s="134">
        <v>60</v>
      </c>
      <c r="H234" s="131" t="s">
        <v>26</v>
      </c>
      <c r="I234" s="132"/>
      <c r="J234" s="128">
        <v>1</v>
      </c>
      <c r="K234" s="141"/>
      <c r="L234" s="141"/>
      <c r="M234" s="129">
        <v>1</v>
      </c>
      <c r="N234" s="142"/>
      <c r="O234" s="142"/>
      <c r="P234" s="142"/>
      <c r="Q234" s="134"/>
    </row>
    <row r="235" spans="2:17" ht="21" x14ac:dyDescent="0.55000000000000004">
      <c r="B235" s="126">
        <v>238</v>
      </c>
      <c r="C235" s="131" t="s">
        <v>716</v>
      </c>
      <c r="D235" s="134" t="s">
        <v>2489</v>
      </c>
      <c r="E235" s="134">
        <v>26</v>
      </c>
      <c r="F235" s="134">
        <v>72</v>
      </c>
      <c r="G235" s="134">
        <v>48</v>
      </c>
      <c r="H235" s="131" t="s">
        <v>26</v>
      </c>
      <c r="I235" s="132"/>
      <c r="J235" s="128">
        <v>1</v>
      </c>
      <c r="K235" s="141"/>
      <c r="L235" s="141"/>
      <c r="M235" s="129">
        <v>1</v>
      </c>
      <c r="N235" s="142"/>
      <c r="O235" s="142"/>
      <c r="P235" s="142"/>
      <c r="Q235" s="134"/>
    </row>
    <row r="236" spans="2:17" ht="21" x14ac:dyDescent="0.55000000000000004">
      <c r="B236" s="126">
        <v>239</v>
      </c>
      <c r="C236" s="131" t="s">
        <v>2473</v>
      </c>
      <c r="D236" s="134" t="s">
        <v>2490</v>
      </c>
      <c r="E236" s="134">
        <v>26</v>
      </c>
      <c r="F236" s="134">
        <v>73</v>
      </c>
      <c r="G236" s="134">
        <v>47</v>
      </c>
      <c r="H236" s="131" t="s">
        <v>26</v>
      </c>
      <c r="I236" s="132"/>
      <c r="J236" s="128">
        <v>1</v>
      </c>
      <c r="K236" s="141"/>
      <c r="L236" s="141"/>
      <c r="M236" s="129">
        <v>1</v>
      </c>
      <c r="N236" s="142"/>
      <c r="O236" s="142"/>
      <c r="P236" s="142"/>
      <c r="Q236" s="134"/>
    </row>
    <row r="237" spans="2:17" ht="21" x14ac:dyDescent="0.55000000000000004">
      <c r="B237" s="126">
        <v>240</v>
      </c>
      <c r="C237" s="131" t="s">
        <v>812</v>
      </c>
      <c r="D237" s="134" t="s">
        <v>2493</v>
      </c>
      <c r="E237" s="134">
        <v>26</v>
      </c>
      <c r="F237" s="134">
        <v>74</v>
      </c>
      <c r="G237" s="134">
        <v>53</v>
      </c>
      <c r="H237" s="131" t="s">
        <v>26</v>
      </c>
      <c r="I237" s="132"/>
      <c r="J237" s="128">
        <v>1</v>
      </c>
      <c r="K237" s="141"/>
      <c r="L237" s="141"/>
      <c r="M237" s="129">
        <v>1</v>
      </c>
      <c r="N237" s="142"/>
      <c r="O237" s="142"/>
      <c r="P237" s="142"/>
      <c r="Q237" s="134"/>
    </row>
    <row r="238" spans="2:17" ht="21" x14ac:dyDescent="0.55000000000000004">
      <c r="B238" s="126">
        <v>241</v>
      </c>
      <c r="C238" s="131" t="s">
        <v>137</v>
      </c>
      <c r="D238" s="134" t="s">
        <v>2494</v>
      </c>
      <c r="E238" s="134">
        <v>26</v>
      </c>
      <c r="F238" s="134">
        <v>72</v>
      </c>
      <c r="G238" s="134">
        <v>52</v>
      </c>
      <c r="H238" s="131" t="s">
        <v>26</v>
      </c>
      <c r="I238" s="132"/>
      <c r="J238" s="128">
        <v>1</v>
      </c>
      <c r="K238" s="141"/>
      <c r="L238" s="141"/>
      <c r="M238" s="129">
        <v>1</v>
      </c>
      <c r="N238" s="142"/>
      <c r="O238" s="142"/>
      <c r="P238" s="142"/>
      <c r="Q238" s="134"/>
    </row>
    <row r="239" spans="2:17" ht="21" x14ac:dyDescent="0.55000000000000004">
      <c r="B239" s="126">
        <v>242</v>
      </c>
      <c r="C239" s="131" t="s">
        <v>125</v>
      </c>
      <c r="D239" s="134" t="s">
        <v>2495</v>
      </c>
      <c r="E239" s="134">
        <v>26</v>
      </c>
      <c r="F239" s="134">
        <v>62</v>
      </c>
      <c r="G239" s="134">
        <v>46</v>
      </c>
      <c r="H239" s="131" t="s">
        <v>26</v>
      </c>
      <c r="I239" s="132"/>
      <c r="J239" s="128">
        <v>1</v>
      </c>
      <c r="K239" s="141"/>
      <c r="L239" s="141"/>
      <c r="M239" s="129">
        <v>1</v>
      </c>
      <c r="N239" s="142"/>
      <c r="O239" s="142"/>
      <c r="P239" s="142"/>
      <c r="Q239" s="134"/>
    </row>
    <row r="240" spans="2:17" ht="21" x14ac:dyDescent="0.55000000000000004">
      <c r="B240" s="126">
        <v>243</v>
      </c>
      <c r="C240" s="131" t="s">
        <v>575</v>
      </c>
      <c r="D240" s="134" t="s">
        <v>2496</v>
      </c>
      <c r="E240" s="134">
        <v>26</v>
      </c>
      <c r="F240" s="134">
        <v>69</v>
      </c>
      <c r="G240" s="134">
        <v>44</v>
      </c>
      <c r="H240" s="131" t="s">
        <v>26</v>
      </c>
      <c r="I240" s="132"/>
      <c r="J240" s="128">
        <v>1</v>
      </c>
      <c r="K240" s="141"/>
      <c r="L240" s="141"/>
      <c r="M240" s="129">
        <v>1</v>
      </c>
      <c r="N240" s="142"/>
      <c r="O240" s="142"/>
      <c r="P240" s="142"/>
      <c r="Q240" s="134"/>
    </row>
    <row r="241" spans="2:17" ht="21" x14ac:dyDescent="0.55000000000000004">
      <c r="B241" s="126">
        <v>244</v>
      </c>
      <c r="C241" s="131" t="s">
        <v>781</v>
      </c>
      <c r="D241" s="134" t="s">
        <v>2497</v>
      </c>
      <c r="E241" s="134">
        <v>26</v>
      </c>
      <c r="F241" s="134" t="s">
        <v>2509</v>
      </c>
      <c r="G241" s="134">
        <v>43</v>
      </c>
      <c r="H241" s="131" t="s">
        <v>26</v>
      </c>
      <c r="I241" s="132"/>
      <c r="J241" s="128">
        <v>1</v>
      </c>
      <c r="K241" s="141"/>
      <c r="L241" s="141"/>
      <c r="M241" s="129">
        <v>1</v>
      </c>
      <c r="N241" s="142"/>
      <c r="O241" s="142"/>
      <c r="P241" s="142"/>
      <c r="Q241" s="134"/>
    </row>
    <row r="242" spans="2:17" ht="21" x14ac:dyDescent="0.55000000000000004">
      <c r="B242" s="126">
        <v>245</v>
      </c>
      <c r="C242" s="131" t="s">
        <v>1055</v>
      </c>
      <c r="D242" s="134" t="s">
        <v>2498</v>
      </c>
      <c r="E242" s="134">
        <v>26</v>
      </c>
      <c r="F242" s="134">
        <v>68</v>
      </c>
      <c r="G242" s="134">
        <v>38</v>
      </c>
      <c r="H242" s="131" t="s">
        <v>26</v>
      </c>
      <c r="I242" s="132"/>
      <c r="J242" s="128">
        <v>1</v>
      </c>
      <c r="K242" s="141"/>
      <c r="L242" s="141"/>
      <c r="M242" s="129">
        <v>1</v>
      </c>
      <c r="N242" s="142"/>
      <c r="O242" s="142"/>
      <c r="P242" s="142"/>
      <c r="Q242" s="134"/>
    </row>
    <row r="243" spans="2:17" ht="21" x14ac:dyDescent="0.55000000000000004">
      <c r="B243" s="126">
        <v>246</v>
      </c>
      <c r="C243" s="131" t="s">
        <v>575</v>
      </c>
      <c r="D243" s="134" t="s">
        <v>2499</v>
      </c>
      <c r="E243" s="134">
        <v>26</v>
      </c>
      <c r="F243" s="134">
        <v>62</v>
      </c>
      <c r="G243" s="134">
        <v>36</v>
      </c>
      <c r="H243" s="131" t="s">
        <v>26</v>
      </c>
      <c r="I243" s="132"/>
      <c r="J243" s="128">
        <v>1</v>
      </c>
      <c r="K243" s="141"/>
      <c r="L243" s="141"/>
      <c r="M243" s="129">
        <v>1</v>
      </c>
      <c r="N243" s="142"/>
      <c r="O243" s="142"/>
      <c r="P243" s="142"/>
      <c r="Q243" s="134"/>
    </row>
    <row r="244" spans="2:17" ht="21" x14ac:dyDescent="0.55000000000000004">
      <c r="B244" s="126">
        <v>247</v>
      </c>
      <c r="C244" s="131" t="s">
        <v>187</v>
      </c>
      <c r="D244" s="134" t="s">
        <v>2500</v>
      </c>
      <c r="E244" s="134">
        <v>26</v>
      </c>
      <c r="F244" s="134" t="s">
        <v>2510</v>
      </c>
      <c r="G244" s="134">
        <v>4</v>
      </c>
      <c r="H244" s="131" t="s">
        <v>26</v>
      </c>
      <c r="I244" s="132"/>
      <c r="J244" s="128">
        <v>1</v>
      </c>
      <c r="K244" s="141"/>
      <c r="L244" s="141"/>
      <c r="M244" s="129">
        <v>1</v>
      </c>
      <c r="N244" s="142"/>
      <c r="O244" s="142"/>
      <c r="P244" s="142"/>
      <c r="Q244" s="134"/>
    </row>
    <row r="245" spans="2:17" ht="21" x14ac:dyDescent="0.55000000000000004">
      <c r="B245" s="126">
        <v>248</v>
      </c>
      <c r="C245" s="131" t="s">
        <v>296</v>
      </c>
      <c r="D245" s="134" t="s">
        <v>2501</v>
      </c>
      <c r="E245" s="134">
        <v>26</v>
      </c>
      <c r="F245" s="134">
        <v>55</v>
      </c>
      <c r="G245" s="134">
        <v>17</v>
      </c>
      <c r="H245" s="131" t="s">
        <v>26</v>
      </c>
      <c r="I245" s="132"/>
      <c r="J245" s="128">
        <v>1</v>
      </c>
      <c r="K245" s="141"/>
      <c r="L245" s="141"/>
      <c r="M245" s="129">
        <v>1</v>
      </c>
      <c r="N245" s="142"/>
      <c r="O245" s="142"/>
      <c r="P245" s="142"/>
      <c r="Q245" s="134"/>
    </row>
    <row r="246" spans="2:17" ht="21" x14ac:dyDescent="0.55000000000000004">
      <c r="B246" s="126">
        <v>249</v>
      </c>
      <c r="C246" s="131" t="s">
        <v>1509</v>
      </c>
      <c r="D246" s="134" t="s">
        <v>2502</v>
      </c>
      <c r="E246" s="134">
        <v>26</v>
      </c>
      <c r="F246" s="134">
        <v>78</v>
      </c>
      <c r="G246" s="134">
        <v>7</v>
      </c>
      <c r="H246" s="131" t="s">
        <v>26</v>
      </c>
      <c r="I246" s="132"/>
      <c r="J246" s="128">
        <v>1</v>
      </c>
      <c r="K246" s="141"/>
      <c r="L246" s="141"/>
      <c r="M246" s="129">
        <v>1</v>
      </c>
      <c r="N246" s="142"/>
      <c r="O246" s="142"/>
      <c r="P246" s="142"/>
      <c r="Q246" s="134"/>
    </row>
    <row r="247" spans="2:17" ht="21" x14ac:dyDescent="0.55000000000000004">
      <c r="B247" s="126">
        <v>251</v>
      </c>
      <c r="C247" s="131" t="s">
        <v>166</v>
      </c>
      <c r="D247" s="134" t="s">
        <v>2503</v>
      </c>
      <c r="E247" s="134">
        <v>26</v>
      </c>
      <c r="F247" s="134">
        <v>49</v>
      </c>
      <c r="G247" s="134">
        <v>15</v>
      </c>
      <c r="H247" s="131" t="s">
        <v>26</v>
      </c>
      <c r="I247" s="132"/>
      <c r="J247" s="128">
        <v>1</v>
      </c>
      <c r="K247" s="141"/>
      <c r="L247" s="141"/>
      <c r="M247" s="129">
        <v>1</v>
      </c>
      <c r="N247" s="142"/>
      <c r="O247" s="142"/>
      <c r="P247" s="142"/>
      <c r="Q247" s="134"/>
    </row>
    <row r="248" spans="2:17" ht="21" x14ac:dyDescent="0.55000000000000004">
      <c r="B248" s="126">
        <v>252</v>
      </c>
      <c r="C248" s="131" t="s">
        <v>138</v>
      </c>
      <c r="D248" s="134" t="s">
        <v>2504</v>
      </c>
      <c r="E248" s="134">
        <v>26</v>
      </c>
      <c r="F248" s="134">
        <v>75</v>
      </c>
      <c r="G248" s="134">
        <v>14</v>
      </c>
      <c r="H248" s="131" t="s">
        <v>26</v>
      </c>
      <c r="I248" s="132"/>
      <c r="J248" s="128">
        <v>1</v>
      </c>
      <c r="K248" s="141"/>
      <c r="L248" s="141"/>
      <c r="M248" s="129">
        <v>1</v>
      </c>
      <c r="N248" s="142"/>
      <c r="O248" s="142"/>
      <c r="P248" s="142"/>
      <c r="Q248" s="134"/>
    </row>
    <row r="249" spans="2:17" ht="21" x14ac:dyDescent="0.55000000000000004">
      <c r="B249" s="126">
        <v>253</v>
      </c>
      <c r="C249" s="131" t="s">
        <v>2492</v>
      </c>
      <c r="D249" s="134" t="s">
        <v>2505</v>
      </c>
      <c r="E249" s="134">
        <v>26</v>
      </c>
      <c r="F249" s="134">
        <v>76</v>
      </c>
      <c r="G249" s="134">
        <v>8</v>
      </c>
      <c r="H249" s="131" t="s">
        <v>26</v>
      </c>
      <c r="I249" s="132"/>
      <c r="J249" s="128">
        <v>1</v>
      </c>
      <c r="K249" s="141"/>
      <c r="L249" s="141"/>
      <c r="M249" s="129">
        <v>1</v>
      </c>
      <c r="N249" s="142"/>
      <c r="O249" s="142"/>
      <c r="P249" s="142"/>
      <c r="Q249" s="134"/>
    </row>
    <row r="250" spans="2:17" ht="21" x14ac:dyDescent="0.55000000000000004">
      <c r="B250" s="126">
        <v>254</v>
      </c>
      <c r="C250" s="131" t="s">
        <v>1299</v>
      </c>
      <c r="D250" s="134" t="s">
        <v>2506</v>
      </c>
      <c r="E250" s="134">
        <v>26</v>
      </c>
      <c r="F250" s="134">
        <v>2</v>
      </c>
      <c r="G250" s="134">
        <v>47</v>
      </c>
      <c r="H250" s="131" t="s">
        <v>26</v>
      </c>
      <c r="I250" s="132"/>
      <c r="J250" s="128">
        <v>1</v>
      </c>
      <c r="K250" s="141"/>
      <c r="L250" s="141"/>
      <c r="M250" s="129">
        <v>1</v>
      </c>
      <c r="N250" s="142"/>
      <c r="O250" s="142"/>
      <c r="P250" s="142"/>
      <c r="Q250" s="134"/>
    </row>
    <row r="251" spans="2:17" ht="21" x14ac:dyDescent="0.55000000000000004">
      <c r="B251" s="126">
        <v>255</v>
      </c>
      <c r="C251" s="131" t="s">
        <v>131</v>
      </c>
      <c r="D251" s="134" t="s">
        <v>2507</v>
      </c>
      <c r="E251" s="134">
        <v>26</v>
      </c>
      <c r="F251" s="134">
        <v>65</v>
      </c>
      <c r="G251" s="134">
        <v>18</v>
      </c>
      <c r="H251" s="131" t="s">
        <v>26</v>
      </c>
      <c r="I251" s="132"/>
      <c r="J251" s="128">
        <v>1</v>
      </c>
      <c r="K251" s="141"/>
      <c r="L251" s="141"/>
      <c r="M251" s="129">
        <v>1</v>
      </c>
      <c r="N251" s="142"/>
      <c r="O251" s="142"/>
      <c r="P251" s="142"/>
      <c r="Q251" s="134"/>
    </row>
    <row r="252" spans="2:17" ht="21" x14ac:dyDescent="0.55000000000000004">
      <c r="B252" s="126">
        <v>256</v>
      </c>
      <c r="C252" s="131" t="s">
        <v>781</v>
      </c>
      <c r="D252" s="134" t="s">
        <v>2508</v>
      </c>
      <c r="E252" s="134">
        <v>26</v>
      </c>
      <c r="F252" s="134">
        <v>60</v>
      </c>
      <c r="G252" s="134">
        <v>22</v>
      </c>
      <c r="H252" s="131" t="s">
        <v>26</v>
      </c>
      <c r="I252" s="132"/>
      <c r="J252" s="128">
        <v>1</v>
      </c>
      <c r="K252" s="141"/>
      <c r="L252" s="141"/>
      <c r="M252" s="129">
        <v>1</v>
      </c>
      <c r="N252" s="142"/>
      <c r="O252" s="142"/>
      <c r="P252" s="142"/>
      <c r="Q252" s="134"/>
    </row>
    <row r="253" spans="2:17" ht="21" x14ac:dyDescent="0.55000000000000004">
      <c r="B253" s="126">
        <v>257</v>
      </c>
      <c r="C253" s="131" t="s">
        <v>677</v>
      </c>
      <c r="D253" s="134" t="s">
        <v>2512</v>
      </c>
      <c r="E253" s="134">
        <v>26</v>
      </c>
      <c r="F253" s="134">
        <v>86</v>
      </c>
      <c r="G253" s="134">
        <v>9</v>
      </c>
      <c r="H253" s="131" t="s">
        <v>26</v>
      </c>
      <c r="I253" s="132"/>
      <c r="J253" s="128">
        <v>1</v>
      </c>
      <c r="K253" s="141"/>
      <c r="L253" s="141"/>
      <c r="M253" s="129">
        <v>1</v>
      </c>
      <c r="N253" s="142"/>
      <c r="O253" s="142"/>
      <c r="P253" s="142"/>
      <c r="Q253" s="134"/>
    </row>
    <row r="254" spans="2:17" ht="21" x14ac:dyDescent="0.55000000000000004">
      <c r="B254" s="126">
        <v>258</v>
      </c>
      <c r="C254" s="131" t="s">
        <v>2278</v>
      </c>
      <c r="D254" s="134" t="s">
        <v>2513</v>
      </c>
      <c r="E254" s="134">
        <v>26</v>
      </c>
      <c r="F254" s="134">
        <v>84</v>
      </c>
      <c r="G254" s="134">
        <v>4</v>
      </c>
      <c r="H254" s="131" t="s">
        <v>26</v>
      </c>
      <c r="I254" s="132"/>
      <c r="J254" s="128">
        <v>1</v>
      </c>
      <c r="K254" s="141"/>
      <c r="L254" s="141"/>
      <c r="M254" s="129">
        <v>1</v>
      </c>
      <c r="N254" s="142"/>
      <c r="O254" s="142"/>
      <c r="P254" s="142"/>
      <c r="Q254" s="134"/>
    </row>
    <row r="255" spans="2:17" ht="21" x14ac:dyDescent="0.55000000000000004">
      <c r="B255" s="126">
        <v>259</v>
      </c>
      <c r="C255" s="131" t="s">
        <v>232</v>
      </c>
      <c r="D255" s="134" t="s">
        <v>675</v>
      </c>
      <c r="E255" s="134">
        <v>26</v>
      </c>
      <c r="F255" s="134">
        <v>5</v>
      </c>
      <c r="G255" s="134">
        <v>7</v>
      </c>
      <c r="H255" s="131" t="s">
        <v>26</v>
      </c>
      <c r="I255" s="132"/>
      <c r="J255" s="128">
        <v>1</v>
      </c>
      <c r="K255" s="141"/>
      <c r="L255" s="141"/>
      <c r="M255" s="129">
        <v>1</v>
      </c>
      <c r="N255" s="142"/>
      <c r="O255" s="142"/>
      <c r="P255" s="142"/>
      <c r="Q255" s="134"/>
    </row>
    <row r="256" spans="2:17" ht="21" x14ac:dyDescent="0.55000000000000004">
      <c r="B256" s="126">
        <v>260</v>
      </c>
      <c r="C256" s="131" t="s">
        <v>409</v>
      </c>
      <c r="D256" s="134" t="s">
        <v>2514</v>
      </c>
      <c r="E256" s="134">
        <v>26</v>
      </c>
      <c r="F256" s="134">
        <v>66</v>
      </c>
      <c r="G256" s="134">
        <v>14</v>
      </c>
      <c r="H256" s="131" t="s">
        <v>26</v>
      </c>
      <c r="I256" s="132"/>
      <c r="J256" s="128">
        <v>1</v>
      </c>
      <c r="K256" s="141"/>
      <c r="L256" s="141"/>
      <c r="M256" s="129">
        <v>1</v>
      </c>
      <c r="N256" s="142"/>
      <c r="O256" s="142"/>
      <c r="P256" s="142"/>
      <c r="Q256" s="134"/>
    </row>
    <row r="257" spans="2:17" ht="21" x14ac:dyDescent="0.55000000000000004">
      <c r="B257" s="126">
        <v>261</v>
      </c>
      <c r="C257" s="131" t="s">
        <v>135</v>
      </c>
      <c r="D257" s="134" t="s">
        <v>2515</v>
      </c>
      <c r="E257" s="134">
        <v>26</v>
      </c>
      <c r="F257" s="134">
        <v>93</v>
      </c>
      <c r="G257" s="134">
        <v>8</v>
      </c>
      <c r="H257" s="131" t="s">
        <v>26</v>
      </c>
      <c r="I257" s="132"/>
      <c r="J257" s="128">
        <v>1</v>
      </c>
      <c r="K257" s="141"/>
      <c r="L257" s="141"/>
      <c r="M257" s="129">
        <v>1</v>
      </c>
      <c r="N257" s="142"/>
      <c r="O257" s="142"/>
      <c r="P257" s="142"/>
      <c r="Q257" s="134"/>
    </row>
    <row r="258" spans="2:17" ht="21" x14ac:dyDescent="0.55000000000000004">
      <c r="B258" s="126">
        <v>262</v>
      </c>
      <c r="C258" s="131" t="s">
        <v>362</v>
      </c>
      <c r="D258" s="134" t="s">
        <v>2516</v>
      </c>
      <c r="E258" s="134">
        <v>26</v>
      </c>
      <c r="F258" s="134">
        <v>93</v>
      </c>
      <c r="G258" s="134">
        <v>3</v>
      </c>
      <c r="H258" s="131" t="s">
        <v>26</v>
      </c>
      <c r="I258" s="132"/>
      <c r="J258" s="128">
        <v>1</v>
      </c>
      <c r="K258" s="141"/>
      <c r="L258" s="141"/>
      <c r="M258" s="129">
        <v>1</v>
      </c>
      <c r="N258" s="142"/>
      <c r="O258" s="142"/>
      <c r="P258" s="142"/>
      <c r="Q258" s="134"/>
    </row>
    <row r="259" spans="2:17" ht="21" x14ac:dyDescent="0.55000000000000004">
      <c r="B259" s="126">
        <v>263</v>
      </c>
      <c r="C259" s="131" t="s">
        <v>595</v>
      </c>
      <c r="D259" s="134" t="s">
        <v>2517</v>
      </c>
      <c r="E259" s="134">
        <v>26</v>
      </c>
      <c r="F259" s="134">
        <v>91</v>
      </c>
      <c r="G259" s="134">
        <v>7</v>
      </c>
      <c r="H259" s="131" t="s">
        <v>26</v>
      </c>
      <c r="I259" s="132"/>
      <c r="J259" s="128">
        <v>1</v>
      </c>
      <c r="K259" s="141"/>
      <c r="L259" s="141"/>
      <c r="M259" s="129">
        <v>1</v>
      </c>
      <c r="N259" s="142"/>
      <c r="O259" s="142"/>
      <c r="P259" s="142"/>
      <c r="Q259" s="134"/>
    </row>
    <row r="260" spans="2:17" ht="21" x14ac:dyDescent="0.55000000000000004">
      <c r="B260" s="126">
        <v>264</v>
      </c>
      <c r="C260" s="131" t="s">
        <v>296</v>
      </c>
      <c r="D260" s="134" t="s">
        <v>2518</v>
      </c>
      <c r="E260" s="134">
        <v>26</v>
      </c>
      <c r="F260" s="134">
        <v>70</v>
      </c>
      <c r="G260" s="134">
        <v>2</v>
      </c>
      <c r="H260" s="131" t="s">
        <v>26</v>
      </c>
      <c r="I260" s="132"/>
      <c r="J260" s="128">
        <v>1</v>
      </c>
      <c r="K260" s="141"/>
      <c r="L260" s="141"/>
      <c r="M260" s="129">
        <v>1</v>
      </c>
      <c r="N260" s="142"/>
      <c r="O260" s="142"/>
      <c r="P260" s="142"/>
      <c r="Q260" s="134"/>
    </row>
    <row r="261" spans="2:17" ht="21" x14ac:dyDescent="0.55000000000000004">
      <c r="B261" s="126">
        <v>265</v>
      </c>
      <c r="C261" s="131" t="s">
        <v>302</v>
      </c>
      <c r="D261" s="134" t="s">
        <v>2519</v>
      </c>
      <c r="E261" s="134">
        <v>26</v>
      </c>
      <c r="F261" s="134">
        <v>11</v>
      </c>
      <c r="G261" s="134">
        <v>22</v>
      </c>
      <c r="H261" s="131" t="s">
        <v>26</v>
      </c>
      <c r="I261" s="132"/>
      <c r="J261" s="128">
        <v>1</v>
      </c>
      <c r="K261" s="141"/>
      <c r="L261" s="141"/>
      <c r="M261" s="129">
        <v>1</v>
      </c>
      <c r="N261" s="142"/>
      <c r="O261" s="142"/>
      <c r="P261" s="142"/>
      <c r="Q261" s="134"/>
    </row>
    <row r="262" spans="2:17" ht="21" x14ac:dyDescent="0.55000000000000004">
      <c r="B262" s="126">
        <v>266</v>
      </c>
      <c r="C262" s="131" t="s">
        <v>932</v>
      </c>
      <c r="D262" s="134" t="s">
        <v>2520</v>
      </c>
      <c r="E262" s="134">
        <v>26</v>
      </c>
      <c r="F262" s="134">
        <v>24</v>
      </c>
      <c r="G262" s="134">
        <v>28</v>
      </c>
      <c r="H262" s="131" t="s">
        <v>26</v>
      </c>
      <c r="I262" s="132"/>
      <c r="J262" s="128">
        <v>1</v>
      </c>
      <c r="K262" s="141"/>
      <c r="L262" s="141"/>
      <c r="M262" s="129">
        <v>1</v>
      </c>
      <c r="N262" s="142"/>
      <c r="O262" s="142"/>
      <c r="P262" s="142"/>
      <c r="Q262" s="134"/>
    </row>
    <row r="263" spans="2:17" ht="21" x14ac:dyDescent="0.55000000000000004">
      <c r="B263" s="126">
        <v>267</v>
      </c>
      <c r="C263" s="131" t="s">
        <v>1055</v>
      </c>
      <c r="D263" s="134" t="s">
        <v>2521</v>
      </c>
      <c r="E263" s="134">
        <v>26</v>
      </c>
      <c r="F263" s="134">
        <v>42</v>
      </c>
      <c r="G263" s="134">
        <v>3</v>
      </c>
      <c r="H263" s="131" t="s">
        <v>26</v>
      </c>
      <c r="I263" s="132"/>
      <c r="J263" s="128">
        <v>1</v>
      </c>
      <c r="K263" s="141"/>
      <c r="L263" s="141"/>
      <c r="M263" s="129">
        <v>1</v>
      </c>
      <c r="N263" s="142"/>
      <c r="O263" s="142"/>
      <c r="P263" s="142"/>
      <c r="Q263" s="134"/>
    </row>
    <row r="264" spans="2:17" ht="21" x14ac:dyDescent="0.55000000000000004">
      <c r="B264" s="126">
        <v>268</v>
      </c>
      <c r="C264" s="131" t="s">
        <v>125</v>
      </c>
      <c r="D264" s="134" t="s">
        <v>2522</v>
      </c>
      <c r="E264" s="134">
        <v>26</v>
      </c>
      <c r="F264" s="134">
        <v>24</v>
      </c>
      <c r="G264" s="134">
        <v>37</v>
      </c>
      <c r="H264" s="131" t="s">
        <v>26</v>
      </c>
      <c r="I264" s="132"/>
      <c r="J264" s="128">
        <v>1</v>
      </c>
      <c r="K264" s="141"/>
      <c r="L264" s="141"/>
      <c r="M264" s="129">
        <v>1</v>
      </c>
      <c r="N264" s="142"/>
      <c r="O264" s="142"/>
      <c r="P264" s="142"/>
      <c r="Q264" s="134"/>
    </row>
    <row r="265" spans="2:17" ht="21" x14ac:dyDescent="0.55000000000000004">
      <c r="B265" s="126">
        <v>269</v>
      </c>
      <c r="C265" s="131" t="s">
        <v>712</v>
      </c>
      <c r="D265" s="134" t="s">
        <v>2523</v>
      </c>
      <c r="E265" s="134">
        <v>26</v>
      </c>
      <c r="F265" s="134">
        <v>26</v>
      </c>
      <c r="G265" s="134">
        <v>34</v>
      </c>
      <c r="H265" s="131" t="s">
        <v>26</v>
      </c>
      <c r="I265" s="132"/>
      <c r="J265" s="128">
        <v>1</v>
      </c>
      <c r="K265" s="141"/>
      <c r="L265" s="141"/>
      <c r="M265" s="129">
        <v>1</v>
      </c>
      <c r="N265" s="142"/>
      <c r="O265" s="142"/>
      <c r="P265" s="142"/>
      <c r="Q265" s="134"/>
    </row>
    <row r="266" spans="2:17" ht="21" x14ac:dyDescent="0.55000000000000004">
      <c r="B266" s="126">
        <v>270</v>
      </c>
      <c r="C266" s="131" t="s">
        <v>138</v>
      </c>
      <c r="D266" s="134" t="s">
        <v>184</v>
      </c>
      <c r="E266" s="134">
        <v>26</v>
      </c>
      <c r="F266" s="134">
        <v>1</v>
      </c>
      <c r="G266" s="134">
        <v>22</v>
      </c>
      <c r="H266" s="131" t="s">
        <v>26</v>
      </c>
      <c r="I266" s="132"/>
      <c r="J266" s="128">
        <v>1</v>
      </c>
      <c r="K266" s="141"/>
      <c r="L266" s="141"/>
      <c r="M266" s="129">
        <v>1</v>
      </c>
      <c r="N266" s="142"/>
      <c r="O266" s="142"/>
      <c r="P266" s="142"/>
      <c r="Q266" s="134"/>
    </row>
    <row r="267" spans="2:17" ht="21" x14ac:dyDescent="0.55000000000000004">
      <c r="B267" s="126">
        <v>271</v>
      </c>
      <c r="C267" s="131" t="s">
        <v>2511</v>
      </c>
      <c r="D267" s="134" t="s">
        <v>2524</v>
      </c>
      <c r="E267" s="134">
        <v>26</v>
      </c>
      <c r="F267" s="134">
        <v>33</v>
      </c>
      <c r="G267" s="134">
        <v>29</v>
      </c>
      <c r="H267" s="131" t="s">
        <v>26</v>
      </c>
      <c r="I267" s="132"/>
      <c r="J267" s="128">
        <v>1</v>
      </c>
      <c r="K267" s="141"/>
      <c r="L267" s="141"/>
      <c r="M267" s="129">
        <v>1</v>
      </c>
      <c r="N267" s="142"/>
      <c r="O267" s="142"/>
      <c r="P267" s="142"/>
      <c r="Q267" s="134"/>
    </row>
    <row r="268" spans="2:17" ht="21" x14ac:dyDescent="0.55000000000000004">
      <c r="B268" s="126">
        <v>272</v>
      </c>
      <c r="C268" s="131" t="s">
        <v>595</v>
      </c>
      <c r="D268" s="134" t="s">
        <v>2525</v>
      </c>
      <c r="E268" s="134">
        <v>26</v>
      </c>
      <c r="F268" s="134">
        <v>14</v>
      </c>
      <c r="G268" s="134">
        <v>37</v>
      </c>
      <c r="H268" s="131" t="s">
        <v>26</v>
      </c>
      <c r="I268" s="132"/>
      <c r="J268" s="128">
        <v>1</v>
      </c>
      <c r="K268" s="141"/>
      <c r="L268" s="141"/>
      <c r="M268" s="129">
        <v>1</v>
      </c>
      <c r="N268" s="142"/>
      <c r="O268" s="142"/>
      <c r="P268" s="142"/>
      <c r="Q268" s="134"/>
    </row>
    <row r="269" spans="2:17" ht="21" x14ac:dyDescent="0.55000000000000004">
      <c r="B269" s="126">
        <v>273</v>
      </c>
      <c r="C269" s="131" t="s">
        <v>123</v>
      </c>
      <c r="D269" s="134" t="s">
        <v>2526</v>
      </c>
      <c r="E269" s="134">
        <v>26</v>
      </c>
      <c r="F269" s="134" t="s">
        <v>2528</v>
      </c>
      <c r="G269" s="134">
        <v>32</v>
      </c>
      <c r="H269" s="131" t="s">
        <v>26</v>
      </c>
      <c r="I269" s="132"/>
      <c r="J269" s="128">
        <v>1</v>
      </c>
      <c r="K269" s="141"/>
      <c r="L269" s="141"/>
      <c r="M269" s="129">
        <v>1</v>
      </c>
      <c r="N269" s="142"/>
      <c r="O269" s="142"/>
      <c r="P269" s="142"/>
      <c r="Q269" s="134"/>
    </row>
    <row r="270" spans="2:17" ht="21" x14ac:dyDescent="0.55000000000000004">
      <c r="B270" s="126">
        <v>274</v>
      </c>
      <c r="C270" s="131" t="s">
        <v>135</v>
      </c>
      <c r="D270" s="134" t="s">
        <v>2527</v>
      </c>
      <c r="E270" s="134">
        <v>26</v>
      </c>
      <c r="F270" s="134">
        <v>33</v>
      </c>
      <c r="G270" s="134">
        <v>47</v>
      </c>
      <c r="H270" s="131" t="s">
        <v>26</v>
      </c>
      <c r="I270" s="132"/>
      <c r="J270" s="128">
        <v>1</v>
      </c>
      <c r="K270" s="141"/>
      <c r="L270" s="141"/>
      <c r="M270" s="129">
        <v>1</v>
      </c>
      <c r="N270" s="142"/>
      <c r="O270" s="142"/>
      <c r="P270" s="142"/>
      <c r="Q270" s="134"/>
    </row>
    <row r="271" spans="2:17" ht="21" x14ac:dyDescent="0.55000000000000004">
      <c r="B271" s="126">
        <v>275</v>
      </c>
      <c r="C271" s="131" t="s">
        <v>1194</v>
      </c>
      <c r="D271" s="134" t="s">
        <v>2530</v>
      </c>
      <c r="E271" s="134">
        <v>26</v>
      </c>
      <c r="F271" s="134">
        <v>89</v>
      </c>
      <c r="G271" s="134">
        <v>31</v>
      </c>
      <c r="H271" s="131" t="s">
        <v>26</v>
      </c>
      <c r="I271" s="132"/>
      <c r="J271" s="128">
        <v>1</v>
      </c>
      <c r="K271" s="141"/>
      <c r="L271" s="141"/>
      <c r="M271" s="129">
        <v>1</v>
      </c>
      <c r="N271" s="142"/>
      <c r="O271" s="142"/>
      <c r="P271" s="142"/>
      <c r="Q271" s="134"/>
    </row>
    <row r="272" spans="2:17" ht="21" x14ac:dyDescent="0.55000000000000004">
      <c r="B272" s="126">
        <v>276</v>
      </c>
      <c r="C272" s="131" t="s">
        <v>878</v>
      </c>
      <c r="D272" s="134" t="s">
        <v>2521</v>
      </c>
      <c r="E272" s="134">
        <v>26</v>
      </c>
      <c r="F272" s="134">
        <v>23</v>
      </c>
      <c r="G272" s="134">
        <v>41</v>
      </c>
      <c r="H272" s="131" t="s">
        <v>26</v>
      </c>
      <c r="I272" s="132"/>
      <c r="J272" s="128">
        <v>1</v>
      </c>
      <c r="K272" s="141"/>
      <c r="L272" s="141"/>
      <c r="M272" s="129">
        <v>1</v>
      </c>
      <c r="N272" s="142"/>
      <c r="O272" s="142"/>
      <c r="P272" s="142"/>
      <c r="Q272" s="134"/>
    </row>
    <row r="273" spans="2:17" ht="21" x14ac:dyDescent="0.55000000000000004">
      <c r="B273" s="126">
        <v>277</v>
      </c>
      <c r="C273" s="131" t="s">
        <v>602</v>
      </c>
      <c r="D273" s="134" t="s">
        <v>2531</v>
      </c>
      <c r="E273" s="134">
        <v>26</v>
      </c>
      <c r="F273" s="134">
        <v>80</v>
      </c>
      <c r="G273" s="134">
        <v>53</v>
      </c>
      <c r="H273" s="131" t="s">
        <v>26</v>
      </c>
      <c r="I273" s="132"/>
      <c r="J273" s="128">
        <v>1</v>
      </c>
      <c r="K273" s="141"/>
      <c r="L273" s="141"/>
      <c r="M273" s="129">
        <v>1</v>
      </c>
      <c r="N273" s="142"/>
      <c r="O273" s="142"/>
      <c r="P273" s="142"/>
      <c r="Q273" s="134"/>
    </row>
    <row r="274" spans="2:17" ht="21" x14ac:dyDescent="0.55000000000000004">
      <c r="B274" s="126">
        <v>278</v>
      </c>
      <c r="C274" s="131" t="s">
        <v>123</v>
      </c>
      <c r="D274" s="134" t="s">
        <v>1698</v>
      </c>
      <c r="E274" s="134">
        <v>26</v>
      </c>
      <c r="F274" s="134">
        <v>21</v>
      </c>
      <c r="G274" s="134">
        <v>20</v>
      </c>
      <c r="H274" s="131" t="s">
        <v>26</v>
      </c>
      <c r="I274" s="132"/>
      <c r="J274" s="128">
        <v>1</v>
      </c>
      <c r="K274" s="141"/>
      <c r="L274" s="141"/>
      <c r="M274" s="129">
        <v>1</v>
      </c>
      <c r="N274" s="142"/>
      <c r="O274" s="142"/>
      <c r="P274" s="142"/>
      <c r="Q274" s="134"/>
    </row>
    <row r="275" spans="2:17" ht="21" x14ac:dyDescent="0.55000000000000004">
      <c r="B275" s="126">
        <v>279</v>
      </c>
      <c r="C275" s="131" t="s">
        <v>132</v>
      </c>
      <c r="D275" s="134" t="s">
        <v>2275</v>
      </c>
      <c r="E275" s="134">
        <v>26</v>
      </c>
      <c r="F275" s="134">
        <v>19</v>
      </c>
      <c r="G275" s="134">
        <v>47</v>
      </c>
      <c r="H275" s="131" t="s">
        <v>26</v>
      </c>
      <c r="I275" s="132"/>
      <c r="J275" s="128">
        <v>1</v>
      </c>
      <c r="K275" s="141"/>
      <c r="L275" s="141"/>
      <c r="M275" s="129">
        <v>1</v>
      </c>
      <c r="N275" s="142"/>
      <c r="O275" s="142"/>
      <c r="P275" s="142"/>
      <c r="Q275" s="134"/>
    </row>
    <row r="276" spans="2:17" ht="21" x14ac:dyDescent="0.55000000000000004">
      <c r="B276" s="126">
        <v>280</v>
      </c>
      <c r="C276" s="131" t="s">
        <v>125</v>
      </c>
      <c r="D276" s="134" t="s">
        <v>2532</v>
      </c>
      <c r="E276" s="134">
        <v>26</v>
      </c>
      <c r="F276" s="134">
        <v>32</v>
      </c>
      <c r="G276" s="134">
        <v>48</v>
      </c>
      <c r="H276" s="131" t="s">
        <v>26</v>
      </c>
      <c r="I276" s="132"/>
      <c r="J276" s="128">
        <v>1</v>
      </c>
      <c r="K276" s="141"/>
      <c r="L276" s="141"/>
      <c r="M276" s="129">
        <v>1</v>
      </c>
      <c r="N276" s="142"/>
      <c r="O276" s="142"/>
      <c r="P276" s="142"/>
      <c r="Q276" s="134"/>
    </row>
    <row r="277" spans="2:17" ht="21" x14ac:dyDescent="0.55000000000000004">
      <c r="B277" s="126">
        <v>281</v>
      </c>
      <c r="C277" s="131" t="s">
        <v>2092</v>
      </c>
      <c r="D277" s="134" t="s">
        <v>2533</v>
      </c>
      <c r="E277" s="134">
        <v>26</v>
      </c>
      <c r="F277" s="134">
        <v>6</v>
      </c>
      <c r="G277" s="134">
        <v>39</v>
      </c>
      <c r="H277" s="131" t="s">
        <v>26</v>
      </c>
      <c r="I277" s="132"/>
      <c r="J277" s="128">
        <v>1</v>
      </c>
      <c r="K277" s="141"/>
      <c r="L277" s="141"/>
      <c r="M277" s="129">
        <v>1</v>
      </c>
      <c r="N277" s="142"/>
      <c r="O277" s="142"/>
      <c r="P277" s="142"/>
      <c r="Q277" s="134"/>
    </row>
    <row r="278" spans="2:17" ht="21" x14ac:dyDescent="0.55000000000000004">
      <c r="B278" s="126">
        <v>282</v>
      </c>
      <c r="C278" s="131" t="s">
        <v>123</v>
      </c>
      <c r="D278" s="134" t="s">
        <v>2534</v>
      </c>
      <c r="E278" s="134">
        <v>26</v>
      </c>
      <c r="F278" s="134">
        <v>14</v>
      </c>
      <c r="G278" s="134">
        <v>47</v>
      </c>
      <c r="H278" s="131" t="s">
        <v>26</v>
      </c>
      <c r="I278" s="132"/>
      <c r="J278" s="128">
        <v>1</v>
      </c>
      <c r="K278" s="141"/>
      <c r="L278" s="141"/>
      <c r="M278" s="129"/>
      <c r="N278" s="142"/>
      <c r="O278" s="142"/>
      <c r="P278" s="142"/>
      <c r="Q278" s="134"/>
    </row>
    <row r="279" spans="2:17" ht="21" x14ac:dyDescent="0.55000000000000004">
      <c r="B279" s="126">
        <v>283</v>
      </c>
      <c r="C279" s="131" t="s">
        <v>1683</v>
      </c>
      <c r="D279" s="134" t="s">
        <v>2535</v>
      </c>
      <c r="E279" s="134">
        <v>26</v>
      </c>
      <c r="F279" s="134">
        <v>56</v>
      </c>
      <c r="G279" s="134">
        <v>49</v>
      </c>
      <c r="H279" s="131" t="s">
        <v>26</v>
      </c>
      <c r="I279" s="132"/>
      <c r="J279" s="128">
        <v>1</v>
      </c>
      <c r="K279" s="141"/>
      <c r="L279" s="141"/>
      <c r="M279" s="129">
        <v>1</v>
      </c>
      <c r="N279" s="142"/>
      <c r="O279" s="142"/>
      <c r="P279" s="142"/>
      <c r="Q279" s="134"/>
    </row>
    <row r="280" spans="2:17" ht="21" x14ac:dyDescent="0.55000000000000004">
      <c r="B280" s="126">
        <v>284</v>
      </c>
      <c r="C280" s="131" t="s">
        <v>138</v>
      </c>
      <c r="D280" s="134" t="s">
        <v>1070</v>
      </c>
      <c r="E280" s="134">
        <v>26</v>
      </c>
      <c r="F280" s="134">
        <v>40</v>
      </c>
      <c r="G280" s="134">
        <v>47</v>
      </c>
      <c r="H280" s="131" t="s">
        <v>26</v>
      </c>
      <c r="I280" s="132"/>
      <c r="J280" s="128">
        <v>1</v>
      </c>
      <c r="K280" s="141"/>
      <c r="L280" s="141"/>
      <c r="M280" s="129">
        <v>1</v>
      </c>
      <c r="N280" s="142"/>
      <c r="O280" s="142"/>
      <c r="P280" s="142"/>
      <c r="Q280" s="134"/>
    </row>
    <row r="281" spans="2:17" ht="21" x14ac:dyDescent="0.55000000000000004">
      <c r="B281" s="126">
        <v>285</v>
      </c>
      <c r="C281" s="131" t="s">
        <v>891</v>
      </c>
      <c r="D281" s="134" t="s">
        <v>2536</v>
      </c>
      <c r="E281" s="134">
        <v>26</v>
      </c>
      <c r="F281" s="134">
        <v>20</v>
      </c>
      <c r="G281" s="134">
        <v>43</v>
      </c>
      <c r="H281" s="131" t="s">
        <v>26</v>
      </c>
      <c r="I281" s="132"/>
      <c r="J281" s="128">
        <v>1</v>
      </c>
      <c r="K281" s="141"/>
      <c r="L281" s="141"/>
      <c r="M281" s="129">
        <v>1</v>
      </c>
      <c r="N281" s="142"/>
      <c r="O281" s="142"/>
      <c r="P281" s="142"/>
      <c r="Q281" s="134"/>
    </row>
    <row r="282" spans="2:17" ht="21" x14ac:dyDescent="0.55000000000000004">
      <c r="B282" s="126">
        <v>286</v>
      </c>
      <c r="C282" s="131" t="s">
        <v>187</v>
      </c>
      <c r="D282" s="134" t="s">
        <v>2537</v>
      </c>
      <c r="E282" s="134">
        <v>26</v>
      </c>
      <c r="F282" s="134">
        <v>42</v>
      </c>
      <c r="G282" s="134">
        <v>1</v>
      </c>
      <c r="H282" s="131" t="s">
        <v>26</v>
      </c>
      <c r="I282" s="132"/>
      <c r="J282" s="128">
        <v>1</v>
      </c>
      <c r="K282" s="141"/>
      <c r="L282" s="141"/>
      <c r="M282" s="129">
        <v>1</v>
      </c>
      <c r="N282" s="142"/>
      <c r="O282" s="142"/>
      <c r="P282" s="142"/>
      <c r="Q282" s="134"/>
    </row>
    <row r="283" spans="2:17" ht="21" x14ac:dyDescent="0.55000000000000004">
      <c r="B283" s="126">
        <v>287</v>
      </c>
      <c r="C283" s="131" t="s">
        <v>2529</v>
      </c>
      <c r="D283" s="134" t="s">
        <v>2538</v>
      </c>
      <c r="E283" s="134">
        <v>26</v>
      </c>
      <c r="F283" s="134">
        <v>37</v>
      </c>
      <c r="G283" s="134">
        <v>51</v>
      </c>
      <c r="H283" s="131" t="s">
        <v>26</v>
      </c>
      <c r="I283" s="132"/>
      <c r="J283" s="128">
        <v>1</v>
      </c>
      <c r="K283" s="141"/>
      <c r="L283" s="141"/>
      <c r="M283" s="129">
        <v>1</v>
      </c>
      <c r="N283" s="142"/>
      <c r="O283" s="142"/>
      <c r="P283" s="142"/>
      <c r="Q283" s="134"/>
    </row>
    <row r="284" spans="2:17" ht="21" x14ac:dyDescent="0.55000000000000004">
      <c r="B284" s="126">
        <v>288</v>
      </c>
      <c r="C284" s="131" t="s">
        <v>677</v>
      </c>
      <c r="D284" s="134" t="s">
        <v>2545</v>
      </c>
      <c r="E284" s="134">
        <v>26</v>
      </c>
      <c r="F284" s="134">
        <v>50</v>
      </c>
      <c r="G284" s="134">
        <v>34</v>
      </c>
      <c r="H284" s="131" t="s">
        <v>26</v>
      </c>
      <c r="I284" s="132"/>
      <c r="J284" s="128">
        <v>1</v>
      </c>
      <c r="K284" s="141"/>
      <c r="L284" s="141"/>
      <c r="M284" s="129">
        <v>1</v>
      </c>
      <c r="N284" s="142"/>
      <c r="O284" s="142"/>
      <c r="P284" s="142"/>
      <c r="Q284" s="134"/>
    </row>
    <row r="285" spans="2:17" ht="21" x14ac:dyDescent="0.55000000000000004">
      <c r="B285" s="126">
        <v>289</v>
      </c>
      <c r="C285" s="131" t="s">
        <v>132</v>
      </c>
      <c r="D285" s="134" t="s">
        <v>982</v>
      </c>
      <c r="E285" s="134">
        <v>26</v>
      </c>
      <c r="F285" s="134">
        <v>57</v>
      </c>
      <c r="G285" s="134">
        <v>19</v>
      </c>
      <c r="H285" s="131" t="s">
        <v>26</v>
      </c>
      <c r="I285" s="132"/>
      <c r="J285" s="128">
        <v>1</v>
      </c>
      <c r="K285" s="141"/>
      <c r="L285" s="141"/>
      <c r="M285" s="129">
        <v>1</v>
      </c>
      <c r="N285" s="142"/>
      <c r="O285" s="142"/>
      <c r="P285" s="142"/>
      <c r="Q285" s="134"/>
    </row>
    <row r="286" spans="2:17" ht="21" x14ac:dyDescent="0.55000000000000004">
      <c r="B286" s="126">
        <v>290</v>
      </c>
      <c r="C286" s="131" t="s">
        <v>712</v>
      </c>
      <c r="D286" s="134" t="s">
        <v>2546</v>
      </c>
      <c r="E286" s="134">
        <v>26</v>
      </c>
      <c r="F286" s="134">
        <v>78</v>
      </c>
      <c r="G286" s="134">
        <v>14</v>
      </c>
      <c r="H286" s="131" t="s">
        <v>26</v>
      </c>
      <c r="I286" s="132"/>
      <c r="J286" s="128">
        <v>1</v>
      </c>
      <c r="K286" s="141"/>
      <c r="L286" s="141"/>
      <c r="M286" s="129">
        <v>1</v>
      </c>
      <c r="N286" s="142"/>
      <c r="O286" s="142"/>
      <c r="P286" s="142"/>
      <c r="Q286" s="134"/>
    </row>
    <row r="287" spans="2:17" ht="21" x14ac:dyDescent="0.55000000000000004">
      <c r="B287" s="126">
        <v>291</v>
      </c>
      <c r="C287" s="131" t="s">
        <v>932</v>
      </c>
      <c r="D287" s="134" t="s">
        <v>2547</v>
      </c>
      <c r="E287" s="134">
        <v>26</v>
      </c>
      <c r="F287" s="134">
        <v>59</v>
      </c>
      <c r="G287" s="134">
        <v>14</v>
      </c>
      <c r="H287" s="131" t="s">
        <v>26</v>
      </c>
      <c r="I287" s="132"/>
      <c r="J287" s="128">
        <v>1</v>
      </c>
      <c r="K287" s="141"/>
      <c r="L287" s="141"/>
      <c r="M287" s="129">
        <v>1</v>
      </c>
      <c r="N287" s="142"/>
      <c r="O287" s="142"/>
      <c r="P287" s="142"/>
      <c r="Q287" s="134"/>
    </row>
    <row r="288" spans="2:17" ht="21" x14ac:dyDescent="0.55000000000000004">
      <c r="B288" s="126">
        <v>292</v>
      </c>
      <c r="C288" s="131" t="s">
        <v>302</v>
      </c>
      <c r="D288" s="134" t="s">
        <v>2548</v>
      </c>
      <c r="E288" s="134">
        <v>26</v>
      </c>
      <c r="F288" s="134">
        <v>80</v>
      </c>
      <c r="G288" s="134">
        <v>13</v>
      </c>
      <c r="H288" s="131" t="s">
        <v>26</v>
      </c>
      <c r="I288" s="132"/>
      <c r="J288" s="128">
        <v>1</v>
      </c>
      <c r="K288" s="141"/>
      <c r="L288" s="141"/>
      <c r="M288" s="129">
        <v>1</v>
      </c>
      <c r="N288" s="142"/>
      <c r="O288" s="142"/>
      <c r="P288" s="142"/>
      <c r="Q288" s="134"/>
    </row>
    <row r="289" spans="2:17" ht="21" x14ac:dyDescent="0.55000000000000004">
      <c r="B289" s="126">
        <v>293</v>
      </c>
      <c r="C289" s="131" t="s">
        <v>311</v>
      </c>
      <c r="D289" s="134" t="s">
        <v>771</v>
      </c>
      <c r="E289" s="134">
        <v>26</v>
      </c>
      <c r="F289" s="134">
        <v>94</v>
      </c>
      <c r="G289" s="134">
        <v>3</v>
      </c>
      <c r="H289" s="131" t="s">
        <v>26</v>
      </c>
      <c r="I289" s="132"/>
      <c r="J289" s="128">
        <v>1</v>
      </c>
      <c r="K289" s="141"/>
      <c r="L289" s="141"/>
      <c r="M289" s="129">
        <v>1</v>
      </c>
      <c r="N289" s="142"/>
      <c r="O289" s="142"/>
      <c r="P289" s="142"/>
      <c r="Q289" s="134"/>
    </row>
    <row r="290" spans="2:17" ht="21" x14ac:dyDescent="0.55000000000000004">
      <c r="B290" s="126">
        <v>294</v>
      </c>
      <c r="C290" s="131" t="s">
        <v>731</v>
      </c>
      <c r="D290" s="134" t="s">
        <v>2549</v>
      </c>
      <c r="E290" s="134">
        <v>26</v>
      </c>
      <c r="F290" s="134">
        <v>75</v>
      </c>
      <c r="G290" s="134">
        <v>21</v>
      </c>
      <c r="H290" s="131" t="s">
        <v>26</v>
      </c>
      <c r="I290" s="132"/>
      <c r="J290" s="128">
        <v>1</v>
      </c>
      <c r="K290" s="141"/>
      <c r="L290" s="141"/>
      <c r="M290" s="129">
        <v>1</v>
      </c>
      <c r="N290" s="142"/>
      <c r="O290" s="142"/>
      <c r="P290" s="142"/>
      <c r="Q290" s="134"/>
    </row>
    <row r="291" spans="2:17" ht="21" x14ac:dyDescent="0.55000000000000004">
      <c r="B291" s="126">
        <v>295</v>
      </c>
      <c r="C291" s="131" t="s">
        <v>984</v>
      </c>
      <c r="D291" s="134" t="s">
        <v>2550</v>
      </c>
      <c r="E291" s="134">
        <v>26</v>
      </c>
      <c r="F291" s="134">
        <v>67</v>
      </c>
      <c r="G291" s="134">
        <v>18</v>
      </c>
      <c r="H291" s="131" t="s">
        <v>26</v>
      </c>
      <c r="I291" s="132"/>
      <c r="J291" s="128">
        <v>1</v>
      </c>
      <c r="K291" s="141"/>
      <c r="L291" s="141"/>
      <c r="M291" s="129">
        <v>1</v>
      </c>
      <c r="N291" s="142"/>
      <c r="O291" s="142"/>
      <c r="P291" s="142"/>
      <c r="Q291" s="134"/>
    </row>
    <row r="292" spans="2:17" ht="21" x14ac:dyDescent="0.55000000000000004">
      <c r="B292" s="126">
        <v>296</v>
      </c>
      <c r="C292" s="131" t="s">
        <v>781</v>
      </c>
      <c r="D292" s="134" t="s">
        <v>2551</v>
      </c>
      <c r="E292" s="134">
        <v>26</v>
      </c>
      <c r="F292" s="134">
        <v>39</v>
      </c>
      <c r="G292" s="134">
        <v>6</v>
      </c>
      <c r="H292" s="131" t="s">
        <v>26</v>
      </c>
      <c r="I292" s="132"/>
      <c r="J292" s="128">
        <v>1</v>
      </c>
      <c r="K292" s="141"/>
      <c r="L292" s="141"/>
      <c r="M292" s="129">
        <v>1</v>
      </c>
      <c r="N292" s="142"/>
      <c r="O292" s="142"/>
      <c r="P292" s="142"/>
      <c r="Q292" s="134"/>
    </row>
    <row r="293" spans="2:17" ht="21" x14ac:dyDescent="0.55000000000000004">
      <c r="B293" s="126">
        <v>297</v>
      </c>
      <c r="C293" s="131" t="s">
        <v>2543</v>
      </c>
      <c r="D293" s="134" t="s">
        <v>2552</v>
      </c>
      <c r="E293" s="134">
        <v>26</v>
      </c>
      <c r="F293" s="134">
        <v>18</v>
      </c>
      <c r="G293" s="134">
        <v>53</v>
      </c>
      <c r="H293" s="131" t="s">
        <v>26</v>
      </c>
      <c r="I293" s="132"/>
      <c r="J293" s="128">
        <v>1</v>
      </c>
      <c r="K293" s="141"/>
      <c r="L293" s="141"/>
      <c r="M293" s="129">
        <v>1</v>
      </c>
      <c r="N293" s="142"/>
      <c r="O293" s="142"/>
      <c r="P293" s="142"/>
      <c r="Q293" s="134"/>
    </row>
    <row r="294" spans="2:17" ht="21" x14ac:dyDescent="0.55000000000000004">
      <c r="B294" s="126">
        <v>298</v>
      </c>
      <c r="C294" s="131" t="s">
        <v>2544</v>
      </c>
      <c r="D294" s="134" t="s">
        <v>1839</v>
      </c>
      <c r="E294" s="134">
        <v>26</v>
      </c>
      <c r="F294" s="134">
        <v>21</v>
      </c>
      <c r="G294" s="134">
        <v>52</v>
      </c>
      <c r="H294" s="131" t="s">
        <v>26</v>
      </c>
      <c r="I294" s="132"/>
      <c r="J294" s="128">
        <v>1</v>
      </c>
      <c r="K294" s="141"/>
      <c r="L294" s="141"/>
      <c r="M294" s="129">
        <v>1</v>
      </c>
      <c r="N294" s="142"/>
      <c r="O294" s="142"/>
      <c r="P294" s="142"/>
      <c r="Q294" s="134"/>
    </row>
    <row r="295" spans="2:17" ht="21" x14ac:dyDescent="0.55000000000000004">
      <c r="B295" s="126">
        <v>299</v>
      </c>
      <c r="C295" s="131" t="s">
        <v>135</v>
      </c>
      <c r="D295" s="134" t="s">
        <v>2553</v>
      </c>
      <c r="E295" s="134">
        <v>26</v>
      </c>
      <c r="F295" s="134">
        <v>40</v>
      </c>
      <c r="G295" s="134">
        <v>53</v>
      </c>
      <c r="H295" s="131" t="s">
        <v>26</v>
      </c>
      <c r="I295" s="132"/>
      <c r="J295" s="128">
        <v>1</v>
      </c>
      <c r="K295" s="141"/>
      <c r="L295" s="141"/>
      <c r="M295" s="129">
        <v>1</v>
      </c>
      <c r="N295" s="142"/>
      <c r="O295" s="142"/>
      <c r="P295" s="142"/>
      <c r="Q295" s="134"/>
    </row>
    <row r="296" spans="2:17" ht="21" x14ac:dyDescent="0.55000000000000004">
      <c r="B296" s="126">
        <v>300</v>
      </c>
      <c r="C296" s="131" t="s">
        <v>960</v>
      </c>
      <c r="D296" s="134" t="s">
        <v>38</v>
      </c>
      <c r="E296" s="134">
        <v>26</v>
      </c>
      <c r="F296" s="134">
        <v>34</v>
      </c>
      <c r="G296" s="134">
        <v>50</v>
      </c>
      <c r="H296" s="131" t="s">
        <v>26</v>
      </c>
      <c r="I296" s="132"/>
      <c r="J296" s="128">
        <v>1</v>
      </c>
      <c r="K296" s="141"/>
      <c r="L296" s="141"/>
      <c r="M296" s="129">
        <v>1</v>
      </c>
      <c r="N296" s="142"/>
      <c r="O296" s="142"/>
      <c r="P296" s="142"/>
      <c r="Q296" s="134"/>
    </row>
    <row r="297" spans="2:17" ht="21" x14ac:dyDescent="0.55000000000000004">
      <c r="B297" s="126">
        <v>301</v>
      </c>
      <c r="C297" s="131" t="s">
        <v>961</v>
      </c>
      <c r="D297" s="134" t="s">
        <v>2554</v>
      </c>
      <c r="E297" s="134">
        <v>26</v>
      </c>
      <c r="F297" s="134">
        <v>23</v>
      </c>
      <c r="G297" s="134">
        <v>49</v>
      </c>
      <c r="H297" s="131" t="s">
        <v>26</v>
      </c>
      <c r="I297" s="132"/>
      <c r="J297" s="128">
        <v>1</v>
      </c>
      <c r="K297" s="141"/>
      <c r="L297" s="141"/>
      <c r="M297" s="129">
        <v>1</v>
      </c>
      <c r="N297" s="142"/>
      <c r="O297" s="142"/>
      <c r="P297" s="142"/>
      <c r="Q297" s="134"/>
    </row>
    <row r="298" spans="2:17" ht="21" x14ac:dyDescent="0.55000000000000004">
      <c r="B298" s="126">
        <v>302</v>
      </c>
      <c r="C298" s="131" t="s">
        <v>270</v>
      </c>
      <c r="D298" s="134" t="s">
        <v>2555</v>
      </c>
      <c r="E298" s="134">
        <v>26</v>
      </c>
      <c r="F298" s="134">
        <v>43</v>
      </c>
      <c r="G298" s="134">
        <v>51</v>
      </c>
      <c r="H298" s="131" t="s">
        <v>26</v>
      </c>
      <c r="I298" s="132"/>
      <c r="J298" s="128">
        <v>1</v>
      </c>
      <c r="K298" s="141"/>
      <c r="L298" s="141"/>
      <c r="M298" s="129">
        <v>1</v>
      </c>
      <c r="N298" s="142"/>
      <c r="O298" s="142"/>
      <c r="P298" s="142"/>
      <c r="Q298" s="134"/>
    </row>
    <row r="299" spans="2:17" ht="21" x14ac:dyDescent="0.55000000000000004">
      <c r="B299" s="126">
        <v>303</v>
      </c>
      <c r="C299" s="131" t="s">
        <v>296</v>
      </c>
      <c r="D299" s="134" t="s">
        <v>2556</v>
      </c>
      <c r="E299" s="134">
        <v>26</v>
      </c>
      <c r="F299" s="134">
        <v>24</v>
      </c>
      <c r="G299" s="134">
        <v>53</v>
      </c>
      <c r="H299" s="131" t="s">
        <v>26</v>
      </c>
      <c r="I299" s="132"/>
      <c r="J299" s="128">
        <v>1</v>
      </c>
      <c r="K299" s="141"/>
      <c r="L299" s="141"/>
      <c r="M299" s="129">
        <v>1</v>
      </c>
      <c r="N299" s="142"/>
      <c r="O299" s="142"/>
      <c r="P299" s="142"/>
      <c r="Q299" s="134"/>
    </row>
    <row r="300" spans="2:17" ht="21" x14ac:dyDescent="0.55000000000000004">
      <c r="B300" s="126">
        <v>304</v>
      </c>
      <c r="C300" s="131" t="s">
        <v>203</v>
      </c>
      <c r="D300" s="134" t="s">
        <v>2557</v>
      </c>
      <c r="E300" s="134">
        <v>26</v>
      </c>
      <c r="F300" s="134">
        <v>5</v>
      </c>
      <c r="G300" s="134">
        <v>51</v>
      </c>
      <c r="H300" s="131" t="s">
        <v>26</v>
      </c>
      <c r="I300" s="132"/>
      <c r="J300" s="128">
        <v>1</v>
      </c>
      <c r="K300" s="141"/>
      <c r="L300" s="141"/>
      <c r="M300" s="129">
        <v>1</v>
      </c>
      <c r="N300" s="142"/>
      <c r="O300" s="142"/>
      <c r="P300" s="142"/>
      <c r="Q300" s="134"/>
    </row>
    <row r="301" spans="2:17" ht="21" x14ac:dyDescent="0.55000000000000004">
      <c r="B301" s="126">
        <v>305</v>
      </c>
      <c r="C301" s="131" t="s">
        <v>2558</v>
      </c>
      <c r="D301" s="134" t="s">
        <v>2559</v>
      </c>
      <c r="E301" s="134">
        <v>26</v>
      </c>
      <c r="F301" s="134">
        <v>84</v>
      </c>
      <c r="G301" s="134">
        <v>16</v>
      </c>
      <c r="H301" s="131" t="s">
        <v>26</v>
      </c>
      <c r="I301" s="132"/>
      <c r="J301" s="128">
        <v>1</v>
      </c>
      <c r="K301" s="141"/>
      <c r="L301" s="141"/>
      <c r="M301" s="129">
        <v>1</v>
      </c>
      <c r="N301" s="142"/>
      <c r="O301" s="142"/>
      <c r="P301" s="142"/>
      <c r="Q301" s="134"/>
    </row>
    <row r="302" spans="2:17" ht="21" x14ac:dyDescent="0.55000000000000004">
      <c r="B302" s="126">
        <v>306</v>
      </c>
      <c r="C302" s="131" t="s">
        <v>2261</v>
      </c>
      <c r="D302" s="134" t="s">
        <v>2560</v>
      </c>
      <c r="E302" s="134">
        <v>26</v>
      </c>
      <c r="F302" s="134">
        <v>87</v>
      </c>
      <c r="G302" s="134">
        <v>20</v>
      </c>
      <c r="H302" s="131" t="s">
        <v>26</v>
      </c>
      <c r="I302" s="132"/>
      <c r="J302" s="128">
        <v>1</v>
      </c>
      <c r="K302" s="141"/>
      <c r="L302" s="141"/>
      <c r="M302" s="129">
        <v>1</v>
      </c>
      <c r="N302" s="142"/>
      <c r="O302" s="142"/>
      <c r="P302" s="142"/>
      <c r="Q302" s="134"/>
    </row>
    <row r="303" spans="2:17" ht="21" x14ac:dyDescent="0.55000000000000004">
      <c r="B303" s="126">
        <v>307</v>
      </c>
      <c r="C303" s="131" t="s">
        <v>366</v>
      </c>
      <c r="D303" s="134" t="s">
        <v>2624</v>
      </c>
      <c r="E303" s="134">
        <v>26</v>
      </c>
      <c r="F303" s="134">
        <v>78</v>
      </c>
      <c r="G303" s="134">
        <v>7</v>
      </c>
      <c r="H303" s="131" t="s">
        <v>26</v>
      </c>
      <c r="I303" s="132"/>
      <c r="J303" s="128">
        <v>1</v>
      </c>
      <c r="K303" s="141"/>
      <c r="L303" s="141"/>
      <c r="M303" s="129">
        <v>1</v>
      </c>
      <c r="N303" s="142"/>
      <c r="O303" s="142"/>
      <c r="P303" s="142"/>
      <c r="Q303" s="134"/>
    </row>
    <row r="304" spans="2:17" ht="21" x14ac:dyDescent="0.55000000000000004">
      <c r="B304" s="126">
        <v>308</v>
      </c>
      <c r="C304" s="131" t="s">
        <v>600</v>
      </c>
      <c r="D304" s="134" t="s">
        <v>6</v>
      </c>
      <c r="E304" s="134">
        <v>26</v>
      </c>
      <c r="F304" s="134">
        <v>91</v>
      </c>
      <c r="G304" s="134">
        <v>10</v>
      </c>
      <c r="H304" s="131" t="s">
        <v>26</v>
      </c>
      <c r="I304" s="132">
        <v>0</v>
      </c>
      <c r="J304" s="128">
        <v>1</v>
      </c>
      <c r="K304" s="141"/>
      <c r="L304" s="141"/>
      <c r="M304" s="129">
        <v>1</v>
      </c>
      <c r="N304" s="142"/>
      <c r="O304" s="142"/>
      <c r="P304" s="142"/>
      <c r="Q304" s="134"/>
    </row>
    <row r="305" spans="1:17" ht="21" x14ac:dyDescent="0.55000000000000004">
      <c r="B305" s="126">
        <v>309</v>
      </c>
      <c r="C305" s="131" t="s">
        <v>2625</v>
      </c>
      <c r="D305" s="134" t="s">
        <v>67</v>
      </c>
      <c r="E305" s="134">
        <v>26</v>
      </c>
      <c r="F305" s="134">
        <v>98</v>
      </c>
      <c r="G305" s="134">
        <v>21</v>
      </c>
      <c r="H305" s="131" t="s">
        <v>26</v>
      </c>
      <c r="I305" s="132"/>
      <c r="J305" s="128">
        <v>1</v>
      </c>
      <c r="K305" s="141"/>
      <c r="L305" s="141"/>
      <c r="M305" s="129">
        <v>1</v>
      </c>
      <c r="N305" s="142"/>
      <c r="O305" s="142"/>
      <c r="P305" s="142"/>
      <c r="Q305" s="134"/>
    </row>
    <row r="306" spans="1:17" ht="21" x14ac:dyDescent="0.55000000000000004">
      <c r="B306" s="126">
        <v>310</v>
      </c>
      <c r="C306" s="131" t="s">
        <v>2626</v>
      </c>
      <c r="D306" s="134" t="s">
        <v>2627</v>
      </c>
      <c r="E306" s="134">
        <v>26</v>
      </c>
      <c r="F306" s="134">
        <v>97</v>
      </c>
      <c r="G306" s="134">
        <v>21</v>
      </c>
      <c r="H306" s="131" t="s">
        <v>26</v>
      </c>
      <c r="I306" s="132"/>
      <c r="J306" s="128">
        <v>1</v>
      </c>
      <c r="K306" s="141"/>
      <c r="L306" s="141"/>
      <c r="M306" s="129">
        <v>1</v>
      </c>
      <c r="N306" s="142"/>
      <c r="O306" s="142"/>
      <c r="P306" s="142"/>
      <c r="Q306" s="134"/>
    </row>
    <row r="307" spans="1:17" ht="21" x14ac:dyDescent="0.55000000000000004">
      <c r="B307" s="126">
        <v>311</v>
      </c>
      <c r="C307" s="131" t="s">
        <v>937</v>
      </c>
      <c r="D307" s="134" t="s">
        <v>2628</v>
      </c>
      <c r="E307" s="134">
        <v>26</v>
      </c>
      <c r="F307" s="134">
        <v>89</v>
      </c>
      <c r="G307" s="134">
        <v>27</v>
      </c>
      <c r="H307" s="131" t="s">
        <v>26</v>
      </c>
      <c r="I307" s="132"/>
      <c r="J307" s="128">
        <v>1</v>
      </c>
      <c r="K307" s="141"/>
      <c r="L307" s="141"/>
      <c r="M307" s="129"/>
      <c r="N307" s="142"/>
      <c r="O307" s="142"/>
      <c r="P307" s="142"/>
      <c r="Q307" s="134"/>
    </row>
    <row r="308" spans="1:17" ht="21" x14ac:dyDescent="0.55000000000000004">
      <c r="B308" s="126">
        <v>312</v>
      </c>
      <c r="C308" s="131" t="s">
        <v>878</v>
      </c>
      <c r="D308" s="134" t="s">
        <v>2629</v>
      </c>
      <c r="E308" s="134">
        <v>26</v>
      </c>
      <c r="F308" s="134">
        <v>89</v>
      </c>
      <c r="G308" s="134">
        <v>25</v>
      </c>
      <c r="H308" s="131" t="s">
        <v>26</v>
      </c>
      <c r="I308" s="132"/>
      <c r="J308" s="128">
        <v>1</v>
      </c>
      <c r="K308" s="141"/>
      <c r="L308" s="141"/>
      <c r="M308" s="129">
        <v>1</v>
      </c>
      <c r="N308" s="142"/>
      <c r="O308" s="142"/>
      <c r="P308" s="142"/>
      <c r="Q308" s="134"/>
    </row>
    <row r="309" spans="1:17" ht="21" x14ac:dyDescent="0.55000000000000004">
      <c r="B309" s="126">
        <v>313</v>
      </c>
      <c r="C309" s="131" t="s">
        <v>1478</v>
      </c>
      <c r="D309" s="134" t="s">
        <v>1839</v>
      </c>
      <c r="E309" s="134">
        <v>26</v>
      </c>
      <c r="F309" s="134">
        <v>93</v>
      </c>
      <c r="G309" s="134">
        <v>37</v>
      </c>
      <c r="H309" s="131" t="s">
        <v>26</v>
      </c>
      <c r="I309" s="132"/>
      <c r="J309" s="128">
        <v>1</v>
      </c>
      <c r="K309" s="141"/>
      <c r="L309" s="141"/>
      <c r="M309" s="129">
        <v>1</v>
      </c>
      <c r="N309" s="142"/>
      <c r="O309" s="142"/>
      <c r="P309" s="142"/>
      <c r="Q309" s="134"/>
    </row>
    <row r="310" spans="1:17" ht="21" x14ac:dyDescent="0.55000000000000004">
      <c r="B310" s="126">
        <v>314</v>
      </c>
      <c r="C310" s="131" t="s">
        <v>2630</v>
      </c>
      <c r="D310" s="134" t="s">
        <v>2631</v>
      </c>
      <c r="E310" s="134">
        <v>26</v>
      </c>
      <c r="F310" s="134">
        <v>82</v>
      </c>
      <c r="G310" s="134">
        <v>29</v>
      </c>
      <c r="H310" s="131" t="s">
        <v>26</v>
      </c>
      <c r="I310" s="131"/>
      <c r="J310" s="131">
        <v>1</v>
      </c>
      <c r="K310" s="141"/>
      <c r="L310" s="141"/>
      <c r="M310" s="141"/>
      <c r="N310" s="142"/>
      <c r="O310" s="142"/>
      <c r="P310" s="142"/>
      <c r="Q310" s="134"/>
    </row>
    <row r="311" spans="1:17" x14ac:dyDescent="0.55000000000000004">
      <c r="A311" s="131"/>
      <c r="B311" s="126">
        <v>315</v>
      </c>
      <c r="C311" s="131" t="s">
        <v>2199</v>
      </c>
      <c r="D311" s="131" t="s">
        <v>2685</v>
      </c>
      <c r="E311" s="131">
        <v>26</v>
      </c>
      <c r="F311" s="131">
        <v>81</v>
      </c>
      <c r="G311" s="131">
        <v>43</v>
      </c>
      <c r="H311" s="127" t="s">
        <v>26</v>
      </c>
      <c r="I311" s="131"/>
      <c r="J311" s="132">
        <v>1</v>
      </c>
      <c r="K311" s="143"/>
      <c r="L311" s="143"/>
      <c r="M311" s="143"/>
      <c r="N311" s="144"/>
      <c r="O311" s="144"/>
      <c r="P311" s="144"/>
      <c r="Q311" s="145"/>
    </row>
    <row r="312" spans="1:17" x14ac:dyDescent="0.55000000000000004">
      <c r="A312" s="131"/>
      <c r="B312" s="126">
        <v>316</v>
      </c>
      <c r="C312" s="131" t="s">
        <v>179</v>
      </c>
      <c r="D312" s="131" t="s">
        <v>2686</v>
      </c>
      <c r="E312" s="131">
        <v>26</v>
      </c>
      <c r="F312" s="131">
        <v>79</v>
      </c>
      <c r="G312" s="131">
        <v>50</v>
      </c>
      <c r="H312" s="127" t="s">
        <v>26</v>
      </c>
      <c r="I312" s="131"/>
      <c r="J312" s="132">
        <v>1</v>
      </c>
      <c r="K312" s="143"/>
      <c r="L312" s="143"/>
      <c r="M312" s="141">
        <v>1</v>
      </c>
      <c r="N312" s="144"/>
      <c r="O312" s="144"/>
      <c r="P312" s="144"/>
      <c r="Q312" s="145"/>
    </row>
    <row r="313" spans="1:17" x14ac:dyDescent="0.55000000000000004">
      <c r="A313" s="131"/>
      <c r="B313" s="126">
        <v>317</v>
      </c>
      <c r="C313" s="131" t="s">
        <v>138</v>
      </c>
      <c r="D313" s="131" t="s">
        <v>2687</v>
      </c>
      <c r="E313" s="131">
        <v>26</v>
      </c>
      <c r="F313" s="131">
        <v>81</v>
      </c>
      <c r="G313" s="131">
        <v>50</v>
      </c>
      <c r="H313" s="127" t="s">
        <v>26</v>
      </c>
      <c r="I313" s="131"/>
      <c r="J313" s="132">
        <v>1</v>
      </c>
      <c r="K313" s="143"/>
      <c r="L313" s="143"/>
      <c r="M313" s="143">
        <v>1</v>
      </c>
      <c r="N313" s="144"/>
      <c r="O313" s="144"/>
      <c r="P313" s="144"/>
      <c r="Q313" s="145"/>
    </row>
    <row r="314" spans="1:17" x14ac:dyDescent="0.55000000000000004">
      <c r="A314" s="131"/>
      <c r="B314" s="126">
        <v>318</v>
      </c>
      <c r="C314" s="131" t="s">
        <v>1210</v>
      </c>
      <c r="D314" s="131" t="s">
        <v>2689</v>
      </c>
      <c r="E314" s="131">
        <v>26</v>
      </c>
      <c r="F314" s="131">
        <v>79</v>
      </c>
      <c r="G314" s="131">
        <v>53</v>
      </c>
      <c r="H314" s="127" t="s">
        <v>26</v>
      </c>
      <c r="I314" s="131"/>
      <c r="J314" s="132">
        <v>1</v>
      </c>
      <c r="K314" s="143"/>
      <c r="L314" s="143"/>
      <c r="M314" s="141"/>
      <c r="N314" s="144"/>
      <c r="O314" s="144"/>
      <c r="P314" s="144"/>
      <c r="Q314" s="145"/>
    </row>
    <row r="315" spans="1:17" x14ac:dyDescent="0.55000000000000004">
      <c r="A315" s="131"/>
      <c r="B315" s="126">
        <v>319</v>
      </c>
      <c r="C315" s="131" t="s">
        <v>230</v>
      </c>
      <c r="D315" s="131" t="s">
        <v>2690</v>
      </c>
      <c r="E315" s="131">
        <v>26</v>
      </c>
      <c r="F315" s="131">
        <v>79</v>
      </c>
      <c r="G315" s="131">
        <v>53</v>
      </c>
      <c r="H315" s="127" t="s">
        <v>26</v>
      </c>
      <c r="I315" s="131"/>
      <c r="J315" s="132">
        <v>1</v>
      </c>
      <c r="K315" s="143"/>
      <c r="L315" s="143"/>
      <c r="M315" s="141"/>
      <c r="N315" s="144"/>
      <c r="O315" s="144"/>
      <c r="P315" s="144"/>
      <c r="Q315" s="145"/>
    </row>
    <row r="316" spans="1:17" x14ac:dyDescent="0.55000000000000004">
      <c r="A316" s="131"/>
      <c r="B316" s="126">
        <v>320</v>
      </c>
      <c r="C316" s="131" t="s">
        <v>138</v>
      </c>
      <c r="D316" s="131" t="s">
        <v>2691</v>
      </c>
      <c r="E316" s="131">
        <v>26</v>
      </c>
      <c r="F316" s="131">
        <v>62</v>
      </c>
      <c r="G316" s="131">
        <v>48</v>
      </c>
      <c r="H316" s="131" t="s">
        <v>12</v>
      </c>
      <c r="I316" s="131">
        <v>1</v>
      </c>
      <c r="J316" s="132"/>
      <c r="K316" s="143"/>
      <c r="L316" s="143"/>
      <c r="M316" s="143"/>
      <c r="N316" s="144"/>
      <c r="O316" s="144"/>
      <c r="P316" s="144"/>
      <c r="Q316" s="145"/>
    </row>
    <row r="317" spans="1:17" x14ac:dyDescent="0.55000000000000004">
      <c r="A317" s="131"/>
      <c r="B317" s="126">
        <v>321</v>
      </c>
      <c r="C317" s="131" t="s">
        <v>1108</v>
      </c>
      <c r="D317" s="131" t="s">
        <v>2692</v>
      </c>
      <c r="E317" s="131">
        <v>26</v>
      </c>
      <c r="F317" s="131">
        <v>64</v>
      </c>
      <c r="G317" s="131">
        <v>48</v>
      </c>
      <c r="H317" s="131" t="s">
        <v>12</v>
      </c>
      <c r="I317" s="131">
        <v>1</v>
      </c>
      <c r="J317" s="132"/>
      <c r="K317" s="143"/>
      <c r="L317" s="143"/>
      <c r="M317" s="143"/>
      <c r="N317" s="144"/>
      <c r="O317" s="144"/>
      <c r="P317" s="144"/>
      <c r="Q317" s="145"/>
    </row>
    <row r="318" spans="1:17" x14ac:dyDescent="0.55000000000000004">
      <c r="A318" s="131"/>
      <c r="B318" s="126">
        <v>322</v>
      </c>
      <c r="C318" s="131" t="s">
        <v>712</v>
      </c>
      <c r="D318" s="131" t="s">
        <v>2693</v>
      </c>
      <c r="E318" s="131">
        <v>26</v>
      </c>
      <c r="F318" s="131">
        <v>58</v>
      </c>
      <c r="G318" s="131">
        <v>44</v>
      </c>
      <c r="H318" s="131" t="s">
        <v>12</v>
      </c>
      <c r="I318" s="131">
        <v>1</v>
      </c>
      <c r="J318" s="132"/>
      <c r="K318" s="143"/>
      <c r="L318" s="143"/>
      <c r="M318" s="143"/>
      <c r="N318" s="144"/>
      <c r="O318" s="144"/>
      <c r="P318" s="144"/>
      <c r="Q318" s="145"/>
    </row>
    <row r="319" spans="1:17" x14ac:dyDescent="0.55000000000000004">
      <c r="A319" s="131"/>
      <c r="B319" s="126">
        <v>323</v>
      </c>
      <c r="C319" s="131" t="s">
        <v>270</v>
      </c>
      <c r="D319" s="131" t="s">
        <v>1128</v>
      </c>
      <c r="E319" s="131">
        <v>26</v>
      </c>
      <c r="F319" s="131">
        <v>34</v>
      </c>
      <c r="G319" s="131">
        <v>38</v>
      </c>
      <c r="H319" s="127" t="s">
        <v>26</v>
      </c>
      <c r="I319" s="131"/>
      <c r="J319" s="132">
        <v>1</v>
      </c>
      <c r="K319" s="143"/>
      <c r="L319" s="143"/>
      <c r="M319" s="143"/>
      <c r="N319" s="144"/>
      <c r="O319" s="144"/>
      <c r="P319" s="144"/>
      <c r="Q319" s="145"/>
    </row>
    <row r="320" spans="1:17" x14ac:dyDescent="0.55000000000000004">
      <c r="A320" s="131"/>
      <c r="B320" s="126">
        <v>324</v>
      </c>
      <c r="C320" s="131" t="s">
        <v>138</v>
      </c>
      <c r="D320" s="131" t="s">
        <v>2694</v>
      </c>
      <c r="E320" s="131">
        <v>26</v>
      </c>
      <c r="F320" s="131">
        <v>18</v>
      </c>
      <c r="G320" s="131">
        <v>43</v>
      </c>
      <c r="H320" s="127" t="s">
        <v>26</v>
      </c>
      <c r="I320" s="131"/>
      <c r="J320" s="132">
        <v>1</v>
      </c>
      <c r="K320" s="143"/>
      <c r="L320" s="143"/>
      <c r="M320" s="143"/>
      <c r="N320" s="144"/>
      <c r="O320" s="144"/>
      <c r="P320" s="144"/>
      <c r="Q320" s="145"/>
    </row>
    <row r="321" spans="1:17" x14ac:dyDescent="0.55000000000000004">
      <c r="A321" s="131"/>
      <c r="B321" s="126">
        <v>325</v>
      </c>
      <c r="C321" s="131" t="s">
        <v>203</v>
      </c>
      <c r="D321" s="131" t="s">
        <v>2695</v>
      </c>
      <c r="E321" s="131">
        <v>26</v>
      </c>
      <c r="F321" s="131">
        <v>43</v>
      </c>
      <c r="G321" s="131">
        <v>46</v>
      </c>
      <c r="H321" s="127" t="s">
        <v>26</v>
      </c>
      <c r="I321" s="131"/>
      <c r="J321" s="132">
        <v>1</v>
      </c>
      <c r="K321" s="143"/>
      <c r="L321" s="143"/>
      <c r="M321" s="143"/>
      <c r="N321" s="144"/>
      <c r="O321" s="144"/>
      <c r="P321" s="144"/>
      <c r="Q321" s="145"/>
    </row>
    <row r="322" spans="1:17" x14ac:dyDescent="0.55000000000000004">
      <c r="A322" s="131"/>
      <c r="B322" s="126">
        <v>326</v>
      </c>
      <c r="C322" s="131" t="s">
        <v>187</v>
      </c>
      <c r="D322" s="131" t="s">
        <v>2696</v>
      </c>
      <c r="E322" s="131">
        <v>26</v>
      </c>
      <c r="F322" s="131">
        <v>55</v>
      </c>
      <c r="G322" s="131">
        <v>47</v>
      </c>
      <c r="H322" s="127" t="s">
        <v>26</v>
      </c>
      <c r="I322" s="131"/>
      <c r="J322" s="132">
        <v>1</v>
      </c>
      <c r="K322" s="143"/>
      <c r="L322" s="143"/>
      <c r="M322" s="143"/>
      <c r="N322" s="144"/>
      <c r="O322" s="144"/>
      <c r="P322" s="144"/>
      <c r="Q322" s="145"/>
    </row>
    <row r="323" spans="1:17" x14ac:dyDescent="0.55000000000000004">
      <c r="A323" s="131"/>
      <c r="B323" s="126">
        <v>327</v>
      </c>
      <c r="C323" s="131" t="s">
        <v>135</v>
      </c>
      <c r="D323" s="131" t="s">
        <v>265</v>
      </c>
      <c r="E323" s="131">
        <v>26</v>
      </c>
      <c r="F323" s="131">
        <v>30</v>
      </c>
      <c r="G323" s="131">
        <v>48</v>
      </c>
      <c r="H323" s="131" t="s">
        <v>12</v>
      </c>
      <c r="I323" s="131">
        <v>1</v>
      </c>
      <c r="J323" s="132"/>
      <c r="K323" s="143"/>
      <c r="L323" s="143"/>
      <c r="M323" s="143"/>
      <c r="N323" s="144"/>
      <c r="O323" s="144"/>
      <c r="P323" s="144"/>
      <c r="Q323" s="145"/>
    </row>
    <row r="324" spans="1:17" x14ac:dyDescent="0.55000000000000004">
      <c r="A324" s="131"/>
      <c r="B324" s="126">
        <v>328</v>
      </c>
      <c r="C324" s="131" t="s">
        <v>2673</v>
      </c>
      <c r="D324" s="131" t="s">
        <v>2697</v>
      </c>
      <c r="E324" s="131">
        <v>26</v>
      </c>
      <c r="F324" s="131">
        <v>16</v>
      </c>
      <c r="G324" s="131">
        <v>49</v>
      </c>
      <c r="H324" s="127" t="s">
        <v>26</v>
      </c>
      <c r="I324" s="131"/>
      <c r="J324" s="132">
        <v>1</v>
      </c>
      <c r="K324" s="143"/>
      <c r="L324" s="143"/>
      <c r="M324" s="143"/>
      <c r="N324" s="144"/>
      <c r="O324" s="144"/>
      <c r="P324" s="144"/>
      <c r="Q324" s="145"/>
    </row>
    <row r="325" spans="1:17" x14ac:dyDescent="0.55000000000000004">
      <c r="A325" s="131"/>
      <c r="B325" s="126">
        <v>329</v>
      </c>
      <c r="C325" s="131" t="s">
        <v>136</v>
      </c>
      <c r="D325" s="131" t="s">
        <v>2698</v>
      </c>
      <c r="E325" s="131">
        <v>26</v>
      </c>
      <c r="F325" s="131">
        <v>41</v>
      </c>
      <c r="G325" s="131">
        <v>49</v>
      </c>
      <c r="H325" s="127" t="s">
        <v>26</v>
      </c>
      <c r="I325" s="131"/>
      <c r="J325" s="132">
        <v>1</v>
      </c>
      <c r="K325" s="143"/>
      <c r="L325" s="143"/>
      <c r="M325" s="143"/>
      <c r="N325" s="144"/>
      <c r="O325" s="144"/>
      <c r="P325" s="144"/>
      <c r="Q325" s="145"/>
    </row>
    <row r="326" spans="1:17" x14ac:dyDescent="0.55000000000000004">
      <c r="A326" s="131"/>
      <c r="B326" s="126">
        <v>330</v>
      </c>
      <c r="C326" s="131" t="s">
        <v>201</v>
      </c>
      <c r="D326" s="131" t="s">
        <v>2699</v>
      </c>
      <c r="E326" s="131">
        <v>26</v>
      </c>
      <c r="F326" s="131">
        <v>53</v>
      </c>
      <c r="G326" s="131">
        <v>50</v>
      </c>
      <c r="H326" s="127" t="s">
        <v>26</v>
      </c>
      <c r="I326" s="131"/>
      <c r="J326" s="132">
        <v>1</v>
      </c>
      <c r="K326" s="143"/>
      <c r="L326" s="143"/>
      <c r="M326" s="143"/>
      <c r="N326" s="144"/>
      <c r="O326" s="144"/>
      <c r="P326" s="144"/>
      <c r="Q326" s="145"/>
    </row>
    <row r="327" spans="1:17" x14ac:dyDescent="0.55000000000000004">
      <c r="A327" s="131"/>
      <c r="B327" s="126">
        <v>331</v>
      </c>
      <c r="C327" s="131" t="s">
        <v>135</v>
      </c>
      <c r="D327" s="131" t="s">
        <v>2700</v>
      </c>
      <c r="E327" s="131">
        <v>26</v>
      </c>
      <c r="F327" s="131">
        <v>26</v>
      </c>
      <c r="G327" s="131">
        <v>52</v>
      </c>
      <c r="H327" s="127" t="s">
        <v>26</v>
      </c>
      <c r="I327" s="131"/>
      <c r="J327" s="132">
        <v>1</v>
      </c>
      <c r="K327" s="143"/>
      <c r="L327" s="143"/>
      <c r="M327" s="143"/>
      <c r="N327" s="144"/>
      <c r="O327" s="144"/>
      <c r="P327" s="144"/>
      <c r="Q327" s="145"/>
    </row>
    <row r="328" spans="1:17" x14ac:dyDescent="0.55000000000000004">
      <c r="A328" s="131"/>
      <c r="B328" s="126">
        <v>332</v>
      </c>
      <c r="C328" s="131" t="s">
        <v>128</v>
      </c>
      <c r="D328" s="131" t="s">
        <v>2701</v>
      </c>
      <c r="E328" s="131">
        <v>26</v>
      </c>
      <c r="F328" s="131">
        <v>42</v>
      </c>
      <c r="G328" s="131">
        <v>53</v>
      </c>
      <c r="H328" s="127" t="s">
        <v>26</v>
      </c>
      <c r="I328" s="131"/>
      <c r="J328" s="132">
        <v>1</v>
      </c>
      <c r="K328" s="143"/>
      <c r="L328" s="143"/>
      <c r="M328" s="143"/>
      <c r="N328" s="144"/>
      <c r="O328" s="144"/>
      <c r="P328" s="144"/>
      <c r="Q328" s="145"/>
    </row>
    <row r="329" spans="1:17" x14ac:dyDescent="0.55000000000000004">
      <c r="A329" s="131"/>
      <c r="B329" s="126">
        <v>333</v>
      </c>
      <c r="C329" s="131" t="s">
        <v>2702</v>
      </c>
      <c r="D329" s="131" t="s">
        <v>2703</v>
      </c>
      <c r="E329" s="131">
        <v>26</v>
      </c>
      <c r="F329" s="131">
        <v>12</v>
      </c>
      <c r="G329" s="131">
        <v>53</v>
      </c>
      <c r="H329" s="127" t="s">
        <v>26</v>
      </c>
      <c r="I329" s="131"/>
      <c r="J329" s="132">
        <v>1</v>
      </c>
      <c r="K329" s="143"/>
      <c r="L329" s="143"/>
      <c r="M329" s="143"/>
      <c r="N329" s="144"/>
      <c r="O329" s="144"/>
      <c r="P329" s="144"/>
      <c r="Q329" s="145"/>
    </row>
    <row r="330" spans="1:17" x14ac:dyDescent="0.55000000000000004">
      <c r="A330" s="131"/>
      <c r="B330" s="126">
        <v>334</v>
      </c>
      <c r="C330" s="131" t="s">
        <v>859</v>
      </c>
      <c r="D330" s="131" t="s">
        <v>2704</v>
      </c>
      <c r="E330" s="131">
        <v>26</v>
      </c>
      <c r="F330" s="131">
        <v>7</v>
      </c>
      <c r="G330" s="131">
        <v>53</v>
      </c>
      <c r="H330" s="127" t="s">
        <v>26</v>
      </c>
      <c r="I330" s="131"/>
      <c r="J330" s="132">
        <v>1</v>
      </c>
      <c r="K330" s="143"/>
      <c r="L330" s="143"/>
      <c r="M330" s="143"/>
      <c r="N330" s="144"/>
      <c r="O330" s="144"/>
      <c r="P330" s="144"/>
      <c r="Q330" s="145"/>
    </row>
    <row r="331" spans="1:17" x14ac:dyDescent="0.55000000000000004">
      <c r="A331" s="131"/>
      <c r="B331" s="126">
        <v>335</v>
      </c>
      <c r="C331" s="131" t="s">
        <v>712</v>
      </c>
      <c r="D331" s="131" t="s">
        <v>2705</v>
      </c>
      <c r="E331" s="131">
        <v>26</v>
      </c>
      <c r="F331" s="131">
        <v>21</v>
      </c>
      <c r="G331" s="131">
        <v>32</v>
      </c>
      <c r="H331" s="127" t="s">
        <v>26</v>
      </c>
      <c r="I331" s="131"/>
      <c r="J331" s="132">
        <v>1</v>
      </c>
      <c r="K331" s="143"/>
      <c r="L331" s="143"/>
      <c r="M331" s="143"/>
      <c r="N331" s="144"/>
      <c r="O331" s="144"/>
      <c r="P331" s="144"/>
      <c r="Q331" s="145"/>
    </row>
    <row r="332" spans="1:17" x14ac:dyDescent="0.55000000000000004">
      <c r="A332" s="131"/>
      <c r="B332" s="126">
        <v>336</v>
      </c>
      <c r="C332" s="131" t="s">
        <v>677</v>
      </c>
      <c r="D332" s="131" t="s">
        <v>339</v>
      </c>
      <c r="E332" s="131">
        <v>26</v>
      </c>
      <c r="F332" s="131">
        <v>3</v>
      </c>
      <c r="G332" s="131">
        <v>31</v>
      </c>
      <c r="H332" s="131" t="s">
        <v>12</v>
      </c>
      <c r="I332" s="131">
        <v>1</v>
      </c>
      <c r="J332" s="132"/>
      <c r="K332" s="143"/>
      <c r="L332" s="143"/>
      <c r="M332" s="143"/>
      <c r="N332" s="144"/>
      <c r="O332" s="144"/>
      <c r="P332" s="144"/>
      <c r="Q332" s="145"/>
    </row>
    <row r="333" spans="1:17" x14ac:dyDescent="0.55000000000000004">
      <c r="A333" s="131"/>
      <c r="B333" s="126">
        <v>337</v>
      </c>
      <c r="C333" s="131" t="s">
        <v>139</v>
      </c>
      <c r="D333" s="131" t="s">
        <v>2706</v>
      </c>
      <c r="E333" s="131">
        <v>26</v>
      </c>
      <c r="F333" s="131">
        <v>7</v>
      </c>
      <c r="G333" s="131">
        <v>31</v>
      </c>
      <c r="H333" s="127" t="s">
        <v>26</v>
      </c>
      <c r="I333" s="131"/>
      <c r="J333" s="132">
        <v>1</v>
      </c>
      <c r="K333" s="143"/>
      <c r="L333" s="143"/>
      <c r="M333" s="143"/>
      <c r="N333" s="144"/>
      <c r="O333" s="144"/>
      <c r="P333" s="144"/>
      <c r="Q333" s="145"/>
    </row>
    <row r="334" spans="1:17" x14ac:dyDescent="0.55000000000000004">
      <c r="A334" s="131"/>
      <c r="B334" s="126">
        <v>338</v>
      </c>
      <c r="C334" s="131" t="s">
        <v>1407</v>
      </c>
      <c r="D334" s="131" t="s">
        <v>2667</v>
      </c>
      <c r="E334" s="131">
        <v>26</v>
      </c>
      <c r="F334" s="131">
        <v>35</v>
      </c>
      <c r="G334" s="131">
        <v>24</v>
      </c>
      <c r="H334" s="127" t="s">
        <v>26</v>
      </c>
      <c r="I334" s="131"/>
      <c r="J334" s="131">
        <v>1</v>
      </c>
      <c r="K334" s="141"/>
      <c r="L334" s="141"/>
      <c r="M334" s="141">
        <v>1</v>
      </c>
      <c r="N334" s="146"/>
      <c r="O334" s="146"/>
      <c r="P334" s="146"/>
      <c r="Q334" s="131"/>
    </row>
    <row r="335" spans="1:17" x14ac:dyDescent="0.55000000000000004">
      <c r="A335" s="131"/>
      <c r="B335" s="126">
        <v>339</v>
      </c>
      <c r="C335" s="131" t="s">
        <v>815</v>
      </c>
      <c r="D335" s="131" t="s">
        <v>2708</v>
      </c>
      <c r="E335" s="131">
        <v>26</v>
      </c>
      <c r="F335" s="131">
        <v>48</v>
      </c>
      <c r="G335" s="131">
        <v>22</v>
      </c>
      <c r="H335" s="127" t="s">
        <v>26</v>
      </c>
      <c r="I335" s="131"/>
      <c r="J335" s="131">
        <v>1</v>
      </c>
      <c r="K335" s="141"/>
      <c r="L335" s="141"/>
      <c r="M335" s="141">
        <v>1</v>
      </c>
      <c r="N335" s="146"/>
      <c r="O335" s="146"/>
      <c r="P335" s="146"/>
      <c r="Q335" s="131"/>
    </row>
    <row r="336" spans="1:17" x14ac:dyDescent="0.55000000000000004">
      <c r="A336" s="131"/>
      <c r="B336" s="126">
        <v>340</v>
      </c>
      <c r="C336" s="131" t="s">
        <v>135</v>
      </c>
      <c r="D336" s="131" t="s">
        <v>2709</v>
      </c>
      <c r="E336" s="131">
        <v>26</v>
      </c>
      <c r="F336" s="131">
        <v>21</v>
      </c>
      <c r="G336" s="131">
        <v>24</v>
      </c>
      <c r="H336" s="127" t="s">
        <v>26</v>
      </c>
      <c r="I336" s="131"/>
      <c r="J336" s="131">
        <v>1</v>
      </c>
      <c r="K336" s="141"/>
      <c r="L336" s="141"/>
      <c r="M336" s="141">
        <v>1</v>
      </c>
      <c r="N336" s="146"/>
      <c r="O336" s="146"/>
      <c r="P336" s="146"/>
      <c r="Q336" s="131"/>
    </row>
    <row r="337" spans="1:17" x14ac:dyDescent="0.55000000000000004">
      <c r="A337" s="131"/>
      <c r="B337" s="126">
        <v>341</v>
      </c>
      <c r="C337" s="131" t="s">
        <v>2710</v>
      </c>
      <c r="D337" s="131" t="s">
        <v>2711</v>
      </c>
      <c r="E337" s="131">
        <v>26</v>
      </c>
      <c r="F337" s="131">
        <v>18</v>
      </c>
      <c r="G337" s="131">
        <v>17</v>
      </c>
      <c r="H337" s="127" t="s">
        <v>26</v>
      </c>
      <c r="I337" s="131"/>
      <c r="J337" s="131">
        <v>1</v>
      </c>
      <c r="K337" s="141"/>
      <c r="L337" s="141"/>
      <c r="M337" s="141"/>
      <c r="N337" s="146"/>
      <c r="O337" s="146"/>
      <c r="P337" s="146"/>
      <c r="Q337" s="131"/>
    </row>
    <row r="338" spans="1:17" x14ac:dyDescent="0.55000000000000004">
      <c r="A338" s="131"/>
      <c r="B338" s="126">
        <v>342</v>
      </c>
      <c r="C338" s="131" t="s">
        <v>179</v>
      </c>
      <c r="D338" s="131" t="s">
        <v>1486</v>
      </c>
      <c r="E338" s="131">
        <v>26</v>
      </c>
      <c r="F338" s="131">
        <v>14</v>
      </c>
      <c r="G338" s="131">
        <v>17</v>
      </c>
      <c r="H338" s="127" t="s">
        <v>26</v>
      </c>
      <c r="I338" s="131"/>
      <c r="J338" s="131">
        <v>1</v>
      </c>
      <c r="K338" s="141"/>
      <c r="L338" s="141"/>
      <c r="M338" s="141"/>
      <c r="N338" s="146"/>
      <c r="O338" s="146"/>
      <c r="P338" s="146"/>
      <c r="Q338" s="131"/>
    </row>
    <row r="339" spans="1:17" x14ac:dyDescent="0.55000000000000004">
      <c r="A339" s="131"/>
      <c r="B339" s="126">
        <v>343</v>
      </c>
      <c r="C339" s="131" t="s">
        <v>138</v>
      </c>
      <c r="D339" s="131" t="s">
        <v>2147</v>
      </c>
      <c r="E339" s="131">
        <v>26</v>
      </c>
      <c r="F339" s="131">
        <v>60</v>
      </c>
      <c r="G339" s="131">
        <v>20</v>
      </c>
      <c r="H339" s="131" t="s">
        <v>12</v>
      </c>
      <c r="I339" s="131">
        <v>1</v>
      </c>
      <c r="J339" s="131"/>
      <c r="K339" s="141"/>
      <c r="L339" s="141"/>
      <c r="M339" s="141"/>
      <c r="N339" s="146"/>
      <c r="O339" s="146"/>
      <c r="P339" s="146"/>
      <c r="Q339" s="131"/>
    </row>
    <row r="340" spans="1:17" x14ac:dyDescent="0.55000000000000004">
      <c r="A340" s="131"/>
      <c r="B340" s="126">
        <v>344</v>
      </c>
      <c r="C340" s="131" t="s">
        <v>201</v>
      </c>
      <c r="D340" s="131" t="s">
        <v>2712</v>
      </c>
      <c r="E340" s="131">
        <v>26</v>
      </c>
      <c r="F340" s="131">
        <v>55</v>
      </c>
      <c r="G340" s="131">
        <v>19</v>
      </c>
      <c r="H340" s="131" t="s">
        <v>12</v>
      </c>
      <c r="I340" s="131">
        <v>1</v>
      </c>
      <c r="J340" s="131"/>
      <c r="K340" s="141"/>
      <c r="L340" s="141"/>
      <c r="M340" s="141"/>
      <c r="N340" s="146"/>
      <c r="O340" s="146"/>
      <c r="P340" s="146"/>
      <c r="Q340" s="131"/>
    </row>
    <row r="341" spans="1:17" x14ac:dyDescent="0.55000000000000004">
      <c r="A341" s="131"/>
      <c r="B341" s="126">
        <v>345</v>
      </c>
      <c r="C341" s="131" t="s">
        <v>214</v>
      </c>
      <c r="D341" s="131" t="s">
        <v>2701</v>
      </c>
      <c r="E341" s="131">
        <v>26</v>
      </c>
      <c r="F341" s="131">
        <v>76</v>
      </c>
      <c r="G341" s="131">
        <v>13</v>
      </c>
      <c r="H341" s="127" t="s">
        <v>26</v>
      </c>
      <c r="I341" s="131"/>
      <c r="J341" s="131">
        <v>1</v>
      </c>
      <c r="K341" s="141"/>
      <c r="L341" s="141"/>
      <c r="M341" s="141"/>
      <c r="N341" s="146"/>
      <c r="O341" s="146"/>
      <c r="P341" s="146"/>
      <c r="Q341" s="131"/>
    </row>
    <row r="342" spans="1:17" x14ac:dyDescent="0.55000000000000004">
      <c r="A342" s="131"/>
      <c r="B342" s="126">
        <v>348</v>
      </c>
      <c r="C342" s="131" t="s">
        <v>270</v>
      </c>
      <c r="D342" s="131" t="s">
        <v>2713</v>
      </c>
      <c r="E342" s="131">
        <v>26</v>
      </c>
      <c r="F342" s="131">
        <v>52</v>
      </c>
      <c r="G342" s="131">
        <v>7</v>
      </c>
      <c r="H342" s="127" t="s">
        <v>26</v>
      </c>
      <c r="I342" s="131"/>
      <c r="J342" s="131">
        <v>1</v>
      </c>
      <c r="K342" s="141"/>
      <c r="L342" s="141"/>
      <c r="M342" s="141">
        <v>1</v>
      </c>
      <c r="N342" s="146"/>
      <c r="O342" s="146"/>
      <c r="P342" s="146"/>
      <c r="Q342" s="131"/>
    </row>
    <row r="343" spans="1:17" x14ac:dyDescent="0.55000000000000004">
      <c r="A343" s="131"/>
      <c r="B343" s="126">
        <v>349</v>
      </c>
      <c r="C343" s="131" t="s">
        <v>131</v>
      </c>
      <c r="D343" s="131" t="s">
        <v>3183</v>
      </c>
      <c r="E343" s="131">
        <v>26</v>
      </c>
      <c r="F343" s="131">
        <v>84</v>
      </c>
      <c r="G343" s="131">
        <v>6</v>
      </c>
      <c r="H343" s="127" t="s">
        <v>26</v>
      </c>
      <c r="I343" s="131"/>
      <c r="J343" s="131">
        <v>1</v>
      </c>
      <c r="K343" s="141"/>
      <c r="L343" s="141"/>
      <c r="M343" s="141">
        <v>1</v>
      </c>
      <c r="N343" s="146"/>
      <c r="O343" s="146"/>
      <c r="P343" s="146"/>
      <c r="Q343" s="131"/>
    </row>
    <row r="344" spans="1:17" x14ac:dyDescent="0.55000000000000004">
      <c r="A344" s="131"/>
      <c r="B344" s="126">
        <v>350</v>
      </c>
      <c r="C344" s="131" t="s">
        <v>139</v>
      </c>
      <c r="D344" s="131" t="s">
        <v>3064</v>
      </c>
      <c r="E344" s="131">
        <v>26</v>
      </c>
      <c r="F344" s="131">
        <v>97</v>
      </c>
      <c r="G344" s="131">
        <v>7</v>
      </c>
      <c r="H344" s="127" t="s">
        <v>26</v>
      </c>
      <c r="I344" s="131"/>
      <c r="J344" s="131">
        <v>1</v>
      </c>
      <c r="K344" s="141"/>
      <c r="L344" s="141"/>
      <c r="M344" s="141">
        <v>1</v>
      </c>
      <c r="N344" s="146"/>
      <c r="O344" s="146"/>
      <c r="P344" s="146"/>
      <c r="Q344" s="131"/>
    </row>
    <row r="345" spans="1:17" x14ac:dyDescent="0.55000000000000004">
      <c r="A345" s="131"/>
      <c r="B345" s="126">
        <v>351</v>
      </c>
      <c r="C345" s="131" t="s">
        <v>153</v>
      </c>
      <c r="D345" s="131" t="s">
        <v>2853</v>
      </c>
      <c r="E345" s="131">
        <v>26</v>
      </c>
      <c r="F345" s="131">
        <v>85</v>
      </c>
      <c r="G345" s="131">
        <v>5</v>
      </c>
      <c r="H345" s="127" t="s">
        <v>26</v>
      </c>
      <c r="I345" s="131"/>
      <c r="J345" s="131">
        <v>1</v>
      </c>
      <c r="K345" s="141"/>
      <c r="L345" s="141"/>
      <c r="M345" s="141">
        <v>1</v>
      </c>
      <c r="N345" s="146"/>
      <c r="O345" s="146"/>
      <c r="P345" s="146"/>
      <c r="Q345" s="131"/>
    </row>
    <row r="346" spans="1:17" x14ac:dyDescent="0.55000000000000004">
      <c r="A346" s="131"/>
      <c r="B346" s="126">
        <v>352</v>
      </c>
      <c r="C346" s="131" t="s">
        <v>1507</v>
      </c>
      <c r="D346" s="131" t="s">
        <v>3065</v>
      </c>
      <c r="E346" s="131">
        <v>26</v>
      </c>
      <c r="F346" s="131">
        <v>78</v>
      </c>
      <c r="G346" s="131">
        <v>6</v>
      </c>
      <c r="H346" s="127" t="s">
        <v>26</v>
      </c>
      <c r="I346" s="131"/>
      <c r="J346" s="131">
        <v>1</v>
      </c>
      <c r="K346" s="141"/>
      <c r="L346" s="141"/>
      <c r="M346" s="141">
        <v>1</v>
      </c>
      <c r="N346" s="146"/>
      <c r="O346" s="146"/>
      <c r="P346" s="146"/>
      <c r="Q346" s="131"/>
    </row>
    <row r="347" spans="1:17" x14ac:dyDescent="0.55000000000000004">
      <c r="A347" s="131"/>
      <c r="B347" s="126">
        <v>353</v>
      </c>
      <c r="C347" s="131" t="s">
        <v>600</v>
      </c>
      <c r="D347" s="131" t="s">
        <v>6</v>
      </c>
      <c r="E347" s="131">
        <v>26</v>
      </c>
      <c r="F347" s="131">
        <v>80</v>
      </c>
      <c r="G347" s="131">
        <v>4</v>
      </c>
      <c r="H347" s="127" t="s">
        <v>26</v>
      </c>
      <c r="I347" s="131"/>
      <c r="J347" s="131">
        <v>1</v>
      </c>
      <c r="K347" s="141"/>
      <c r="L347" s="141"/>
      <c r="M347" s="141">
        <v>1</v>
      </c>
      <c r="N347" s="146"/>
      <c r="O347" s="146"/>
      <c r="P347" s="146"/>
      <c r="Q347" s="131"/>
    </row>
    <row r="348" spans="1:17" x14ac:dyDescent="0.55000000000000004">
      <c r="A348" s="131"/>
      <c r="B348" s="126">
        <v>354</v>
      </c>
      <c r="C348" s="131" t="s">
        <v>781</v>
      </c>
      <c r="D348" s="131" t="s">
        <v>3066</v>
      </c>
      <c r="E348" s="131">
        <v>26</v>
      </c>
      <c r="F348" s="131">
        <v>83</v>
      </c>
      <c r="G348" s="131">
        <v>8</v>
      </c>
      <c r="H348" s="127" t="s">
        <v>26</v>
      </c>
      <c r="I348" s="131"/>
      <c r="J348" s="131">
        <v>1</v>
      </c>
      <c r="K348" s="141"/>
      <c r="L348" s="141"/>
      <c r="M348" s="141">
        <v>1</v>
      </c>
      <c r="N348" s="146"/>
      <c r="O348" s="146"/>
      <c r="P348" s="146"/>
      <c r="Q348" s="131"/>
    </row>
    <row r="349" spans="1:17" x14ac:dyDescent="0.55000000000000004">
      <c r="A349" s="131"/>
      <c r="B349" s="126">
        <v>355</v>
      </c>
      <c r="C349" s="131" t="s">
        <v>682</v>
      </c>
      <c r="D349" s="131" t="s">
        <v>3067</v>
      </c>
      <c r="E349" s="131">
        <v>26</v>
      </c>
      <c r="F349" s="131">
        <v>83</v>
      </c>
      <c r="G349" s="131">
        <v>1</v>
      </c>
      <c r="H349" s="127" t="s">
        <v>26</v>
      </c>
      <c r="I349" s="131"/>
      <c r="J349" s="131">
        <v>1</v>
      </c>
      <c r="K349" s="141"/>
      <c r="L349" s="141"/>
      <c r="M349" s="141">
        <v>1</v>
      </c>
      <c r="N349" s="146"/>
      <c r="O349" s="146"/>
      <c r="P349" s="146"/>
      <c r="Q349" s="131"/>
    </row>
    <row r="350" spans="1:17" x14ac:dyDescent="0.55000000000000004">
      <c r="A350" s="131"/>
      <c r="B350" s="126">
        <v>356</v>
      </c>
      <c r="C350" s="131" t="s">
        <v>600</v>
      </c>
      <c r="D350" s="131" t="s">
        <v>6</v>
      </c>
      <c r="E350" s="131">
        <v>26</v>
      </c>
      <c r="F350" s="131">
        <v>85</v>
      </c>
      <c r="G350" s="201" t="s">
        <v>3068</v>
      </c>
      <c r="H350" s="127" t="s">
        <v>26</v>
      </c>
      <c r="I350" s="131">
        <v>0</v>
      </c>
      <c r="J350" s="131">
        <v>1</v>
      </c>
      <c r="K350" s="141"/>
      <c r="L350" s="141"/>
      <c r="M350" s="141">
        <v>1</v>
      </c>
      <c r="N350" s="146"/>
      <c r="O350" s="146"/>
      <c r="P350" s="146"/>
      <c r="Q350" s="131"/>
    </row>
    <row r="351" spans="1:17" x14ac:dyDescent="0.55000000000000004">
      <c r="A351" s="131"/>
      <c r="B351" s="126"/>
      <c r="C351" s="131" t="s">
        <v>600</v>
      </c>
      <c r="D351" s="131" t="s">
        <v>6</v>
      </c>
      <c r="E351" s="131">
        <v>26</v>
      </c>
      <c r="F351" s="131">
        <v>94</v>
      </c>
      <c r="G351" s="201" t="s">
        <v>3184</v>
      </c>
      <c r="H351" s="127" t="s">
        <v>26</v>
      </c>
      <c r="I351" s="131"/>
      <c r="J351" s="131">
        <v>1</v>
      </c>
      <c r="K351" s="141"/>
      <c r="L351" s="141"/>
      <c r="M351" s="141">
        <v>1</v>
      </c>
      <c r="N351" s="146"/>
      <c r="O351" s="146"/>
      <c r="P351" s="146"/>
      <c r="Q351" s="131"/>
    </row>
    <row r="352" spans="1:17" x14ac:dyDescent="0.55000000000000004">
      <c r="A352" s="131"/>
      <c r="B352" s="126"/>
      <c r="C352" s="131" t="s">
        <v>781</v>
      </c>
      <c r="D352" s="131" t="s">
        <v>3185</v>
      </c>
      <c r="E352" s="131">
        <v>26</v>
      </c>
      <c r="F352" s="131">
        <v>75</v>
      </c>
      <c r="G352" s="201">
        <v>28</v>
      </c>
      <c r="H352" s="127" t="s">
        <v>26</v>
      </c>
      <c r="I352" s="131"/>
      <c r="J352" s="131">
        <v>1</v>
      </c>
      <c r="K352" s="141"/>
      <c r="L352" s="141"/>
      <c r="M352" s="141">
        <v>1</v>
      </c>
      <c r="N352" s="146"/>
      <c r="O352" s="146"/>
      <c r="P352" s="146"/>
      <c r="Q352" s="131"/>
    </row>
    <row r="353" spans="1:18" x14ac:dyDescent="0.55000000000000004">
      <c r="A353" s="131"/>
      <c r="B353" s="126"/>
      <c r="C353" s="131" t="s">
        <v>600</v>
      </c>
      <c r="D353" s="131" t="s">
        <v>6</v>
      </c>
      <c r="E353" s="131">
        <v>26</v>
      </c>
      <c r="F353" s="131">
        <v>79</v>
      </c>
      <c r="G353" s="201">
        <v>8</v>
      </c>
      <c r="H353" s="127" t="s">
        <v>26</v>
      </c>
      <c r="I353" s="131"/>
      <c r="J353" s="131">
        <v>1</v>
      </c>
      <c r="K353" s="141"/>
      <c r="L353" s="141"/>
      <c r="M353" s="141">
        <v>1</v>
      </c>
      <c r="N353" s="146"/>
      <c r="O353" s="146"/>
      <c r="P353" s="146"/>
      <c r="Q353" s="131"/>
    </row>
    <row r="354" spans="1:18" x14ac:dyDescent="0.55000000000000004">
      <c r="A354" s="131"/>
      <c r="B354" s="126"/>
      <c r="C354" s="131" t="s">
        <v>712</v>
      </c>
      <c r="D354" s="131" t="s">
        <v>3187</v>
      </c>
      <c r="E354" s="131">
        <v>26</v>
      </c>
      <c r="F354" s="131" t="s">
        <v>3186</v>
      </c>
      <c r="G354" s="201">
        <v>9</v>
      </c>
      <c r="H354" s="127" t="s">
        <v>26</v>
      </c>
      <c r="I354" s="131"/>
      <c r="J354" s="131">
        <v>1</v>
      </c>
      <c r="K354" s="141"/>
      <c r="L354" s="141"/>
      <c r="M354" s="141">
        <v>1</v>
      </c>
      <c r="N354" s="146"/>
      <c r="O354" s="146"/>
      <c r="P354" s="146"/>
      <c r="Q354" s="131"/>
    </row>
    <row r="355" spans="1:18" x14ac:dyDescent="0.55000000000000004">
      <c r="A355" s="131"/>
      <c r="B355" s="126"/>
      <c r="C355" s="131" t="s">
        <v>1244</v>
      </c>
      <c r="D355" s="131" t="s">
        <v>3188</v>
      </c>
      <c r="E355" s="131">
        <v>26</v>
      </c>
      <c r="F355" s="131">
        <v>85</v>
      </c>
      <c r="G355" s="201">
        <v>8</v>
      </c>
      <c r="H355" s="127" t="s">
        <v>26</v>
      </c>
      <c r="I355" s="131"/>
      <c r="J355" s="131">
        <v>1</v>
      </c>
      <c r="K355" s="141"/>
      <c r="L355" s="141"/>
      <c r="M355" s="141">
        <v>1</v>
      </c>
      <c r="N355" s="146"/>
      <c r="O355" s="146"/>
      <c r="P355" s="146"/>
      <c r="Q355" s="131"/>
    </row>
    <row r="356" spans="1:18" x14ac:dyDescent="0.55000000000000004">
      <c r="A356" s="131"/>
      <c r="B356" s="126"/>
      <c r="C356" s="131" t="s">
        <v>3189</v>
      </c>
      <c r="D356" s="131" t="s">
        <v>3190</v>
      </c>
      <c r="E356" s="131">
        <v>26</v>
      </c>
      <c r="F356" s="131">
        <v>80</v>
      </c>
      <c r="G356" s="201">
        <v>33</v>
      </c>
      <c r="H356" s="127" t="s">
        <v>26</v>
      </c>
      <c r="I356" s="131"/>
      <c r="J356" s="131">
        <v>1</v>
      </c>
      <c r="K356" s="141"/>
      <c r="L356" s="141"/>
      <c r="M356" s="141">
        <v>1</v>
      </c>
      <c r="N356" s="146"/>
      <c r="O356" s="146"/>
      <c r="P356" s="146"/>
      <c r="Q356" s="131"/>
    </row>
    <row r="357" spans="1:18" x14ac:dyDescent="0.55000000000000004">
      <c r="A357" s="131"/>
      <c r="B357" s="126"/>
      <c r="C357" s="131" t="s">
        <v>600</v>
      </c>
      <c r="D357" s="131" t="s">
        <v>6</v>
      </c>
      <c r="E357" s="131">
        <v>26</v>
      </c>
      <c r="F357" s="131">
        <v>83</v>
      </c>
      <c r="G357" s="201">
        <v>24</v>
      </c>
      <c r="H357" s="127" t="s">
        <v>26</v>
      </c>
      <c r="I357" s="131"/>
      <c r="J357" s="131">
        <v>1</v>
      </c>
      <c r="K357" s="141"/>
      <c r="L357" s="141"/>
      <c r="M357" s="141">
        <v>1</v>
      </c>
      <c r="N357" s="146"/>
      <c r="O357" s="146"/>
      <c r="P357" s="146"/>
      <c r="Q357" s="131"/>
    </row>
    <row r="358" spans="1:18" x14ac:dyDescent="0.55000000000000004">
      <c r="A358" s="131"/>
      <c r="B358" s="126"/>
      <c r="C358" s="131" t="s">
        <v>677</v>
      </c>
      <c r="D358" s="131" t="s">
        <v>3191</v>
      </c>
      <c r="E358" s="131">
        <v>26</v>
      </c>
      <c r="F358" s="131">
        <v>96</v>
      </c>
      <c r="G358" s="201">
        <v>47</v>
      </c>
      <c r="H358" s="127" t="s">
        <v>26</v>
      </c>
      <c r="I358" s="131"/>
      <c r="J358" s="131">
        <v>1</v>
      </c>
      <c r="K358" s="141"/>
      <c r="L358" s="141"/>
      <c r="M358" s="141">
        <v>1</v>
      </c>
      <c r="N358" s="146"/>
      <c r="O358" s="146"/>
      <c r="P358" s="146"/>
      <c r="Q358" s="131"/>
    </row>
    <row r="359" spans="1:18" x14ac:dyDescent="0.55000000000000004">
      <c r="A359" s="131"/>
      <c r="B359" s="126"/>
      <c r="C359" s="131" t="s">
        <v>135</v>
      </c>
      <c r="D359" s="131" t="s">
        <v>3192</v>
      </c>
      <c r="E359" s="131">
        <v>26</v>
      </c>
      <c r="F359" s="131">
        <v>79</v>
      </c>
      <c r="G359" s="201">
        <v>46</v>
      </c>
      <c r="H359" s="127" t="s">
        <v>26</v>
      </c>
      <c r="I359" s="131"/>
      <c r="J359" s="131">
        <v>1</v>
      </c>
      <c r="K359" s="141"/>
      <c r="L359" s="141"/>
      <c r="M359" s="141">
        <v>1</v>
      </c>
      <c r="N359" s="146"/>
      <c r="O359" s="146"/>
      <c r="P359" s="146"/>
      <c r="Q359" s="131"/>
    </row>
    <row r="360" spans="1:18" x14ac:dyDescent="0.55000000000000004">
      <c r="A360" s="131"/>
      <c r="B360" s="126"/>
      <c r="C360" s="131" t="s">
        <v>123</v>
      </c>
      <c r="D360" s="131" t="s">
        <v>3193</v>
      </c>
      <c r="E360" s="131">
        <v>26</v>
      </c>
      <c r="F360" s="131">
        <v>23</v>
      </c>
      <c r="G360" s="201">
        <v>22</v>
      </c>
      <c r="H360" s="127" t="s">
        <v>26</v>
      </c>
      <c r="I360" s="131"/>
      <c r="J360" s="131">
        <v>1</v>
      </c>
      <c r="K360" s="141"/>
      <c r="L360" s="141"/>
      <c r="M360" s="141">
        <v>1</v>
      </c>
      <c r="N360" s="146"/>
      <c r="O360" s="146"/>
      <c r="P360" s="146"/>
      <c r="Q360" s="131"/>
    </row>
    <row r="361" spans="1:18" x14ac:dyDescent="0.55000000000000004">
      <c r="A361" s="131"/>
      <c r="B361" s="126"/>
      <c r="C361" s="131" t="s">
        <v>2608</v>
      </c>
      <c r="D361" s="131" t="s">
        <v>339</v>
      </c>
      <c r="E361" s="131">
        <v>26</v>
      </c>
      <c r="F361" s="131">
        <v>35</v>
      </c>
      <c r="G361" s="201">
        <v>22</v>
      </c>
      <c r="H361" s="127" t="s">
        <v>26</v>
      </c>
      <c r="I361" s="131"/>
      <c r="J361" s="131">
        <v>1</v>
      </c>
      <c r="K361" s="141"/>
      <c r="L361" s="141"/>
      <c r="M361" s="141">
        <v>1</v>
      </c>
      <c r="N361" s="146"/>
      <c r="O361" s="146"/>
      <c r="P361" s="146"/>
      <c r="Q361" s="131"/>
    </row>
    <row r="362" spans="1:18" x14ac:dyDescent="0.55000000000000004">
      <c r="A362" s="131"/>
      <c r="B362" s="126"/>
      <c r="C362" s="131" t="s">
        <v>652</v>
      </c>
      <c r="D362" s="131" t="s">
        <v>3154</v>
      </c>
      <c r="E362" s="131">
        <v>26</v>
      </c>
      <c r="F362" s="131">
        <v>29</v>
      </c>
      <c r="G362" s="201">
        <v>21</v>
      </c>
      <c r="H362" s="127" t="s">
        <v>26</v>
      </c>
      <c r="I362" s="131"/>
      <c r="J362" s="131">
        <v>1</v>
      </c>
      <c r="K362" s="141"/>
      <c r="L362" s="141"/>
      <c r="M362" s="141">
        <v>1</v>
      </c>
      <c r="N362" s="146"/>
      <c r="O362" s="146"/>
      <c r="P362" s="146"/>
      <c r="Q362" s="131"/>
    </row>
    <row r="363" spans="1:18" x14ac:dyDescent="0.55000000000000004">
      <c r="A363" s="131"/>
      <c r="B363" s="126"/>
      <c r="C363" s="131" t="s">
        <v>600</v>
      </c>
      <c r="D363" s="131" t="s">
        <v>6</v>
      </c>
      <c r="E363" s="131">
        <v>26</v>
      </c>
      <c r="F363" s="131">
        <v>12</v>
      </c>
      <c r="G363" s="201">
        <v>21</v>
      </c>
      <c r="H363" s="127" t="s">
        <v>26</v>
      </c>
      <c r="I363" s="131"/>
      <c r="J363" s="131">
        <v>1</v>
      </c>
      <c r="K363" s="141"/>
      <c r="L363" s="141"/>
      <c r="M363" s="141">
        <v>1</v>
      </c>
      <c r="N363" s="146"/>
      <c r="O363" s="146"/>
      <c r="P363" s="146"/>
      <c r="Q363" s="131"/>
    </row>
    <row r="364" spans="1:18" x14ac:dyDescent="0.55000000000000004">
      <c r="A364" s="131"/>
      <c r="B364" s="126"/>
      <c r="C364" s="131" t="s">
        <v>652</v>
      </c>
      <c r="D364" s="131" t="s">
        <v>3194</v>
      </c>
      <c r="E364" s="131">
        <v>26</v>
      </c>
      <c r="F364" s="131">
        <v>17</v>
      </c>
      <c r="G364" s="201">
        <v>2</v>
      </c>
      <c r="H364" s="127" t="s">
        <v>26</v>
      </c>
      <c r="I364" s="131"/>
      <c r="J364" s="131">
        <v>1</v>
      </c>
      <c r="K364" s="141"/>
      <c r="L364" s="141"/>
      <c r="M364" s="141">
        <v>1</v>
      </c>
      <c r="N364" s="146"/>
      <c r="O364" s="146"/>
      <c r="P364" s="146"/>
      <c r="Q364" s="131"/>
    </row>
    <row r="365" spans="1:18" x14ac:dyDescent="0.55000000000000004">
      <c r="A365" s="131"/>
      <c r="B365" s="126"/>
      <c r="C365" s="131" t="s">
        <v>600</v>
      </c>
      <c r="D365" s="131" t="s">
        <v>6</v>
      </c>
      <c r="E365" s="131">
        <v>26</v>
      </c>
      <c r="F365" s="131">
        <v>46</v>
      </c>
      <c r="G365" s="201">
        <v>40</v>
      </c>
      <c r="H365" s="127" t="s">
        <v>26</v>
      </c>
      <c r="I365" s="131"/>
      <c r="J365" s="131">
        <v>1</v>
      </c>
      <c r="K365" s="141"/>
      <c r="L365" s="141"/>
      <c r="M365" s="141">
        <v>1</v>
      </c>
      <c r="N365" s="146"/>
      <c r="O365" s="146"/>
      <c r="P365" s="146"/>
      <c r="Q365" s="131"/>
    </row>
    <row r="366" spans="1:18" x14ac:dyDescent="0.55000000000000004">
      <c r="A366" s="131"/>
      <c r="B366" s="126"/>
      <c r="C366" s="131" t="s">
        <v>697</v>
      </c>
      <c r="D366" s="131" t="s">
        <v>2911</v>
      </c>
      <c r="E366" s="131">
        <v>26</v>
      </c>
      <c r="F366" s="131">
        <v>31</v>
      </c>
      <c r="G366" s="201">
        <v>23</v>
      </c>
      <c r="H366" s="127" t="s">
        <v>26</v>
      </c>
      <c r="I366" s="131"/>
      <c r="J366" s="131">
        <v>1</v>
      </c>
      <c r="K366" s="141"/>
      <c r="L366" s="141"/>
      <c r="M366" s="141">
        <v>1</v>
      </c>
      <c r="N366" s="146"/>
      <c r="O366" s="146"/>
      <c r="P366" s="146"/>
      <c r="Q366" s="131"/>
    </row>
    <row r="367" spans="1:18" x14ac:dyDescent="0.55000000000000004">
      <c r="A367" s="131"/>
      <c r="B367" s="131"/>
      <c r="C367" s="131"/>
      <c r="D367" s="163" t="s">
        <v>449</v>
      </c>
      <c r="E367" s="131"/>
      <c r="F367" s="131"/>
      <c r="G367" s="131"/>
      <c r="H367" s="131"/>
      <c r="I367" s="131">
        <f>SUM(I2:I350)</f>
        <v>170</v>
      </c>
      <c r="J367" s="131">
        <f>SUM(J200:J366)</f>
        <v>143</v>
      </c>
      <c r="K367" s="141">
        <f>SUM(K2:K341)</f>
        <v>0</v>
      </c>
      <c r="L367" s="141">
        <f>SUM(L2:L341)</f>
        <v>0</v>
      </c>
      <c r="M367" s="141">
        <f>SUM(M2:M366)</f>
        <v>132</v>
      </c>
      <c r="N367" s="146">
        <f>SUM(N2:N341)</f>
        <v>0</v>
      </c>
      <c r="O367" s="146">
        <f>SUM(O2:O341)</f>
        <v>0</v>
      </c>
      <c r="P367" s="146">
        <f>SUM(P2:P341)</f>
        <v>158</v>
      </c>
      <c r="Q367" s="131"/>
      <c r="R367" s="166"/>
    </row>
    <row r="368" spans="1:18" ht="113.25" customHeight="1" x14ac:dyDescent="0.55000000000000004">
      <c r="H368" s="164"/>
      <c r="I368" s="164"/>
      <c r="J368" s="164"/>
      <c r="K368" s="164"/>
      <c r="L368" s="164"/>
      <c r="M368" s="165"/>
      <c r="N368" s="165"/>
      <c r="O368" s="165"/>
      <c r="P368" s="165"/>
      <c r="Q368" s="164"/>
    </row>
  </sheetData>
  <autoFilter ref="B1:Q367" xr:uid="{A1FC41A6-1026-47A6-9183-BD0A56F99656}">
    <sortState xmlns:xlrd2="http://schemas.microsoft.com/office/spreadsheetml/2017/richdata2" ref="B2:Q367">
      <sortCondition ref="B1:B310"/>
    </sortState>
  </autoFilter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A9B217-DD88-4BA7-9514-C90D4BFEF503}">
  <sheetPr>
    <pageSetUpPr fitToPage="1"/>
  </sheetPr>
  <dimension ref="A1:R335"/>
  <sheetViews>
    <sheetView rightToLeft="1" zoomScale="130" zoomScaleNormal="130" workbookViewId="0">
      <pane ySplit="1" topLeftCell="A67" activePane="bottomLeft" state="frozen"/>
      <selection activeCell="B1" sqref="B1"/>
      <selection pane="bottomLeft" activeCell="Q326" sqref="Q326"/>
    </sheetView>
  </sheetViews>
  <sheetFormatPr defaultRowHeight="20.25" thickBottom="1" x14ac:dyDescent="0.3"/>
  <cols>
    <col min="1" max="1" width="6" style="42" customWidth="1"/>
    <col min="2" max="2" width="6.28515625" style="42" customWidth="1"/>
    <col min="3" max="3" width="10" style="42" customWidth="1"/>
    <col min="4" max="4" width="15" style="42" customWidth="1"/>
    <col min="5" max="5" width="5.85546875" style="42" customWidth="1"/>
    <col min="6" max="7" width="7" style="42" customWidth="1"/>
    <col min="8" max="8" width="8.28515625" style="42" customWidth="1"/>
    <col min="9" max="9" width="7.42578125" style="42" customWidth="1"/>
    <col min="10" max="10" width="6.28515625" style="42" customWidth="1"/>
    <col min="11" max="11" width="9.5703125" style="40" customWidth="1"/>
    <col min="12" max="12" width="8.5703125" style="40" customWidth="1"/>
    <col min="13" max="13" width="7.85546875" style="40" customWidth="1"/>
    <col min="14" max="14" width="9.7109375" style="41" customWidth="1"/>
    <col min="15" max="15" width="9.28515625" style="41" customWidth="1"/>
    <col min="16" max="16" width="10.28515625" style="41" customWidth="1"/>
    <col min="17" max="17" width="23" style="42" customWidth="1"/>
    <col min="18" max="18" width="13.7109375" style="42" customWidth="1"/>
    <col min="19" max="16384" width="9.140625" style="42"/>
  </cols>
  <sheetData>
    <row r="1" spans="2:17" ht="70.5" customHeight="1" thickBot="1" x14ac:dyDescent="0.3">
      <c r="B1" s="91" t="s">
        <v>0</v>
      </c>
      <c r="C1" s="92" t="s">
        <v>420</v>
      </c>
      <c r="D1" s="93" t="s">
        <v>162</v>
      </c>
      <c r="E1" s="93" t="s">
        <v>1</v>
      </c>
      <c r="F1" s="93" t="s">
        <v>0</v>
      </c>
      <c r="G1" s="93" t="s">
        <v>2</v>
      </c>
      <c r="H1" s="93" t="s">
        <v>4</v>
      </c>
      <c r="I1" s="39" t="s">
        <v>27</v>
      </c>
      <c r="J1" s="39" t="s">
        <v>435</v>
      </c>
      <c r="K1" s="40" t="s">
        <v>438</v>
      </c>
      <c r="L1" s="40" t="s">
        <v>439</v>
      </c>
      <c r="M1" s="40" t="s">
        <v>440</v>
      </c>
      <c r="N1" s="41" t="s">
        <v>437</v>
      </c>
      <c r="O1" s="41" t="s">
        <v>436</v>
      </c>
      <c r="P1" s="41" t="s">
        <v>443</v>
      </c>
      <c r="Q1" s="94" t="s">
        <v>5</v>
      </c>
    </row>
    <row r="2" spans="2:17" thickBot="1" x14ac:dyDescent="0.3">
      <c r="B2" s="2">
        <v>1</v>
      </c>
      <c r="C2" s="2" t="s">
        <v>166</v>
      </c>
      <c r="D2" s="2" t="s">
        <v>994</v>
      </c>
      <c r="E2" s="2">
        <v>27</v>
      </c>
      <c r="F2" s="2">
        <v>123</v>
      </c>
      <c r="G2" s="2"/>
      <c r="H2" s="2" t="s">
        <v>26</v>
      </c>
      <c r="I2" s="2"/>
      <c r="J2" s="2">
        <v>1</v>
      </c>
      <c r="Q2" s="2"/>
    </row>
    <row r="3" spans="2:17" thickBot="1" x14ac:dyDescent="0.3">
      <c r="B3" s="2">
        <v>2</v>
      </c>
      <c r="C3" s="2" t="s">
        <v>131</v>
      </c>
      <c r="D3" s="2" t="s">
        <v>1261</v>
      </c>
      <c r="E3" s="2">
        <v>27</v>
      </c>
      <c r="F3" s="2"/>
      <c r="G3" s="2"/>
      <c r="H3" s="2" t="s">
        <v>26</v>
      </c>
      <c r="I3" s="2"/>
      <c r="J3" s="2">
        <v>1</v>
      </c>
      <c r="Q3" s="2"/>
    </row>
    <row r="4" spans="2:17" thickBot="1" x14ac:dyDescent="0.3">
      <c r="B4" s="2">
        <v>3</v>
      </c>
      <c r="C4" s="2" t="s">
        <v>143</v>
      </c>
      <c r="D4" s="2" t="s">
        <v>1260</v>
      </c>
      <c r="E4" s="2">
        <v>27</v>
      </c>
      <c r="F4" s="2"/>
      <c r="G4" s="2"/>
      <c r="H4" s="2" t="s">
        <v>26</v>
      </c>
      <c r="I4" s="2"/>
      <c r="J4" s="2">
        <v>1</v>
      </c>
      <c r="Q4" s="2"/>
    </row>
    <row r="5" spans="2:17" thickBot="1" x14ac:dyDescent="0.3">
      <c r="B5" s="2">
        <v>4</v>
      </c>
      <c r="C5" s="2" t="s">
        <v>234</v>
      </c>
      <c r="D5" s="2" t="s">
        <v>1259</v>
      </c>
      <c r="E5" s="2">
        <v>27</v>
      </c>
      <c r="F5" s="2"/>
      <c r="G5" s="2"/>
      <c r="H5" s="2" t="s">
        <v>26</v>
      </c>
      <c r="I5" s="2"/>
      <c r="J5" s="2">
        <v>1</v>
      </c>
      <c r="Q5" s="2"/>
    </row>
    <row r="6" spans="2:17" thickBot="1" x14ac:dyDescent="0.3">
      <c r="B6" s="2">
        <v>5</v>
      </c>
      <c r="C6" s="2" t="s">
        <v>135</v>
      </c>
      <c r="D6" s="2" t="s">
        <v>1258</v>
      </c>
      <c r="E6" s="2">
        <v>27</v>
      </c>
      <c r="F6" s="2">
        <v>47</v>
      </c>
      <c r="G6" s="2">
        <v>5</v>
      </c>
      <c r="H6" s="2" t="s">
        <v>26</v>
      </c>
      <c r="I6" s="2"/>
      <c r="J6" s="2">
        <v>1</v>
      </c>
      <c r="Q6" s="2"/>
    </row>
    <row r="7" spans="2:17" thickBot="1" x14ac:dyDescent="0.3">
      <c r="B7" s="2">
        <v>6</v>
      </c>
      <c r="C7" s="2" t="s">
        <v>131</v>
      </c>
      <c r="D7" s="2" t="s">
        <v>1257</v>
      </c>
      <c r="E7" s="2">
        <v>27</v>
      </c>
      <c r="F7" s="2">
        <v>141</v>
      </c>
      <c r="G7" s="2">
        <v>2</v>
      </c>
      <c r="H7" s="2" t="s">
        <v>26</v>
      </c>
      <c r="I7" s="2"/>
      <c r="J7" s="2">
        <v>1</v>
      </c>
      <c r="Q7" s="2"/>
    </row>
    <row r="8" spans="2:17" thickBot="1" x14ac:dyDescent="0.3">
      <c r="B8" s="2">
        <v>7</v>
      </c>
      <c r="C8" s="2" t="s">
        <v>781</v>
      </c>
      <c r="D8" s="2" t="s">
        <v>1256</v>
      </c>
      <c r="E8" s="2">
        <v>27</v>
      </c>
      <c r="F8" s="2">
        <v>111</v>
      </c>
      <c r="G8" s="2" t="s">
        <v>18</v>
      </c>
      <c r="H8" s="2" t="s">
        <v>26</v>
      </c>
      <c r="I8" s="2"/>
      <c r="J8" s="2">
        <v>1</v>
      </c>
      <c r="M8" s="40">
        <v>1</v>
      </c>
      <c r="Q8" s="2"/>
    </row>
    <row r="9" spans="2:17" thickBot="1" x14ac:dyDescent="0.3">
      <c r="B9" s="2">
        <v>8</v>
      </c>
      <c r="C9" s="2" t="s">
        <v>1255</v>
      </c>
      <c r="D9" s="2" t="s">
        <v>1254</v>
      </c>
      <c r="E9" s="2">
        <v>27</v>
      </c>
      <c r="F9" s="2"/>
      <c r="G9" s="2"/>
      <c r="H9" s="2" t="s">
        <v>26</v>
      </c>
      <c r="I9" s="2"/>
      <c r="J9" s="2">
        <v>1</v>
      </c>
      <c r="Q9" s="2"/>
    </row>
    <row r="10" spans="2:17" thickBot="1" x14ac:dyDescent="0.3">
      <c r="B10" s="2">
        <v>9</v>
      </c>
      <c r="C10" s="2" t="s">
        <v>270</v>
      </c>
      <c r="D10" s="2" t="s">
        <v>1253</v>
      </c>
      <c r="E10" s="2">
        <v>27</v>
      </c>
      <c r="F10" s="2"/>
      <c r="G10" s="2"/>
      <c r="H10" s="2" t="s">
        <v>26</v>
      </c>
      <c r="I10" s="2"/>
      <c r="J10" s="2">
        <v>1</v>
      </c>
      <c r="Q10" s="2"/>
    </row>
    <row r="11" spans="2:17" thickBot="1" x14ac:dyDescent="0.3">
      <c r="B11" s="2">
        <v>10</v>
      </c>
      <c r="C11" s="2" t="s">
        <v>1252</v>
      </c>
      <c r="D11" s="2" t="s">
        <v>1251</v>
      </c>
      <c r="E11" s="2">
        <v>27</v>
      </c>
      <c r="F11" s="2">
        <v>86</v>
      </c>
      <c r="G11" s="2">
        <v>9</v>
      </c>
      <c r="H11" s="2" t="s">
        <v>26</v>
      </c>
      <c r="I11" s="2"/>
      <c r="J11" s="2">
        <v>1</v>
      </c>
      <c r="Q11" s="2"/>
    </row>
    <row r="12" spans="2:17" ht="24.75" customHeight="1" thickBot="1" x14ac:dyDescent="0.3">
      <c r="B12" s="2">
        <v>11</v>
      </c>
      <c r="C12" s="2" t="s">
        <v>634</v>
      </c>
      <c r="D12" s="2" t="s">
        <v>1250</v>
      </c>
      <c r="E12" s="2">
        <v>27</v>
      </c>
      <c r="F12" s="2">
        <v>41</v>
      </c>
      <c r="G12" s="2">
        <v>6</v>
      </c>
      <c r="H12" s="2" t="s">
        <v>27</v>
      </c>
      <c r="I12" s="2">
        <v>1</v>
      </c>
      <c r="J12" s="2"/>
      <c r="P12" s="41">
        <v>1</v>
      </c>
      <c r="Q12" s="2"/>
    </row>
    <row r="13" spans="2:17" thickBot="1" x14ac:dyDescent="0.3">
      <c r="B13" s="2">
        <v>12</v>
      </c>
      <c r="C13" s="2" t="s">
        <v>1249</v>
      </c>
      <c r="D13" s="2" t="s">
        <v>1248</v>
      </c>
      <c r="E13" s="2">
        <v>27</v>
      </c>
      <c r="F13" s="2"/>
      <c r="G13" s="2"/>
      <c r="H13" s="2" t="s">
        <v>26</v>
      </c>
      <c r="I13" s="2"/>
      <c r="J13" s="2">
        <v>1</v>
      </c>
      <c r="Q13" s="2"/>
    </row>
    <row r="14" spans="2:17" thickBot="1" x14ac:dyDescent="0.3">
      <c r="B14" s="2">
        <v>13</v>
      </c>
      <c r="C14" s="2" t="s">
        <v>125</v>
      </c>
      <c r="D14" s="2" t="s">
        <v>1247</v>
      </c>
      <c r="E14" s="2">
        <v>27</v>
      </c>
      <c r="F14" s="2"/>
      <c r="G14" s="2"/>
      <c r="H14" s="2" t="s">
        <v>26</v>
      </c>
      <c r="I14" s="2"/>
      <c r="J14" s="2">
        <v>1</v>
      </c>
      <c r="Q14" s="2"/>
    </row>
    <row r="15" spans="2:17" thickBot="1" x14ac:dyDescent="0.3">
      <c r="B15" s="2">
        <v>14</v>
      </c>
      <c r="C15" s="2" t="s">
        <v>1246</v>
      </c>
      <c r="D15" s="2" t="s">
        <v>1245</v>
      </c>
      <c r="E15" s="2">
        <v>27</v>
      </c>
      <c r="F15" s="2">
        <v>6</v>
      </c>
      <c r="G15" s="2">
        <v>5</v>
      </c>
      <c r="H15" s="2" t="s">
        <v>26</v>
      </c>
      <c r="I15" s="2"/>
      <c r="J15" s="2">
        <v>1</v>
      </c>
      <c r="Q15" s="2"/>
    </row>
    <row r="16" spans="2:17" thickBot="1" x14ac:dyDescent="0.3">
      <c r="B16" s="2">
        <v>15</v>
      </c>
      <c r="C16" s="2" t="s">
        <v>1244</v>
      </c>
      <c r="D16" s="2" t="s">
        <v>1243</v>
      </c>
      <c r="E16" s="2">
        <v>27</v>
      </c>
      <c r="F16" s="2"/>
      <c r="G16" s="2"/>
      <c r="H16" s="2" t="s">
        <v>26</v>
      </c>
      <c r="I16" s="2"/>
      <c r="J16" s="2">
        <v>1</v>
      </c>
      <c r="Q16" s="2"/>
    </row>
    <row r="17" spans="2:17" thickBot="1" x14ac:dyDescent="0.3">
      <c r="B17" s="2">
        <v>16</v>
      </c>
      <c r="C17" s="2" t="s">
        <v>306</v>
      </c>
      <c r="D17" s="2" t="s">
        <v>686</v>
      </c>
      <c r="E17" s="2">
        <v>27</v>
      </c>
      <c r="F17" s="2"/>
      <c r="G17" s="2"/>
      <c r="H17" s="2" t="s">
        <v>26</v>
      </c>
      <c r="I17" s="2"/>
      <c r="J17" s="2">
        <v>1</v>
      </c>
      <c r="Q17" s="2"/>
    </row>
    <row r="18" spans="2:17" thickBot="1" x14ac:dyDescent="0.3">
      <c r="B18" s="2">
        <v>17</v>
      </c>
      <c r="C18" s="2" t="s">
        <v>315</v>
      </c>
      <c r="D18" s="2" t="s">
        <v>1242</v>
      </c>
      <c r="E18" s="2">
        <v>27</v>
      </c>
      <c r="F18" s="2">
        <v>32</v>
      </c>
      <c r="G18" s="2">
        <v>4</v>
      </c>
      <c r="H18" s="2" t="s">
        <v>26</v>
      </c>
      <c r="I18" s="2"/>
      <c r="J18" s="2">
        <v>1</v>
      </c>
      <c r="Q18" s="2"/>
    </row>
    <row r="19" spans="2:17" thickBot="1" x14ac:dyDescent="0.3">
      <c r="B19" s="2">
        <v>18</v>
      </c>
      <c r="C19" s="2" t="s">
        <v>845</v>
      </c>
      <c r="D19" s="2" t="s">
        <v>1241</v>
      </c>
      <c r="E19" s="2">
        <v>27</v>
      </c>
      <c r="F19" s="2">
        <v>55</v>
      </c>
      <c r="G19" s="2">
        <v>4</v>
      </c>
      <c r="H19" s="2" t="s">
        <v>26</v>
      </c>
      <c r="I19" s="2"/>
      <c r="J19" s="2">
        <v>1</v>
      </c>
      <c r="Q19" s="2"/>
    </row>
    <row r="20" spans="2:17" thickBot="1" x14ac:dyDescent="0.3">
      <c r="B20" s="2">
        <v>19</v>
      </c>
      <c r="C20" s="2" t="s">
        <v>573</v>
      </c>
      <c r="D20" s="2" t="s">
        <v>1240</v>
      </c>
      <c r="E20" s="2">
        <v>27</v>
      </c>
      <c r="F20" s="2">
        <v>12</v>
      </c>
      <c r="G20" s="2" t="s">
        <v>18</v>
      </c>
      <c r="H20" s="2" t="s">
        <v>26</v>
      </c>
      <c r="I20" s="2"/>
      <c r="J20" s="2">
        <v>1</v>
      </c>
      <c r="Q20" s="2"/>
    </row>
    <row r="21" spans="2:17" thickBot="1" x14ac:dyDescent="0.3">
      <c r="B21" s="2">
        <v>20</v>
      </c>
      <c r="C21" s="2" t="s">
        <v>1135</v>
      </c>
      <c r="D21" s="2" t="s">
        <v>1239</v>
      </c>
      <c r="E21" s="2">
        <v>27</v>
      </c>
      <c r="F21" s="2">
        <v>24</v>
      </c>
      <c r="G21" s="2">
        <v>3</v>
      </c>
      <c r="H21" s="2" t="s">
        <v>26</v>
      </c>
      <c r="I21" s="2"/>
      <c r="J21" s="2">
        <v>1</v>
      </c>
      <c r="Q21" s="2"/>
    </row>
    <row r="22" spans="2:17" thickBot="1" x14ac:dyDescent="0.3">
      <c r="B22" s="2">
        <v>21</v>
      </c>
      <c r="C22" s="2" t="s">
        <v>1238</v>
      </c>
      <c r="D22" s="2" t="s">
        <v>172</v>
      </c>
      <c r="E22" s="2">
        <v>27</v>
      </c>
      <c r="F22" s="2"/>
      <c r="G22" s="2"/>
      <c r="H22" s="2" t="s">
        <v>26</v>
      </c>
      <c r="I22" s="2"/>
      <c r="J22" s="2">
        <v>1</v>
      </c>
      <c r="Q22" s="2"/>
    </row>
    <row r="23" spans="2:17" thickBot="1" x14ac:dyDescent="0.3">
      <c r="B23" s="2">
        <v>22</v>
      </c>
      <c r="C23" s="2" t="s">
        <v>1105</v>
      </c>
      <c r="D23" s="2" t="s">
        <v>1237</v>
      </c>
      <c r="E23" s="2">
        <v>27</v>
      </c>
      <c r="F23" s="2"/>
      <c r="G23" s="2"/>
      <c r="H23" s="2" t="s">
        <v>26</v>
      </c>
      <c r="I23" s="2"/>
      <c r="J23" s="2">
        <v>1</v>
      </c>
      <c r="Q23" s="2"/>
    </row>
    <row r="24" spans="2:17" thickBot="1" x14ac:dyDescent="0.3">
      <c r="B24" s="2">
        <v>23</v>
      </c>
      <c r="C24" s="2" t="s">
        <v>132</v>
      </c>
      <c r="D24" s="2" t="s">
        <v>1236</v>
      </c>
      <c r="E24" s="2">
        <v>27</v>
      </c>
      <c r="F24" s="2"/>
      <c r="G24" s="2"/>
      <c r="H24" s="2" t="s">
        <v>26</v>
      </c>
      <c r="I24" s="2"/>
      <c r="J24" s="2">
        <v>1</v>
      </c>
      <c r="Q24" s="2"/>
    </row>
    <row r="25" spans="2:17" thickBot="1" x14ac:dyDescent="0.3">
      <c r="B25" s="2">
        <v>24</v>
      </c>
      <c r="C25" s="2" t="s">
        <v>600</v>
      </c>
      <c r="D25" s="2" t="s">
        <v>1235</v>
      </c>
      <c r="E25" s="2">
        <v>27</v>
      </c>
      <c r="F25" s="2"/>
      <c r="G25" s="2" t="s">
        <v>18</v>
      </c>
      <c r="H25" s="2" t="s">
        <v>26</v>
      </c>
      <c r="I25" s="2"/>
      <c r="J25" s="2">
        <v>1</v>
      </c>
      <c r="Q25" s="2"/>
    </row>
    <row r="26" spans="2:17" thickBot="1" x14ac:dyDescent="0.3">
      <c r="B26" s="2">
        <v>25</v>
      </c>
      <c r="C26" s="2" t="s">
        <v>280</v>
      </c>
      <c r="D26" s="2" t="s">
        <v>1234</v>
      </c>
      <c r="E26" s="2">
        <v>27</v>
      </c>
      <c r="F26" s="2">
        <v>24</v>
      </c>
      <c r="G26" s="2" t="s">
        <v>18</v>
      </c>
      <c r="H26" s="2" t="s">
        <v>26</v>
      </c>
      <c r="I26" s="2"/>
      <c r="J26" s="2">
        <v>1</v>
      </c>
      <c r="Q26" s="2"/>
    </row>
    <row r="27" spans="2:17" ht="21.75" customHeight="1" thickBot="1" x14ac:dyDescent="0.3">
      <c r="B27" s="2">
        <v>26</v>
      </c>
      <c r="C27" s="2" t="s">
        <v>232</v>
      </c>
      <c r="D27" s="2" t="s">
        <v>1233</v>
      </c>
      <c r="E27" s="2">
        <v>27</v>
      </c>
      <c r="F27" s="2">
        <v>62</v>
      </c>
      <c r="G27" s="2" t="s">
        <v>19</v>
      </c>
      <c r="H27" s="2" t="s">
        <v>26</v>
      </c>
      <c r="I27" s="2"/>
      <c r="J27" s="2">
        <v>1</v>
      </c>
      <c r="Q27" s="2"/>
    </row>
    <row r="28" spans="2:17" ht="18.75" customHeight="1" thickBot="1" x14ac:dyDescent="0.3">
      <c r="B28" s="2">
        <v>27</v>
      </c>
      <c r="C28" s="2" t="s">
        <v>131</v>
      </c>
      <c r="D28" s="2" t="s">
        <v>1232</v>
      </c>
      <c r="E28" s="2">
        <v>27</v>
      </c>
      <c r="F28" s="2">
        <v>56</v>
      </c>
      <c r="G28" s="2" t="s">
        <v>19</v>
      </c>
      <c r="H28" s="2" t="s">
        <v>26</v>
      </c>
      <c r="I28" s="2"/>
      <c r="J28" s="2">
        <v>1</v>
      </c>
      <c r="Q28" s="2"/>
    </row>
    <row r="29" spans="2:17" ht="18.75" customHeight="1" thickBot="1" x14ac:dyDescent="0.3">
      <c r="B29" s="2">
        <v>28</v>
      </c>
      <c r="C29" s="2" t="s">
        <v>655</v>
      </c>
      <c r="D29" s="2" t="s">
        <v>1231</v>
      </c>
      <c r="E29" s="2">
        <v>27</v>
      </c>
      <c r="F29" s="2"/>
      <c r="G29" s="2"/>
      <c r="H29" s="2" t="s">
        <v>26</v>
      </c>
      <c r="I29" s="2"/>
      <c r="J29" s="2">
        <v>1</v>
      </c>
      <c r="Q29" s="2"/>
    </row>
    <row r="30" spans="2:17" ht="20.25" customHeight="1" thickBot="1" x14ac:dyDescent="0.3">
      <c r="B30" s="2">
        <v>29</v>
      </c>
      <c r="C30" s="2" t="s">
        <v>1230</v>
      </c>
      <c r="D30" s="2" t="s">
        <v>1229</v>
      </c>
      <c r="E30" s="2">
        <v>27</v>
      </c>
      <c r="F30" s="2">
        <v>20</v>
      </c>
      <c r="G30" s="2" t="s">
        <v>17</v>
      </c>
      <c r="H30" s="2" t="s">
        <v>26</v>
      </c>
      <c r="I30" s="2"/>
      <c r="J30" s="2">
        <v>1</v>
      </c>
      <c r="Q30" s="2"/>
    </row>
    <row r="31" spans="2:17" ht="21" customHeight="1" thickBot="1" x14ac:dyDescent="0.3">
      <c r="B31" s="2">
        <v>30</v>
      </c>
      <c r="C31" s="2" t="s">
        <v>1228</v>
      </c>
      <c r="D31" s="2" t="s">
        <v>1227</v>
      </c>
      <c r="E31" s="2">
        <v>27</v>
      </c>
      <c r="F31" s="2"/>
      <c r="G31" s="2"/>
      <c r="H31" s="2" t="s">
        <v>26</v>
      </c>
      <c r="I31" s="2"/>
      <c r="J31" s="2">
        <v>1</v>
      </c>
      <c r="Q31" s="2"/>
    </row>
    <row r="32" spans="2:17" ht="21.75" customHeight="1" thickBot="1" x14ac:dyDescent="0.3">
      <c r="B32" s="2">
        <v>31</v>
      </c>
      <c r="C32" s="2" t="s">
        <v>1226</v>
      </c>
      <c r="D32" s="2" t="s">
        <v>403</v>
      </c>
      <c r="E32" s="2">
        <v>27</v>
      </c>
      <c r="F32" s="2">
        <v>41</v>
      </c>
      <c r="G32" s="2" t="s">
        <v>21</v>
      </c>
      <c r="H32" s="2" t="s">
        <v>26</v>
      </c>
      <c r="I32" s="2"/>
      <c r="J32" s="2">
        <v>1</v>
      </c>
      <c r="Q32" s="2"/>
    </row>
    <row r="33" spans="2:17" ht="28.5" customHeight="1" thickBot="1" x14ac:dyDescent="0.3">
      <c r="B33" s="2">
        <v>32</v>
      </c>
      <c r="C33" s="2" t="s">
        <v>131</v>
      </c>
      <c r="D33" s="2" t="s">
        <v>1137</v>
      </c>
      <c r="E33" s="2">
        <v>27</v>
      </c>
      <c r="F33" s="2"/>
      <c r="G33" s="2" t="s">
        <v>21</v>
      </c>
      <c r="H33" s="2" t="s">
        <v>26</v>
      </c>
      <c r="I33" s="2"/>
      <c r="J33" s="2">
        <v>1</v>
      </c>
      <c r="Q33" s="2"/>
    </row>
    <row r="34" spans="2:17" ht="26.25" customHeight="1" thickBot="1" x14ac:dyDescent="0.3">
      <c r="B34" s="2">
        <v>33</v>
      </c>
      <c r="C34" s="2" t="s">
        <v>575</v>
      </c>
      <c r="D34" s="2" t="s">
        <v>1225</v>
      </c>
      <c r="E34" s="2">
        <v>27</v>
      </c>
      <c r="F34" s="2"/>
      <c r="G34" s="2"/>
      <c r="H34" s="2" t="s">
        <v>26</v>
      </c>
      <c r="I34" s="2"/>
      <c r="J34" s="2">
        <v>1</v>
      </c>
      <c r="Q34" s="2"/>
    </row>
    <row r="35" spans="2:17" ht="36.75" customHeight="1" thickBot="1" x14ac:dyDescent="0.3">
      <c r="B35" s="2">
        <v>34</v>
      </c>
      <c r="C35" s="2" t="s">
        <v>123</v>
      </c>
      <c r="D35" s="2" t="s">
        <v>1224</v>
      </c>
      <c r="E35" s="2">
        <v>27</v>
      </c>
      <c r="F35" s="2"/>
      <c r="G35" s="2"/>
      <c r="H35" s="2" t="s">
        <v>27</v>
      </c>
      <c r="I35" s="2">
        <v>1</v>
      </c>
      <c r="J35" s="2"/>
      <c r="O35" s="41">
        <v>1</v>
      </c>
      <c r="Q35" s="2" t="s">
        <v>28</v>
      </c>
    </row>
    <row r="36" spans="2:17" thickBot="1" x14ac:dyDescent="0.3">
      <c r="B36" s="2">
        <v>35</v>
      </c>
      <c r="C36" s="2" t="s">
        <v>135</v>
      </c>
      <c r="D36" s="2" t="s">
        <v>174</v>
      </c>
      <c r="E36" s="2">
        <v>27</v>
      </c>
      <c r="F36" s="2"/>
      <c r="G36" s="2"/>
      <c r="H36" s="2" t="s">
        <v>27</v>
      </c>
      <c r="I36" s="2">
        <v>1</v>
      </c>
      <c r="J36" s="2"/>
      <c r="N36" s="41">
        <v>1</v>
      </c>
      <c r="Q36" s="2"/>
    </row>
    <row r="37" spans="2:17" thickBot="1" x14ac:dyDescent="0.3">
      <c r="B37" s="2">
        <v>36</v>
      </c>
      <c r="C37" s="2" t="s">
        <v>135</v>
      </c>
      <c r="D37" s="2" t="s">
        <v>312</v>
      </c>
      <c r="E37" s="2">
        <v>27</v>
      </c>
      <c r="F37" s="2">
        <v>12</v>
      </c>
      <c r="G37" s="2">
        <v>6</v>
      </c>
      <c r="H37" s="2" t="s">
        <v>27</v>
      </c>
      <c r="I37" s="2">
        <v>1</v>
      </c>
      <c r="J37" s="2"/>
      <c r="P37" s="41">
        <v>1</v>
      </c>
      <c r="Q37" s="2"/>
    </row>
    <row r="38" spans="2:17" ht="36.75" thickBot="1" x14ac:dyDescent="0.3">
      <c r="B38" s="2">
        <v>37</v>
      </c>
      <c r="C38" s="2" t="s">
        <v>221</v>
      </c>
      <c r="D38" s="2" t="s">
        <v>1223</v>
      </c>
      <c r="E38" s="2">
        <v>27</v>
      </c>
      <c r="F38" s="2"/>
      <c r="G38" s="2"/>
      <c r="H38" s="2" t="s">
        <v>27</v>
      </c>
      <c r="I38" s="2">
        <v>1</v>
      </c>
      <c r="J38" s="2"/>
      <c r="N38" s="41">
        <v>1</v>
      </c>
      <c r="Q38" s="2" t="s">
        <v>110</v>
      </c>
    </row>
    <row r="39" spans="2:17" thickBot="1" x14ac:dyDescent="0.3">
      <c r="B39" s="2">
        <v>38</v>
      </c>
      <c r="C39" s="2" t="s">
        <v>600</v>
      </c>
      <c r="D39" s="2" t="s">
        <v>6</v>
      </c>
      <c r="E39" s="2">
        <v>27</v>
      </c>
      <c r="F39" s="2">
        <v>137</v>
      </c>
      <c r="G39" s="2">
        <v>1</v>
      </c>
      <c r="H39" s="2" t="s">
        <v>27</v>
      </c>
      <c r="I39" s="2">
        <v>1</v>
      </c>
      <c r="J39" s="2"/>
      <c r="Q39" s="2" t="s">
        <v>111</v>
      </c>
    </row>
    <row r="40" spans="2:17" thickBot="1" x14ac:dyDescent="0.3">
      <c r="B40" s="2">
        <v>39</v>
      </c>
      <c r="C40" s="2" t="s">
        <v>138</v>
      </c>
      <c r="D40" s="2" t="s">
        <v>1222</v>
      </c>
      <c r="E40" s="2">
        <v>27</v>
      </c>
      <c r="F40" s="2">
        <v>138</v>
      </c>
      <c r="G40" s="2" t="s">
        <v>18</v>
      </c>
      <c r="H40" s="2" t="s">
        <v>27</v>
      </c>
      <c r="I40" s="2">
        <v>1</v>
      </c>
      <c r="J40" s="2"/>
      <c r="P40" s="41">
        <v>1</v>
      </c>
      <c r="Q40" s="2"/>
    </row>
    <row r="41" spans="2:17" thickBot="1" x14ac:dyDescent="0.3">
      <c r="B41" s="2">
        <v>40</v>
      </c>
      <c r="C41" s="2" t="s">
        <v>138</v>
      </c>
      <c r="D41" s="2" t="s">
        <v>1221</v>
      </c>
      <c r="E41" s="2">
        <v>27</v>
      </c>
      <c r="F41" s="2">
        <v>140</v>
      </c>
      <c r="G41" s="2">
        <v>1</v>
      </c>
      <c r="H41" s="2" t="s">
        <v>27</v>
      </c>
      <c r="I41" s="2">
        <v>1</v>
      </c>
      <c r="J41" s="2"/>
      <c r="P41" s="41">
        <v>1</v>
      </c>
      <c r="Q41" s="2"/>
    </row>
    <row r="42" spans="2:17" thickBot="1" x14ac:dyDescent="0.3">
      <c r="B42" s="2">
        <v>41</v>
      </c>
      <c r="C42" s="2" t="s">
        <v>125</v>
      </c>
      <c r="D42" s="2" t="s">
        <v>1220</v>
      </c>
      <c r="E42" s="2">
        <v>27</v>
      </c>
      <c r="F42" s="2">
        <v>139</v>
      </c>
      <c r="G42" s="2">
        <v>2</v>
      </c>
      <c r="H42" s="2" t="s">
        <v>27</v>
      </c>
      <c r="I42" s="2">
        <v>1</v>
      </c>
      <c r="J42" s="2"/>
      <c r="Q42" s="2" t="s">
        <v>112</v>
      </c>
    </row>
    <row r="43" spans="2:17" thickBot="1" x14ac:dyDescent="0.3">
      <c r="B43" s="2">
        <v>42</v>
      </c>
      <c r="C43" s="2" t="s">
        <v>258</v>
      </c>
      <c r="D43" s="2" t="s">
        <v>1219</v>
      </c>
      <c r="E43" s="2">
        <v>27</v>
      </c>
      <c r="F43" s="2">
        <v>144</v>
      </c>
      <c r="G43" s="2">
        <v>2</v>
      </c>
      <c r="H43" s="2" t="s">
        <v>27</v>
      </c>
      <c r="I43" s="2">
        <v>1</v>
      </c>
      <c r="J43" s="2"/>
      <c r="Q43" s="2"/>
    </row>
    <row r="44" spans="2:17" thickBot="1" x14ac:dyDescent="0.3">
      <c r="B44" s="2">
        <v>43</v>
      </c>
      <c r="C44" s="2" t="s">
        <v>135</v>
      </c>
      <c r="D44" s="2" t="s">
        <v>1218</v>
      </c>
      <c r="E44" s="2">
        <v>27</v>
      </c>
      <c r="F44" s="2">
        <v>87</v>
      </c>
      <c r="G44" s="2" t="s">
        <v>71</v>
      </c>
      <c r="H44" s="2" t="s">
        <v>27</v>
      </c>
      <c r="I44" s="2">
        <v>1</v>
      </c>
      <c r="J44" s="2"/>
      <c r="P44" s="41">
        <v>1</v>
      </c>
      <c r="Q44" s="2"/>
    </row>
    <row r="45" spans="2:17" thickBot="1" x14ac:dyDescent="0.3">
      <c r="B45" s="2">
        <v>44</v>
      </c>
      <c r="C45" s="2" t="s">
        <v>1217</v>
      </c>
      <c r="D45" s="2" t="s">
        <v>2400</v>
      </c>
      <c r="E45" s="2">
        <v>27</v>
      </c>
      <c r="F45" s="2">
        <v>138</v>
      </c>
      <c r="G45" s="2" t="s">
        <v>2401</v>
      </c>
      <c r="H45" s="2" t="s">
        <v>27</v>
      </c>
      <c r="I45" s="2">
        <v>1</v>
      </c>
      <c r="J45" s="2"/>
      <c r="P45" s="41">
        <v>1</v>
      </c>
      <c r="Q45" s="2"/>
    </row>
    <row r="46" spans="2:17" thickBot="1" x14ac:dyDescent="0.3">
      <c r="B46" s="2">
        <v>45</v>
      </c>
      <c r="C46" s="2" t="s">
        <v>280</v>
      </c>
      <c r="D46" s="2" t="s">
        <v>1216</v>
      </c>
      <c r="E46" s="2">
        <v>27</v>
      </c>
      <c r="F46" s="2">
        <v>90</v>
      </c>
      <c r="G46" s="2">
        <v>9</v>
      </c>
      <c r="H46" s="2" t="s">
        <v>27</v>
      </c>
      <c r="I46" s="2">
        <v>1</v>
      </c>
      <c r="J46" s="2"/>
      <c r="P46" s="41">
        <v>1</v>
      </c>
      <c r="Q46" s="2"/>
    </row>
    <row r="47" spans="2:17" thickBot="1" x14ac:dyDescent="0.3">
      <c r="B47" s="2">
        <v>46</v>
      </c>
      <c r="C47" s="2" t="s">
        <v>1039</v>
      </c>
      <c r="D47" s="2" t="s">
        <v>1215</v>
      </c>
      <c r="E47" s="2">
        <v>27</v>
      </c>
      <c r="F47" s="2">
        <v>141</v>
      </c>
      <c r="G47" s="2">
        <v>1</v>
      </c>
      <c r="H47" s="2" t="s">
        <v>27</v>
      </c>
      <c r="I47" s="2">
        <v>1</v>
      </c>
      <c r="J47" s="2"/>
      <c r="P47" s="41">
        <v>1</v>
      </c>
      <c r="Q47" s="2"/>
    </row>
    <row r="48" spans="2:17" thickBot="1" x14ac:dyDescent="0.3">
      <c r="B48" s="2">
        <v>47</v>
      </c>
      <c r="C48" s="2" t="s">
        <v>166</v>
      </c>
      <c r="D48" s="99" t="s">
        <v>1214</v>
      </c>
      <c r="E48" s="2">
        <v>27</v>
      </c>
      <c r="F48" s="2">
        <v>149</v>
      </c>
      <c r="G48" s="2" t="s">
        <v>2395</v>
      </c>
      <c r="H48" s="2" t="s">
        <v>27</v>
      </c>
      <c r="I48" s="2">
        <v>1</v>
      </c>
      <c r="J48" s="2"/>
      <c r="P48" s="41">
        <v>1</v>
      </c>
      <c r="Q48" s="2"/>
    </row>
    <row r="49" spans="2:17" thickBot="1" x14ac:dyDescent="0.3">
      <c r="B49" s="2">
        <v>48</v>
      </c>
      <c r="C49" s="2" t="s">
        <v>2407</v>
      </c>
      <c r="D49" s="2" t="s">
        <v>999</v>
      </c>
      <c r="E49" s="2">
        <v>27</v>
      </c>
      <c r="F49" s="2">
        <v>107</v>
      </c>
      <c r="G49" s="2" t="s">
        <v>71</v>
      </c>
      <c r="H49" s="2" t="s">
        <v>27</v>
      </c>
      <c r="I49" s="2">
        <v>1</v>
      </c>
      <c r="J49" s="2"/>
      <c r="P49" s="41">
        <v>1</v>
      </c>
      <c r="Q49" s="2"/>
    </row>
    <row r="50" spans="2:17" thickBot="1" x14ac:dyDescent="0.3">
      <c r="B50" s="2">
        <v>49</v>
      </c>
      <c r="C50" s="2" t="s">
        <v>125</v>
      </c>
      <c r="D50" s="2" t="s">
        <v>1213</v>
      </c>
      <c r="E50" s="2">
        <v>27</v>
      </c>
      <c r="F50" s="2">
        <v>96</v>
      </c>
      <c r="G50" s="2" t="s">
        <v>71</v>
      </c>
      <c r="H50" s="2" t="s">
        <v>27</v>
      </c>
      <c r="I50" s="2">
        <v>1</v>
      </c>
      <c r="J50" s="2"/>
      <c r="P50" s="41">
        <v>1</v>
      </c>
      <c r="Q50" s="2"/>
    </row>
    <row r="51" spans="2:17" thickBot="1" x14ac:dyDescent="0.3">
      <c r="B51" s="2">
        <v>50</v>
      </c>
      <c r="C51" s="2" t="s">
        <v>1212</v>
      </c>
      <c r="D51" s="2" t="s">
        <v>1211</v>
      </c>
      <c r="E51" s="2">
        <v>27</v>
      </c>
      <c r="F51" s="2">
        <v>149</v>
      </c>
      <c r="G51" s="2">
        <v>2</v>
      </c>
      <c r="H51" s="2" t="s">
        <v>27</v>
      </c>
      <c r="I51" s="2">
        <v>1</v>
      </c>
      <c r="J51" s="2"/>
      <c r="P51" s="41">
        <v>1</v>
      </c>
      <c r="Q51" s="2"/>
    </row>
    <row r="52" spans="2:17" ht="23.25" customHeight="1" thickBot="1" x14ac:dyDescent="0.3">
      <c r="B52" s="2">
        <v>51</v>
      </c>
      <c r="C52" s="2" t="s">
        <v>2406</v>
      </c>
      <c r="D52" s="2" t="s">
        <v>2405</v>
      </c>
      <c r="E52" s="2">
        <v>27</v>
      </c>
      <c r="F52" s="2">
        <v>128</v>
      </c>
      <c r="G52" s="2" t="s">
        <v>19</v>
      </c>
      <c r="H52" s="2" t="s">
        <v>27</v>
      </c>
      <c r="I52" s="2">
        <v>1</v>
      </c>
      <c r="J52" s="2"/>
      <c r="P52" s="41">
        <v>1</v>
      </c>
      <c r="Q52" s="2"/>
    </row>
    <row r="53" spans="2:17" thickBot="1" x14ac:dyDescent="0.3">
      <c r="B53" s="2">
        <v>52</v>
      </c>
      <c r="C53" s="2" t="s">
        <v>402</v>
      </c>
      <c r="D53" s="2" t="s">
        <v>1209</v>
      </c>
      <c r="E53" s="2">
        <v>27</v>
      </c>
      <c r="F53" s="2">
        <v>134</v>
      </c>
      <c r="G53" s="2">
        <v>9</v>
      </c>
      <c r="H53" s="2" t="s">
        <v>27</v>
      </c>
      <c r="I53" s="2">
        <v>1</v>
      </c>
      <c r="J53" s="2"/>
      <c r="P53" s="41">
        <v>1</v>
      </c>
      <c r="Q53" s="2"/>
    </row>
    <row r="54" spans="2:17" thickBot="1" x14ac:dyDescent="0.3">
      <c r="B54" s="2">
        <v>53</v>
      </c>
      <c r="C54" s="2" t="s">
        <v>712</v>
      </c>
      <c r="D54" s="2" t="s">
        <v>2403</v>
      </c>
      <c r="E54" s="2">
        <v>27</v>
      </c>
      <c r="F54" s="2">
        <v>116</v>
      </c>
      <c r="G54" s="2" t="s">
        <v>19</v>
      </c>
      <c r="H54" s="2" t="s">
        <v>27</v>
      </c>
      <c r="I54" s="2">
        <v>1</v>
      </c>
      <c r="J54" s="2"/>
      <c r="P54" s="41">
        <v>1</v>
      </c>
      <c r="Q54" s="2"/>
    </row>
    <row r="55" spans="2:17" thickBot="1" x14ac:dyDescent="0.3">
      <c r="B55" s="2">
        <v>54</v>
      </c>
      <c r="C55" s="2" t="s">
        <v>776</v>
      </c>
      <c r="D55" s="2" t="s">
        <v>2404</v>
      </c>
      <c r="E55" s="2">
        <v>27</v>
      </c>
      <c r="F55" s="2">
        <v>117</v>
      </c>
      <c r="G55" s="2" t="s">
        <v>19</v>
      </c>
      <c r="H55" s="2" t="s">
        <v>27</v>
      </c>
      <c r="I55" s="2">
        <v>1</v>
      </c>
      <c r="J55" s="2"/>
      <c r="P55" s="41">
        <v>1</v>
      </c>
      <c r="Q55" s="2"/>
    </row>
    <row r="56" spans="2:17" ht="39.75" customHeight="1" thickBot="1" x14ac:dyDescent="0.3">
      <c r="B56" s="2">
        <v>55</v>
      </c>
      <c r="C56" s="2" t="s">
        <v>123</v>
      </c>
      <c r="D56" s="2" t="s">
        <v>1208</v>
      </c>
      <c r="E56" s="2">
        <v>27</v>
      </c>
      <c r="F56" s="2">
        <v>119</v>
      </c>
      <c r="G56" s="2" t="s">
        <v>19</v>
      </c>
      <c r="H56" s="2" t="s">
        <v>27</v>
      </c>
      <c r="I56" s="2">
        <v>1</v>
      </c>
      <c r="J56" s="2"/>
      <c r="P56" s="41">
        <v>1</v>
      </c>
      <c r="Q56" s="2"/>
    </row>
    <row r="57" spans="2:17" thickBot="1" x14ac:dyDescent="0.3">
      <c r="B57" s="2">
        <v>56</v>
      </c>
      <c r="C57" s="2" t="s">
        <v>138</v>
      </c>
      <c r="D57" s="2" t="s">
        <v>1207</v>
      </c>
      <c r="E57" s="2">
        <v>27</v>
      </c>
      <c r="F57" s="2">
        <v>133</v>
      </c>
      <c r="G57" s="2" t="s">
        <v>18</v>
      </c>
      <c r="H57" s="2" t="s">
        <v>27</v>
      </c>
      <c r="I57" s="2">
        <v>1</v>
      </c>
      <c r="J57" s="2"/>
      <c r="P57" s="41">
        <v>1</v>
      </c>
      <c r="Q57" s="2"/>
    </row>
    <row r="58" spans="2:17" thickBot="1" x14ac:dyDescent="0.3">
      <c r="B58" s="2">
        <v>57</v>
      </c>
      <c r="C58" s="2" t="s">
        <v>1206</v>
      </c>
      <c r="D58" s="2" t="s">
        <v>1205</v>
      </c>
      <c r="E58" s="2">
        <v>27</v>
      </c>
      <c r="F58" s="2">
        <v>135</v>
      </c>
      <c r="G58" s="2" t="s">
        <v>18</v>
      </c>
      <c r="H58" s="2" t="s">
        <v>27</v>
      </c>
      <c r="I58" s="2">
        <v>1</v>
      </c>
      <c r="J58" s="2"/>
      <c r="P58" s="41">
        <v>1</v>
      </c>
      <c r="Q58" s="2"/>
    </row>
    <row r="59" spans="2:17" thickBot="1" x14ac:dyDescent="0.3">
      <c r="B59" s="2">
        <v>58</v>
      </c>
      <c r="C59" s="2" t="s">
        <v>1204</v>
      </c>
      <c r="D59" s="2" t="s">
        <v>1203</v>
      </c>
      <c r="E59" s="2">
        <v>27</v>
      </c>
      <c r="F59" s="2">
        <v>127</v>
      </c>
      <c r="G59" s="2" t="s">
        <v>18</v>
      </c>
      <c r="H59" s="2" t="s">
        <v>27</v>
      </c>
      <c r="I59" s="2">
        <v>1</v>
      </c>
      <c r="J59" s="2"/>
      <c r="P59" s="41">
        <v>1</v>
      </c>
      <c r="Q59" s="2"/>
    </row>
    <row r="60" spans="2:17" thickBot="1" x14ac:dyDescent="0.3">
      <c r="B60" s="2">
        <v>59</v>
      </c>
      <c r="C60" s="2" t="s">
        <v>1202</v>
      </c>
      <c r="D60" s="2" t="s">
        <v>1201</v>
      </c>
      <c r="E60" s="2">
        <v>27</v>
      </c>
      <c r="F60" s="2">
        <v>124</v>
      </c>
      <c r="G60" s="2">
        <v>6</v>
      </c>
      <c r="H60" s="2" t="s">
        <v>27</v>
      </c>
      <c r="I60" s="2">
        <v>1</v>
      </c>
      <c r="J60" s="2"/>
      <c r="P60" s="41">
        <v>1</v>
      </c>
      <c r="Q60" s="2"/>
    </row>
    <row r="61" spans="2:17" thickBot="1" x14ac:dyDescent="0.3">
      <c r="B61" s="2">
        <v>60</v>
      </c>
      <c r="C61" s="2" t="s">
        <v>123</v>
      </c>
      <c r="D61" s="2" t="s">
        <v>2408</v>
      </c>
      <c r="E61" s="2">
        <v>27</v>
      </c>
      <c r="F61" s="2">
        <v>104</v>
      </c>
      <c r="G61" s="2">
        <v>12</v>
      </c>
      <c r="H61" s="2" t="s">
        <v>27</v>
      </c>
      <c r="I61" s="2">
        <v>1</v>
      </c>
      <c r="J61" s="2"/>
      <c r="Q61" s="2"/>
    </row>
    <row r="62" spans="2:17" thickBot="1" x14ac:dyDescent="0.3">
      <c r="B62" s="2">
        <v>61</v>
      </c>
      <c r="C62" s="2" t="s">
        <v>1200</v>
      </c>
      <c r="D62" s="2" t="s">
        <v>1199</v>
      </c>
      <c r="E62" s="2">
        <v>27</v>
      </c>
      <c r="F62" s="2">
        <v>117</v>
      </c>
      <c r="G62" s="2" t="s">
        <v>18</v>
      </c>
      <c r="H62" s="2" t="s">
        <v>27</v>
      </c>
      <c r="I62" s="2">
        <v>1</v>
      </c>
      <c r="J62" s="2"/>
      <c r="Q62" s="2"/>
    </row>
    <row r="63" spans="2:17" thickBot="1" x14ac:dyDescent="0.3">
      <c r="B63" s="2">
        <v>62</v>
      </c>
      <c r="C63" s="2" t="s">
        <v>599</v>
      </c>
      <c r="D63" s="2" t="s">
        <v>1198</v>
      </c>
      <c r="E63" s="2">
        <v>27</v>
      </c>
      <c r="F63" s="2">
        <v>133</v>
      </c>
      <c r="G63" s="2">
        <v>1</v>
      </c>
      <c r="H63" s="2" t="s">
        <v>27</v>
      </c>
      <c r="I63" s="2">
        <v>1</v>
      </c>
      <c r="J63" s="2"/>
      <c r="P63" s="41">
        <v>1</v>
      </c>
      <c r="Q63" s="2"/>
    </row>
    <row r="64" spans="2:17" thickBot="1" x14ac:dyDescent="0.3">
      <c r="B64" s="2">
        <v>63</v>
      </c>
      <c r="C64" s="2" t="s">
        <v>1197</v>
      </c>
      <c r="D64" s="2" t="s">
        <v>1196</v>
      </c>
      <c r="E64" s="2">
        <v>27</v>
      </c>
      <c r="F64" s="2">
        <v>109</v>
      </c>
      <c r="G64" s="2" t="s">
        <v>20</v>
      </c>
      <c r="H64" s="2" t="s">
        <v>27</v>
      </c>
      <c r="I64" s="2">
        <v>1</v>
      </c>
      <c r="J64" s="2"/>
      <c r="N64" s="41">
        <v>1</v>
      </c>
      <c r="Q64" s="2"/>
    </row>
    <row r="65" spans="2:17" thickBot="1" x14ac:dyDescent="0.3">
      <c r="B65" s="2">
        <v>64</v>
      </c>
      <c r="C65" s="2" t="s">
        <v>1195</v>
      </c>
      <c r="D65" s="2" t="s">
        <v>2397</v>
      </c>
      <c r="E65" s="2">
        <v>27</v>
      </c>
      <c r="F65" s="2">
        <v>103</v>
      </c>
      <c r="G65" s="2" t="s">
        <v>20</v>
      </c>
      <c r="H65" s="2" t="s">
        <v>27</v>
      </c>
      <c r="I65" s="2">
        <v>1</v>
      </c>
      <c r="J65" s="2"/>
      <c r="P65" s="41">
        <v>1</v>
      </c>
      <c r="Q65" s="2"/>
    </row>
    <row r="66" spans="2:17" thickBot="1" x14ac:dyDescent="0.3">
      <c r="B66" s="2">
        <v>65</v>
      </c>
      <c r="C66" s="2" t="s">
        <v>1194</v>
      </c>
      <c r="D66" s="2" t="s">
        <v>2385</v>
      </c>
      <c r="E66" s="2">
        <v>27</v>
      </c>
      <c r="F66" s="2">
        <v>113</v>
      </c>
      <c r="G66" s="2">
        <v>5</v>
      </c>
      <c r="H66" s="2" t="s">
        <v>27</v>
      </c>
      <c r="I66" s="2">
        <v>1</v>
      </c>
      <c r="J66" s="2"/>
      <c r="P66" s="41">
        <v>1</v>
      </c>
      <c r="Q66" s="2"/>
    </row>
    <row r="67" spans="2:17" thickBot="1" x14ac:dyDescent="0.3">
      <c r="B67" s="2">
        <v>66</v>
      </c>
      <c r="C67" s="2" t="s">
        <v>1193</v>
      </c>
      <c r="D67" s="2" t="s">
        <v>1192</v>
      </c>
      <c r="E67" s="2">
        <v>27</v>
      </c>
      <c r="F67" s="2">
        <v>129</v>
      </c>
      <c r="G67" s="2">
        <v>2</v>
      </c>
      <c r="H67" s="2" t="s">
        <v>27</v>
      </c>
      <c r="I67" s="2">
        <v>1</v>
      </c>
      <c r="J67" s="2"/>
      <c r="P67" s="41">
        <v>1</v>
      </c>
      <c r="Q67" s="2"/>
    </row>
    <row r="68" spans="2:17" thickBot="1" x14ac:dyDescent="0.3">
      <c r="B68" s="2">
        <v>67</v>
      </c>
      <c r="C68" s="2" t="s">
        <v>832</v>
      </c>
      <c r="D68" s="2" t="s">
        <v>1191</v>
      </c>
      <c r="E68" s="2">
        <v>27</v>
      </c>
      <c r="F68" s="2">
        <v>21</v>
      </c>
      <c r="G68" s="2" t="s">
        <v>21</v>
      </c>
      <c r="H68" s="2" t="s">
        <v>27</v>
      </c>
      <c r="I68" s="2">
        <v>1</v>
      </c>
      <c r="J68" s="2"/>
      <c r="N68" s="41">
        <v>1</v>
      </c>
      <c r="Q68" s="2"/>
    </row>
    <row r="69" spans="2:17" thickBot="1" x14ac:dyDescent="0.3">
      <c r="B69" s="2">
        <v>68</v>
      </c>
      <c r="C69" s="2" t="s">
        <v>217</v>
      </c>
      <c r="D69" s="2" t="s">
        <v>1190</v>
      </c>
      <c r="E69" s="2">
        <v>27</v>
      </c>
      <c r="F69" s="2" t="s">
        <v>16</v>
      </c>
      <c r="G69" s="2" t="s">
        <v>21</v>
      </c>
      <c r="H69" s="2" t="s">
        <v>27</v>
      </c>
      <c r="I69" s="2">
        <v>1</v>
      </c>
      <c r="J69" s="2"/>
      <c r="P69" s="41">
        <v>1</v>
      </c>
      <c r="Q69" s="2"/>
    </row>
    <row r="70" spans="2:17" thickBot="1" x14ac:dyDescent="0.3">
      <c r="B70" s="2">
        <v>69</v>
      </c>
      <c r="C70" s="2" t="s">
        <v>280</v>
      </c>
      <c r="D70" s="2" t="s">
        <v>1188</v>
      </c>
      <c r="E70" s="2">
        <v>27</v>
      </c>
      <c r="F70" s="2">
        <v>131</v>
      </c>
      <c r="G70" s="2">
        <v>4</v>
      </c>
      <c r="H70" s="2" t="s">
        <v>27</v>
      </c>
      <c r="I70" s="2">
        <v>1</v>
      </c>
      <c r="J70" s="2"/>
      <c r="Q70" s="98" t="s">
        <v>434</v>
      </c>
    </row>
    <row r="71" spans="2:17" thickBot="1" x14ac:dyDescent="0.3">
      <c r="B71" s="2">
        <v>70</v>
      </c>
      <c r="C71" s="2" t="s">
        <v>138</v>
      </c>
      <c r="D71" s="2" t="s">
        <v>1188</v>
      </c>
      <c r="E71" s="2">
        <v>27</v>
      </c>
      <c r="F71" s="2">
        <v>131</v>
      </c>
      <c r="G71" s="2">
        <v>3</v>
      </c>
      <c r="H71" s="2" t="s">
        <v>27</v>
      </c>
      <c r="I71" s="2">
        <v>1</v>
      </c>
      <c r="J71" s="2"/>
      <c r="O71" s="41">
        <v>1</v>
      </c>
      <c r="Q71" s="98" t="s">
        <v>434</v>
      </c>
    </row>
    <row r="72" spans="2:17" thickBot="1" x14ac:dyDescent="0.3">
      <c r="B72" s="2">
        <v>71</v>
      </c>
      <c r="C72" s="2" t="s">
        <v>1189</v>
      </c>
      <c r="D72" s="2" t="s">
        <v>1188</v>
      </c>
      <c r="E72" s="2">
        <v>27</v>
      </c>
      <c r="F72" s="2">
        <v>129</v>
      </c>
      <c r="G72" s="2">
        <v>4</v>
      </c>
      <c r="H72" s="2" t="s">
        <v>27</v>
      </c>
      <c r="I72" s="2">
        <v>1</v>
      </c>
      <c r="J72" s="2"/>
      <c r="P72" s="41">
        <v>1</v>
      </c>
      <c r="Q72" s="2"/>
    </row>
    <row r="73" spans="2:17" thickBot="1" x14ac:dyDescent="0.3">
      <c r="B73" s="2">
        <v>72</v>
      </c>
      <c r="C73" s="2" t="s">
        <v>133</v>
      </c>
      <c r="D73" s="2" t="s">
        <v>1187</v>
      </c>
      <c r="E73" s="2">
        <v>27</v>
      </c>
      <c r="F73" s="2">
        <v>130</v>
      </c>
      <c r="G73" s="2">
        <v>4</v>
      </c>
      <c r="H73" s="2" t="s">
        <v>27</v>
      </c>
      <c r="I73" s="2">
        <v>1</v>
      </c>
      <c r="J73" s="2"/>
      <c r="P73" s="41">
        <v>1</v>
      </c>
      <c r="Q73" s="2"/>
    </row>
    <row r="74" spans="2:17" thickBot="1" x14ac:dyDescent="0.3">
      <c r="B74" s="2">
        <v>73</v>
      </c>
      <c r="C74" s="2" t="s">
        <v>402</v>
      </c>
      <c r="D74" s="2" t="s">
        <v>1186</v>
      </c>
      <c r="E74" s="2">
        <v>27</v>
      </c>
      <c r="F74" s="2">
        <v>105</v>
      </c>
      <c r="G74" s="2" t="s">
        <v>18</v>
      </c>
      <c r="H74" s="2" t="s">
        <v>27</v>
      </c>
      <c r="I74" s="2">
        <v>1</v>
      </c>
      <c r="J74" s="2"/>
      <c r="P74" s="41">
        <v>1</v>
      </c>
      <c r="Q74" s="2"/>
    </row>
    <row r="75" spans="2:17" thickBot="1" x14ac:dyDescent="0.3">
      <c r="B75" s="2">
        <v>74</v>
      </c>
      <c r="C75" s="2" t="s">
        <v>296</v>
      </c>
      <c r="D75" s="2" t="s">
        <v>2399</v>
      </c>
      <c r="E75" s="2">
        <v>27</v>
      </c>
      <c r="F75" s="2">
        <v>128</v>
      </c>
      <c r="G75" s="2">
        <v>1</v>
      </c>
      <c r="H75" s="2" t="s">
        <v>27</v>
      </c>
      <c r="I75" s="2">
        <v>1</v>
      </c>
      <c r="J75" s="2"/>
      <c r="P75" s="41">
        <v>1</v>
      </c>
      <c r="Q75" s="2"/>
    </row>
    <row r="76" spans="2:17" thickBot="1" x14ac:dyDescent="0.3">
      <c r="B76" s="2">
        <v>75</v>
      </c>
      <c r="C76" s="2" t="s">
        <v>125</v>
      </c>
      <c r="D76" s="2" t="s">
        <v>1185</v>
      </c>
      <c r="E76" s="2">
        <v>27</v>
      </c>
      <c r="F76" s="2">
        <v>105</v>
      </c>
      <c r="G76" s="2" t="s">
        <v>2398</v>
      </c>
      <c r="H76" s="2" t="s">
        <v>27</v>
      </c>
      <c r="I76" s="2">
        <v>1</v>
      </c>
      <c r="J76" s="2"/>
      <c r="P76" s="41">
        <v>1</v>
      </c>
      <c r="Q76" s="2"/>
    </row>
    <row r="77" spans="2:17" thickBot="1" x14ac:dyDescent="0.3">
      <c r="B77" s="2">
        <v>76</v>
      </c>
      <c r="C77" s="2" t="s">
        <v>677</v>
      </c>
      <c r="D77" s="2" t="s">
        <v>1184</v>
      </c>
      <c r="E77" s="2">
        <v>27</v>
      </c>
      <c r="F77" s="2">
        <v>130</v>
      </c>
      <c r="G77" s="2" t="s">
        <v>19</v>
      </c>
      <c r="H77" s="2" t="s">
        <v>27</v>
      </c>
      <c r="I77" s="2">
        <v>1</v>
      </c>
      <c r="J77" s="2"/>
      <c r="P77" s="41">
        <v>1</v>
      </c>
      <c r="Q77" s="2"/>
    </row>
    <row r="78" spans="2:17" thickBot="1" x14ac:dyDescent="0.3">
      <c r="B78" s="2">
        <v>77</v>
      </c>
      <c r="C78" s="2" t="s">
        <v>138</v>
      </c>
      <c r="D78" s="2" t="s">
        <v>1183</v>
      </c>
      <c r="E78" s="2">
        <v>27</v>
      </c>
      <c r="F78" s="2">
        <v>140</v>
      </c>
      <c r="G78" s="2">
        <v>5</v>
      </c>
      <c r="H78" s="2" t="s">
        <v>27</v>
      </c>
      <c r="I78" s="2">
        <v>1</v>
      </c>
      <c r="J78" s="2"/>
      <c r="P78" s="41">
        <v>1</v>
      </c>
      <c r="Q78" s="2"/>
    </row>
    <row r="79" spans="2:17" thickBot="1" x14ac:dyDescent="0.3">
      <c r="B79" s="2">
        <v>78</v>
      </c>
      <c r="C79" s="2" t="s">
        <v>280</v>
      </c>
      <c r="D79" s="2" t="s">
        <v>1182</v>
      </c>
      <c r="E79" s="2">
        <v>27</v>
      </c>
      <c r="F79" s="2">
        <v>83</v>
      </c>
      <c r="G79" s="2">
        <v>5</v>
      </c>
      <c r="H79" s="2" t="s">
        <v>27</v>
      </c>
      <c r="I79" s="2">
        <v>1</v>
      </c>
      <c r="J79" s="2"/>
      <c r="P79" s="41">
        <v>1</v>
      </c>
      <c r="Q79" s="2"/>
    </row>
    <row r="80" spans="2:17" thickBot="1" x14ac:dyDescent="0.3">
      <c r="B80" s="2">
        <v>79</v>
      </c>
      <c r="C80" s="2" t="s">
        <v>1181</v>
      </c>
      <c r="D80" s="2" t="s">
        <v>1180</v>
      </c>
      <c r="E80" s="2">
        <v>27</v>
      </c>
      <c r="F80" s="2">
        <v>98</v>
      </c>
      <c r="G80" s="2">
        <v>4</v>
      </c>
      <c r="H80" s="2" t="s">
        <v>27</v>
      </c>
      <c r="I80" s="2">
        <v>1</v>
      </c>
      <c r="J80" s="2"/>
      <c r="P80" s="41">
        <v>1</v>
      </c>
      <c r="Q80" s="2"/>
    </row>
    <row r="81" spans="1:17" thickBot="1" x14ac:dyDescent="0.3">
      <c r="A81" s="42" t="s">
        <v>856</v>
      </c>
      <c r="B81" s="2">
        <v>80</v>
      </c>
      <c r="C81" s="2" t="s">
        <v>1179</v>
      </c>
      <c r="D81" s="2" t="s">
        <v>1178</v>
      </c>
      <c r="E81" s="2">
        <v>27</v>
      </c>
      <c r="F81" s="2">
        <v>119</v>
      </c>
      <c r="G81" s="2">
        <v>6</v>
      </c>
      <c r="H81" s="2" t="s">
        <v>27</v>
      </c>
      <c r="I81" s="2">
        <v>1</v>
      </c>
      <c r="J81" s="2"/>
      <c r="P81" s="41">
        <v>1</v>
      </c>
      <c r="Q81" s="2"/>
    </row>
    <row r="82" spans="1:17" thickBot="1" x14ac:dyDescent="0.3">
      <c r="B82" s="2">
        <v>81</v>
      </c>
      <c r="C82" s="2" t="s">
        <v>294</v>
      </c>
      <c r="D82" s="2" t="s">
        <v>571</v>
      </c>
      <c r="E82" s="2">
        <v>27</v>
      </c>
      <c r="F82" s="2">
        <v>119</v>
      </c>
      <c r="G82" s="2">
        <v>4</v>
      </c>
      <c r="H82" s="2" t="s">
        <v>27</v>
      </c>
      <c r="I82" s="2">
        <v>1</v>
      </c>
      <c r="J82" s="2"/>
      <c r="P82" s="41">
        <v>1</v>
      </c>
      <c r="Q82" s="2"/>
    </row>
    <row r="83" spans="1:17" thickBot="1" x14ac:dyDescent="0.3">
      <c r="B83" s="2">
        <v>82</v>
      </c>
      <c r="C83" s="2" t="s">
        <v>1177</v>
      </c>
      <c r="D83" s="2" t="s">
        <v>1176</v>
      </c>
      <c r="E83" s="2">
        <v>27</v>
      </c>
      <c r="F83" s="2">
        <v>126</v>
      </c>
      <c r="G83" s="2">
        <v>3</v>
      </c>
      <c r="H83" s="2" t="s">
        <v>27</v>
      </c>
      <c r="I83" s="2">
        <v>1</v>
      </c>
      <c r="J83" s="2"/>
      <c r="P83" s="41">
        <v>1</v>
      </c>
      <c r="Q83" s="2"/>
    </row>
    <row r="84" spans="1:17" thickBot="1" x14ac:dyDescent="0.3">
      <c r="B84" s="2">
        <v>83</v>
      </c>
      <c r="C84" s="2" t="s">
        <v>125</v>
      </c>
      <c r="D84" s="2" t="s">
        <v>1175</v>
      </c>
      <c r="E84" s="2">
        <v>27</v>
      </c>
      <c r="F84" s="2">
        <v>108</v>
      </c>
      <c r="G84" s="2">
        <v>3</v>
      </c>
      <c r="H84" s="2" t="s">
        <v>27</v>
      </c>
      <c r="I84" s="2">
        <v>1</v>
      </c>
      <c r="J84" s="2"/>
      <c r="P84" s="41">
        <v>1</v>
      </c>
      <c r="Q84" s="2"/>
    </row>
    <row r="85" spans="1:17" thickBot="1" x14ac:dyDescent="0.3">
      <c r="B85" s="2">
        <v>84</v>
      </c>
      <c r="C85" s="2" t="s">
        <v>902</v>
      </c>
      <c r="D85" s="2" t="s">
        <v>1174</v>
      </c>
      <c r="E85" s="2">
        <v>27</v>
      </c>
      <c r="F85" s="2">
        <v>97</v>
      </c>
      <c r="G85" s="2">
        <v>3</v>
      </c>
      <c r="H85" s="2" t="s">
        <v>27</v>
      </c>
      <c r="I85" s="2">
        <v>1</v>
      </c>
      <c r="J85" s="2"/>
      <c r="P85" s="41">
        <v>1</v>
      </c>
      <c r="Q85" s="2"/>
    </row>
    <row r="86" spans="1:17" thickBot="1" x14ac:dyDescent="0.3">
      <c r="B86" s="2">
        <v>85</v>
      </c>
      <c r="C86" s="2" t="s">
        <v>731</v>
      </c>
      <c r="D86" s="2" t="s">
        <v>2402</v>
      </c>
      <c r="E86" s="2">
        <v>27</v>
      </c>
      <c r="F86" s="2">
        <v>125</v>
      </c>
      <c r="G86" s="2" t="s">
        <v>18</v>
      </c>
      <c r="H86" s="2" t="s">
        <v>27</v>
      </c>
      <c r="I86" s="2">
        <v>1</v>
      </c>
      <c r="J86" s="2"/>
      <c r="P86" s="41">
        <v>1</v>
      </c>
      <c r="Q86" s="2"/>
    </row>
    <row r="87" spans="1:17" thickBot="1" x14ac:dyDescent="0.3">
      <c r="B87" s="2">
        <v>86</v>
      </c>
      <c r="C87" s="2" t="s">
        <v>280</v>
      </c>
      <c r="D87" s="2" t="s">
        <v>426</v>
      </c>
      <c r="E87" s="2">
        <v>27</v>
      </c>
      <c r="F87" s="2">
        <v>107</v>
      </c>
      <c r="G87" s="2" t="s">
        <v>22</v>
      </c>
      <c r="H87" s="2" t="s">
        <v>27</v>
      </c>
      <c r="I87" s="2">
        <v>1</v>
      </c>
      <c r="J87" s="2"/>
      <c r="P87" s="41">
        <v>1</v>
      </c>
      <c r="Q87" s="2"/>
    </row>
    <row r="88" spans="1:17" thickBot="1" x14ac:dyDescent="0.3">
      <c r="B88" s="2">
        <v>87</v>
      </c>
      <c r="C88" s="2" t="s">
        <v>402</v>
      </c>
      <c r="D88" s="2" t="s">
        <v>1173</v>
      </c>
      <c r="E88" s="2">
        <v>27</v>
      </c>
      <c r="F88" s="2">
        <v>96</v>
      </c>
      <c r="G88" s="2">
        <v>5</v>
      </c>
      <c r="H88" s="2" t="s">
        <v>27</v>
      </c>
      <c r="I88" s="2">
        <v>1</v>
      </c>
      <c r="J88" s="2"/>
      <c r="P88" s="41">
        <v>1</v>
      </c>
      <c r="Q88" s="2"/>
    </row>
    <row r="89" spans="1:17" thickBot="1" x14ac:dyDescent="0.3">
      <c r="B89" s="2">
        <v>88</v>
      </c>
      <c r="C89" s="2" t="s">
        <v>123</v>
      </c>
      <c r="D89" s="2" t="s">
        <v>1172</v>
      </c>
      <c r="E89" s="2">
        <v>27</v>
      </c>
      <c r="F89" s="2">
        <v>100</v>
      </c>
      <c r="G89" s="2">
        <v>6</v>
      </c>
      <c r="H89" s="2" t="s">
        <v>27</v>
      </c>
      <c r="I89" s="2">
        <v>1</v>
      </c>
      <c r="J89" s="2"/>
      <c r="Q89" s="2"/>
    </row>
    <row r="90" spans="1:17" thickBot="1" x14ac:dyDescent="0.3">
      <c r="B90" s="2">
        <v>89</v>
      </c>
      <c r="C90" s="2" t="s">
        <v>1148</v>
      </c>
      <c r="D90" s="2" t="s">
        <v>1171</v>
      </c>
      <c r="E90" s="2">
        <v>27</v>
      </c>
      <c r="F90" s="2">
        <v>135</v>
      </c>
      <c r="G90" s="2">
        <v>3</v>
      </c>
      <c r="H90" s="2" t="s">
        <v>27</v>
      </c>
      <c r="I90" s="2">
        <v>1</v>
      </c>
      <c r="J90" s="2"/>
      <c r="P90" s="41">
        <v>1</v>
      </c>
      <c r="Q90" s="2"/>
    </row>
    <row r="91" spans="1:17" thickBot="1" x14ac:dyDescent="0.3">
      <c r="B91" s="2">
        <v>90</v>
      </c>
      <c r="C91" s="2" t="s">
        <v>138</v>
      </c>
      <c r="D91" s="2" t="s">
        <v>1170</v>
      </c>
      <c r="E91" s="2">
        <v>27</v>
      </c>
      <c r="F91" s="2">
        <v>98</v>
      </c>
      <c r="G91" s="2">
        <v>3</v>
      </c>
      <c r="H91" s="2" t="s">
        <v>27</v>
      </c>
      <c r="I91" s="2">
        <v>1</v>
      </c>
      <c r="J91" s="2"/>
      <c r="P91" s="41">
        <v>1</v>
      </c>
      <c r="Q91" s="2"/>
    </row>
    <row r="92" spans="1:17" thickBot="1" x14ac:dyDescent="0.3">
      <c r="B92" s="2">
        <v>91</v>
      </c>
      <c r="C92" s="2" t="s">
        <v>699</v>
      </c>
      <c r="D92" s="2" t="s">
        <v>355</v>
      </c>
      <c r="E92" s="2">
        <v>27</v>
      </c>
      <c r="F92" s="2">
        <v>114</v>
      </c>
      <c r="G92" s="2" t="s">
        <v>18</v>
      </c>
      <c r="H92" s="2" t="s">
        <v>27</v>
      </c>
      <c r="I92" s="2">
        <v>1</v>
      </c>
      <c r="J92" s="2"/>
      <c r="P92" s="41">
        <v>1</v>
      </c>
      <c r="Q92" s="2"/>
    </row>
    <row r="93" spans="1:17" thickBot="1" x14ac:dyDescent="0.3">
      <c r="B93" s="2">
        <v>92</v>
      </c>
      <c r="C93" s="2" t="s">
        <v>131</v>
      </c>
      <c r="D93" s="2" t="s">
        <v>1169</v>
      </c>
      <c r="E93" s="2">
        <v>27</v>
      </c>
      <c r="F93" s="2">
        <v>73</v>
      </c>
      <c r="G93" s="2">
        <v>12</v>
      </c>
      <c r="H93" s="2" t="s">
        <v>27</v>
      </c>
      <c r="I93" s="2">
        <v>1</v>
      </c>
      <c r="J93" s="2"/>
      <c r="P93" s="41">
        <v>1</v>
      </c>
      <c r="Q93" s="2"/>
    </row>
    <row r="94" spans="1:17" thickBot="1" x14ac:dyDescent="0.3">
      <c r="B94" s="2">
        <v>93</v>
      </c>
      <c r="C94" s="2" t="s">
        <v>984</v>
      </c>
      <c r="D94" s="2" t="s">
        <v>1168</v>
      </c>
      <c r="E94" s="2">
        <v>27</v>
      </c>
      <c r="F94" s="2">
        <v>78</v>
      </c>
      <c r="G94" s="2">
        <v>9</v>
      </c>
      <c r="H94" s="2" t="s">
        <v>27</v>
      </c>
      <c r="I94" s="2">
        <v>1</v>
      </c>
      <c r="J94" s="2"/>
      <c r="P94" s="41">
        <v>1</v>
      </c>
      <c r="Q94" s="2"/>
    </row>
    <row r="95" spans="1:17" thickBot="1" x14ac:dyDescent="0.3">
      <c r="B95" s="2">
        <v>94</v>
      </c>
      <c r="C95" s="2" t="s">
        <v>1085</v>
      </c>
      <c r="D95" s="2" t="s">
        <v>1167</v>
      </c>
      <c r="E95" s="2">
        <v>27</v>
      </c>
      <c r="F95" s="2">
        <v>72</v>
      </c>
      <c r="G95" s="2">
        <v>7</v>
      </c>
      <c r="H95" s="2" t="s">
        <v>27</v>
      </c>
      <c r="I95" s="2">
        <v>1</v>
      </c>
      <c r="J95" s="2"/>
      <c r="P95" s="41">
        <v>1</v>
      </c>
      <c r="Q95" s="2"/>
    </row>
    <row r="96" spans="1:17" thickBot="1" x14ac:dyDescent="0.3">
      <c r="B96" s="2">
        <v>95</v>
      </c>
      <c r="C96" s="2" t="s">
        <v>123</v>
      </c>
      <c r="D96" s="2" t="s">
        <v>515</v>
      </c>
      <c r="E96" s="2">
        <v>27</v>
      </c>
      <c r="F96" s="2">
        <v>121</v>
      </c>
      <c r="G96" s="2">
        <v>6</v>
      </c>
      <c r="H96" s="2" t="s">
        <v>27</v>
      </c>
      <c r="I96" s="2">
        <v>1</v>
      </c>
      <c r="J96" s="2"/>
      <c r="N96" s="41">
        <v>1</v>
      </c>
      <c r="Q96" s="2"/>
    </row>
    <row r="97" spans="2:17" thickBot="1" x14ac:dyDescent="0.3">
      <c r="B97" s="2">
        <v>96</v>
      </c>
      <c r="C97" s="2" t="s">
        <v>1166</v>
      </c>
      <c r="D97" s="2" t="s">
        <v>1165</v>
      </c>
      <c r="E97" s="2">
        <v>27</v>
      </c>
      <c r="F97" s="2">
        <v>114</v>
      </c>
      <c r="G97" s="2">
        <v>6</v>
      </c>
      <c r="H97" s="2" t="s">
        <v>27</v>
      </c>
      <c r="I97" s="2">
        <v>1</v>
      </c>
      <c r="J97" s="2"/>
      <c r="P97" s="41">
        <v>1</v>
      </c>
      <c r="Q97" s="2"/>
    </row>
    <row r="98" spans="2:17" thickBot="1" x14ac:dyDescent="0.3">
      <c r="B98" s="2">
        <v>97</v>
      </c>
      <c r="C98" s="2" t="s">
        <v>270</v>
      </c>
      <c r="D98" s="2" t="s">
        <v>1164</v>
      </c>
      <c r="E98" s="2">
        <v>27</v>
      </c>
      <c r="F98" s="2">
        <v>117</v>
      </c>
      <c r="G98" s="2">
        <v>3</v>
      </c>
      <c r="H98" s="2" t="s">
        <v>27</v>
      </c>
      <c r="I98" s="2">
        <v>1</v>
      </c>
      <c r="J98" s="2"/>
      <c r="P98" s="41">
        <v>1</v>
      </c>
      <c r="Q98" s="2"/>
    </row>
    <row r="99" spans="2:17" thickBot="1" x14ac:dyDescent="0.3">
      <c r="B99" s="2">
        <v>98</v>
      </c>
      <c r="C99" s="2" t="s">
        <v>712</v>
      </c>
      <c r="D99" s="2" t="s">
        <v>1163</v>
      </c>
      <c r="E99" s="2">
        <v>27</v>
      </c>
      <c r="F99" s="2">
        <v>124</v>
      </c>
      <c r="G99" s="2">
        <v>8</v>
      </c>
      <c r="H99" s="2" t="s">
        <v>27</v>
      </c>
      <c r="I99" s="2">
        <v>1</v>
      </c>
      <c r="J99" s="2"/>
      <c r="P99" s="41">
        <v>1</v>
      </c>
      <c r="Q99" s="2"/>
    </row>
    <row r="100" spans="2:17" thickBot="1" x14ac:dyDescent="0.3">
      <c r="B100" s="2">
        <v>99</v>
      </c>
      <c r="C100" s="2" t="s">
        <v>1162</v>
      </c>
      <c r="D100" s="2" t="s">
        <v>509</v>
      </c>
      <c r="E100" s="2">
        <v>27</v>
      </c>
      <c r="F100" s="2">
        <v>120</v>
      </c>
      <c r="G100" s="2">
        <v>8</v>
      </c>
      <c r="H100" s="2" t="s">
        <v>27</v>
      </c>
      <c r="I100" s="2">
        <v>1</v>
      </c>
      <c r="J100" s="2"/>
      <c r="P100" s="41">
        <v>1</v>
      </c>
      <c r="Q100" s="2"/>
    </row>
    <row r="101" spans="2:17" thickBot="1" x14ac:dyDescent="0.3">
      <c r="B101" s="2">
        <v>100</v>
      </c>
      <c r="C101" s="2" t="s">
        <v>131</v>
      </c>
      <c r="D101" s="2" t="s">
        <v>2388</v>
      </c>
      <c r="E101" s="2">
        <v>27</v>
      </c>
      <c r="F101" s="2">
        <v>146</v>
      </c>
      <c r="G101" s="2">
        <v>4</v>
      </c>
      <c r="H101" s="2" t="s">
        <v>27</v>
      </c>
      <c r="I101" s="2">
        <v>1</v>
      </c>
      <c r="J101" s="2"/>
      <c r="P101" s="41">
        <v>1</v>
      </c>
      <c r="Q101" s="2"/>
    </row>
    <row r="102" spans="2:17" thickBot="1" x14ac:dyDescent="0.3">
      <c r="B102" s="2">
        <v>101</v>
      </c>
      <c r="C102" s="2" t="s">
        <v>1100</v>
      </c>
      <c r="D102" s="2" t="s">
        <v>1160</v>
      </c>
      <c r="E102" s="2">
        <v>27</v>
      </c>
      <c r="F102" s="2">
        <v>75</v>
      </c>
      <c r="G102" s="2">
        <v>4</v>
      </c>
      <c r="H102" s="2" t="s">
        <v>27</v>
      </c>
      <c r="I102" s="2">
        <v>1</v>
      </c>
      <c r="J102" s="2"/>
      <c r="Q102" s="2"/>
    </row>
    <row r="103" spans="2:17" thickBot="1" x14ac:dyDescent="0.3">
      <c r="B103" s="2">
        <v>102</v>
      </c>
      <c r="C103" s="2" t="s">
        <v>1159</v>
      </c>
      <c r="D103" s="2" t="s">
        <v>1158</v>
      </c>
      <c r="E103" s="2">
        <v>27</v>
      </c>
      <c r="F103" s="2">
        <v>84</v>
      </c>
      <c r="G103" s="2" t="s">
        <v>18</v>
      </c>
      <c r="H103" s="2" t="s">
        <v>27</v>
      </c>
      <c r="I103" s="2">
        <v>1</v>
      </c>
      <c r="J103" s="2"/>
      <c r="Q103" s="2"/>
    </row>
    <row r="104" spans="2:17" thickBot="1" x14ac:dyDescent="0.3">
      <c r="B104" s="2">
        <v>103</v>
      </c>
      <c r="C104" s="2" t="s">
        <v>170</v>
      </c>
      <c r="D104" s="2" t="s">
        <v>1157</v>
      </c>
      <c r="E104" s="2">
        <v>27</v>
      </c>
      <c r="F104" s="2">
        <v>85</v>
      </c>
      <c r="G104" s="2">
        <v>14</v>
      </c>
      <c r="H104" s="2" t="s">
        <v>27</v>
      </c>
      <c r="I104" s="2">
        <v>1</v>
      </c>
      <c r="J104" s="2"/>
      <c r="P104" s="41">
        <v>1</v>
      </c>
      <c r="Q104" s="2"/>
    </row>
    <row r="105" spans="2:17" thickBot="1" x14ac:dyDescent="0.3">
      <c r="B105" s="2">
        <v>104</v>
      </c>
      <c r="C105" s="2" t="s">
        <v>234</v>
      </c>
      <c r="D105" s="2" t="s">
        <v>2409</v>
      </c>
      <c r="E105" s="2">
        <v>27</v>
      </c>
      <c r="F105" s="2">
        <v>77</v>
      </c>
      <c r="G105" s="2">
        <v>6</v>
      </c>
      <c r="H105" s="2" t="s">
        <v>27</v>
      </c>
      <c r="I105" s="2">
        <v>1</v>
      </c>
      <c r="J105" s="2"/>
      <c r="Q105" s="2"/>
    </row>
    <row r="106" spans="2:17" thickBot="1" x14ac:dyDescent="0.3">
      <c r="B106" s="2">
        <v>105</v>
      </c>
      <c r="C106" s="2" t="s">
        <v>1156</v>
      </c>
      <c r="D106" s="2" t="s">
        <v>1155</v>
      </c>
      <c r="E106" s="2">
        <v>27</v>
      </c>
      <c r="F106" s="2">
        <v>86</v>
      </c>
      <c r="G106" s="2" t="s">
        <v>19</v>
      </c>
      <c r="H106" s="2" t="s">
        <v>27</v>
      </c>
      <c r="I106" s="2">
        <v>1</v>
      </c>
      <c r="J106" s="2"/>
      <c r="P106" s="41">
        <v>1</v>
      </c>
      <c r="Q106" s="2"/>
    </row>
    <row r="107" spans="2:17" thickBot="1" x14ac:dyDescent="0.3">
      <c r="B107" s="2">
        <v>106</v>
      </c>
      <c r="C107" s="2" t="s">
        <v>170</v>
      </c>
      <c r="D107" s="2" t="s">
        <v>1154</v>
      </c>
      <c r="E107" s="2">
        <v>27</v>
      </c>
      <c r="F107" s="2">
        <v>120</v>
      </c>
      <c r="G107" s="2" t="s">
        <v>18</v>
      </c>
      <c r="H107" s="2" t="s">
        <v>27</v>
      </c>
      <c r="I107" s="2">
        <v>1</v>
      </c>
      <c r="J107" s="2"/>
      <c r="P107" s="41">
        <v>1</v>
      </c>
      <c r="Q107" s="2"/>
    </row>
    <row r="108" spans="2:17" thickBot="1" x14ac:dyDescent="0.3">
      <c r="B108" s="2">
        <v>107</v>
      </c>
      <c r="C108" s="2" t="s">
        <v>483</v>
      </c>
      <c r="D108" s="2" t="s">
        <v>1153</v>
      </c>
      <c r="E108" s="2">
        <v>27</v>
      </c>
      <c r="F108" s="2">
        <v>125</v>
      </c>
      <c r="G108" s="2">
        <v>3</v>
      </c>
      <c r="H108" s="2" t="s">
        <v>27</v>
      </c>
      <c r="I108" s="2">
        <v>1</v>
      </c>
      <c r="J108" s="2"/>
      <c r="N108" s="41">
        <v>1</v>
      </c>
      <c r="Q108" s="2"/>
    </row>
    <row r="109" spans="2:17" thickBot="1" x14ac:dyDescent="0.3">
      <c r="B109" s="2">
        <v>108</v>
      </c>
      <c r="C109" s="2" t="s">
        <v>832</v>
      </c>
      <c r="D109" s="2" t="s">
        <v>1152</v>
      </c>
      <c r="E109" s="2">
        <v>27</v>
      </c>
      <c r="F109" s="2">
        <v>98</v>
      </c>
      <c r="G109" s="2" t="s">
        <v>22</v>
      </c>
      <c r="H109" s="2" t="s">
        <v>27</v>
      </c>
      <c r="I109" s="2">
        <v>1</v>
      </c>
      <c r="J109" s="2"/>
      <c r="P109" s="41">
        <v>1</v>
      </c>
      <c r="Q109" s="2"/>
    </row>
    <row r="110" spans="2:17" thickBot="1" x14ac:dyDescent="0.3">
      <c r="B110" s="2">
        <v>109</v>
      </c>
      <c r="C110" s="2" t="s">
        <v>712</v>
      </c>
      <c r="D110" s="2" t="s">
        <v>1151</v>
      </c>
      <c r="E110" s="2">
        <v>27</v>
      </c>
      <c r="F110" s="2">
        <v>89</v>
      </c>
      <c r="G110" s="2" t="s">
        <v>22</v>
      </c>
      <c r="H110" s="2" t="s">
        <v>27</v>
      </c>
      <c r="I110" s="2">
        <v>1</v>
      </c>
      <c r="J110" s="2"/>
      <c r="P110" s="41">
        <v>1</v>
      </c>
      <c r="Q110" s="2"/>
    </row>
    <row r="111" spans="2:17" thickBot="1" x14ac:dyDescent="0.3">
      <c r="B111" s="2">
        <v>110</v>
      </c>
      <c r="C111" s="2" t="s">
        <v>1150</v>
      </c>
      <c r="D111" s="2" t="s">
        <v>1028</v>
      </c>
      <c r="E111" s="2">
        <v>27</v>
      </c>
      <c r="F111" s="2">
        <v>103</v>
      </c>
      <c r="G111" s="2">
        <v>5</v>
      </c>
      <c r="H111" s="2" t="s">
        <v>27</v>
      </c>
      <c r="I111" s="2">
        <v>1</v>
      </c>
      <c r="J111" s="2"/>
      <c r="P111" s="41">
        <v>1</v>
      </c>
      <c r="Q111" s="2"/>
    </row>
    <row r="112" spans="2:17" thickBot="1" x14ac:dyDescent="0.3">
      <c r="B112" s="2">
        <v>111</v>
      </c>
      <c r="C112" s="2" t="s">
        <v>1100</v>
      </c>
      <c r="D112" s="2" t="s">
        <v>1149</v>
      </c>
      <c r="E112" s="2">
        <v>27</v>
      </c>
      <c r="F112" s="2">
        <v>113</v>
      </c>
      <c r="G112" s="2">
        <v>4</v>
      </c>
      <c r="H112" s="2" t="s">
        <v>27</v>
      </c>
      <c r="I112" s="2">
        <v>1</v>
      </c>
      <c r="J112" s="2"/>
      <c r="P112" s="41">
        <v>1</v>
      </c>
      <c r="Q112" s="2"/>
    </row>
    <row r="113" spans="2:17" thickBot="1" x14ac:dyDescent="0.3">
      <c r="B113" s="2">
        <v>112</v>
      </c>
      <c r="C113" s="2" t="s">
        <v>1148</v>
      </c>
      <c r="D113" s="2" t="s">
        <v>1147</v>
      </c>
      <c r="E113" s="2">
        <v>27</v>
      </c>
      <c r="F113" s="2">
        <v>96</v>
      </c>
      <c r="G113" s="2">
        <v>13</v>
      </c>
      <c r="H113" s="2" t="s">
        <v>27</v>
      </c>
      <c r="I113" s="2">
        <v>1</v>
      </c>
      <c r="J113" s="2"/>
      <c r="P113" s="41">
        <v>1</v>
      </c>
      <c r="Q113" s="2"/>
    </row>
    <row r="114" spans="2:17" thickBot="1" x14ac:dyDescent="0.3">
      <c r="B114" s="2">
        <v>113</v>
      </c>
      <c r="C114" s="2" t="s">
        <v>1146</v>
      </c>
      <c r="D114" s="2" t="s">
        <v>1145</v>
      </c>
      <c r="E114" s="2">
        <v>27</v>
      </c>
      <c r="F114" s="2">
        <v>101</v>
      </c>
      <c r="G114" s="2">
        <v>12</v>
      </c>
      <c r="H114" s="2" t="s">
        <v>27</v>
      </c>
      <c r="I114" s="2">
        <v>1</v>
      </c>
      <c r="J114" s="2"/>
      <c r="P114" s="41">
        <v>1</v>
      </c>
      <c r="Q114" s="2"/>
    </row>
    <row r="115" spans="2:17" thickBot="1" x14ac:dyDescent="0.3">
      <c r="B115" s="2">
        <v>114</v>
      </c>
      <c r="C115" s="2" t="s">
        <v>825</v>
      </c>
      <c r="D115" s="2" t="s">
        <v>515</v>
      </c>
      <c r="E115" s="2">
        <v>27</v>
      </c>
      <c r="F115" s="2">
        <v>123</v>
      </c>
      <c r="G115" s="2">
        <v>6</v>
      </c>
      <c r="H115" s="2" t="s">
        <v>27</v>
      </c>
      <c r="I115" s="2">
        <v>1</v>
      </c>
      <c r="J115" s="2"/>
      <c r="P115" s="41">
        <v>1</v>
      </c>
      <c r="Q115" s="2"/>
    </row>
    <row r="116" spans="2:17" thickBot="1" x14ac:dyDescent="0.3">
      <c r="B116" s="2">
        <v>115</v>
      </c>
      <c r="C116" s="2" t="s">
        <v>187</v>
      </c>
      <c r="D116" s="2" t="s">
        <v>515</v>
      </c>
      <c r="E116" s="2">
        <v>27</v>
      </c>
      <c r="F116" s="2">
        <v>118</v>
      </c>
      <c r="G116" s="2">
        <v>12</v>
      </c>
      <c r="H116" s="2" t="s">
        <v>27</v>
      </c>
      <c r="I116" s="2">
        <v>1</v>
      </c>
      <c r="J116" s="2"/>
      <c r="P116" s="41">
        <v>1</v>
      </c>
      <c r="Q116" s="2"/>
    </row>
    <row r="117" spans="2:17" thickBot="1" x14ac:dyDescent="0.3">
      <c r="B117" s="2">
        <v>116</v>
      </c>
      <c r="C117" s="2" t="s">
        <v>1144</v>
      </c>
      <c r="D117" s="2" t="s">
        <v>383</v>
      </c>
      <c r="E117" s="2">
        <v>27</v>
      </c>
      <c r="F117" s="2">
        <v>121</v>
      </c>
      <c r="G117" s="2">
        <v>8</v>
      </c>
      <c r="H117" s="2" t="s">
        <v>27</v>
      </c>
      <c r="I117" s="2">
        <v>1</v>
      </c>
      <c r="J117" s="2"/>
      <c r="P117" s="41">
        <v>1</v>
      </c>
      <c r="Q117" s="2"/>
    </row>
    <row r="118" spans="2:17" thickBot="1" x14ac:dyDescent="0.3">
      <c r="B118" s="2">
        <v>117</v>
      </c>
      <c r="C118" s="2" t="s">
        <v>677</v>
      </c>
      <c r="D118" s="2" t="s">
        <v>1143</v>
      </c>
      <c r="E118" s="2">
        <v>27</v>
      </c>
      <c r="F118" s="2">
        <v>94</v>
      </c>
      <c r="G118" s="2">
        <v>8</v>
      </c>
      <c r="H118" s="2" t="s">
        <v>27</v>
      </c>
      <c r="I118" s="2">
        <v>1</v>
      </c>
      <c r="J118" s="2"/>
      <c r="P118" s="41">
        <v>1</v>
      </c>
      <c r="Q118" s="2"/>
    </row>
    <row r="119" spans="2:17" thickBot="1" x14ac:dyDescent="0.3">
      <c r="B119" s="2">
        <v>118</v>
      </c>
      <c r="C119" s="2" t="s">
        <v>575</v>
      </c>
      <c r="D119" s="2" t="s">
        <v>1142</v>
      </c>
      <c r="E119" s="2">
        <v>27</v>
      </c>
      <c r="F119" s="2">
        <v>103</v>
      </c>
      <c r="G119" s="2">
        <v>3</v>
      </c>
      <c r="H119" s="2" t="s">
        <v>27</v>
      </c>
      <c r="I119" s="2">
        <v>1</v>
      </c>
      <c r="J119" s="2"/>
      <c r="P119" s="41">
        <v>1</v>
      </c>
      <c r="Q119" s="2"/>
    </row>
    <row r="120" spans="2:17" thickBot="1" x14ac:dyDescent="0.3">
      <c r="B120" s="2">
        <v>119</v>
      </c>
      <c r="C120" s="2" t="s">
        <v>131</v>
      </c>
      <c r="D120" s="2" t="s">
        <v>1141</v>
      </c>
      <c r="E120" s="2">
        <v>27</v>
      </c>
      <c r="F120" s="2">
        <v>94</v>
      </c>
      <c r="G120" s="2" t="s">
        <v>18</v>
      </c>
      <c r="H120" s="2" t="s">
        <v>27</v>
      </c>
      <c r="I120" s="2">
        <v>1</v>
      </c>
      <c r="J120" s="2"/>
      <c r="O120" s="41">
        <v>1</v>
      </c>
      <c r="Q120" s="2"/>
    </row>
    <row r="121" spans="2:17" thickBot="1" x14ac:dyDescent="0.3">
      <c r="B121" s="2">
        <v>120</v>
      </c>
      <c r="C121" s="2" t="s">
        <v>483</v>
      </c>
      <c r="D121" s="2" t="s">
        <v>1140</v>
      </c>
      <c r="E121" s="2">
        <v>27</v>
      </c>
      <c r="F121" s="2">
        <v>24</v>
      </c>
      <c r="G121" s="2" t="s">
        <v>107</v>
      </c>
      <c r="H121" s="2" t="s">
        <v>27</v>
      </c>
      <c r="I121" s="2">
        <v>1</v>
      </c>
      <c r="J121" s="2"/>
      <c r="P121" s="41">
        <v>1</v>
      </c>
      <c r="Q121" s="2"/>
    </row>
    <row r="122" spans="2:17" thickBot="1" x14ac:dyDescent="0.3">
      <c r="B122" s="2">
        <v>121</v>
      </c>
      <c r="C122" s="2" t="s">
        <v>203</v>
      </c>
      <c r="D122" s="2" t="s">
        <v>1139</v>
      </c>
      <c r="E122" s="2">
        <v>27</v>
      </c>
      <c r="F122" s="2" t="s">
        <v>2370</v>
      </c>
      <c r="G122" s="2" t="s">
        <v>2369</v>
      </c>
      <c r="H122" s="2" t="s">
        <v>27</v>
      </c>
      <c r="I122" s="2">
        <v>1</v>
      </c>
      <c r="J122" s="2"/>
      <c r="P122" s="41">
        <v>1</v>
      </c>
      <c r="Q122" s="2"/>
    </row>
    <row r="123" spans="2:17" thickBot="1" x14ac:dyDescent="0.3">
      <c r="B123" s="2">
        <v>122</v>
      </c>
      <c r="C123" s="2" t="s">
        <v>1138</v>
      </c>
      <c r="D123" s="2" t="s">
        <v>2371</v>
      </c>
      <c r="E123" s="2">
        <v>27</v>
      </c>
      <c r="F123" s="2">
        <v>41</v>
      </c>
      <c r="G123" s="2" t="s">
        <v>21</v>
      </c>
      <c r="H123" s="2" t="s">
        <v>27</v>
      </c>
      <c r="I123" s="2">
        <v>1</v>
      </c>
      <c r="J123" s="2"/>
      <c r="P123" s="41">
        <v>1</v>
      </c>
      <c r="Q123" s="2"/>
    </row>
    <row r="124" spans="2:17" thickBot="1" x14ac:dyDescent="0.3">
      <c r="B124" s="2">
        <v>123</v>
      </c>
      <c r="C124" s="2" t="s">
        <v>296</v>
      </c>
      <c r="D124" s="2" t="s">
        <v>1137</v>
      </c>
      <c r="E124" s="2">
        <v>27</v>
      </c>
      <c r="F124" s="2">
        <v>5</v>
      </c>
      <c r="G124" s="2" t="s">
        <v>21</v>
      </c>
      <c r="H124" s="2" t="s">
        <v>27</v>
      </c>
      <c r="I124" s="2">
        <v>1</v>
      </c>
      <c r="J124" s="2"/>
      <c r="N124" s="41" t="s">
        <v>2372</v>
      </c>
      <c r="Q124" s="2"/>
    </row>
    <row r="125" spans="2:17" thickBot="1" x14ac:dyDescent="0.3">
      <c r="B125" s="2">
        <v>124</v>
      </c>
      <c r="C125" s="2" t="s">
        <v>123</v>
      </c>
      <c r="D125" s="2" t="s">
        <v>1136</v>
      </c>
      <c r="E125" s="2">
        <v>27</v>
      </c>
      <c r="F125" s="2" t="s">
        <v>2366</v>
      </c>
      <c r="G125" s="2" t="s">
        <v>21</v>
      </c>
      <c r="H125" s="2" t="s">
        <v>27</v>
      </c>
      <c r="I125" s="2">
        <v>1</v>
      </c>
      <c r="J125" s="2"/>
      <c r="P125" s="41">
        <v>1</v>
      </c>
      <c r="Q125" s="2"/>
    </row>
    <row r="126" spans="2:17" thickBot="1" x14ac:dyDescent="0.3">
      <c r="B126" s="2">
        <v>125</v>
      </c>
      <c r="C126" s="2" t="s">
        <v>677</v>
      </c>
      <c r="D126" s="2" t="s">
        <v>2364</v>
      </c>
      <c r="E126" s="2">
        <v>27</v>
      </c>
      <c r="F126" s="2">
        <v>5</v>
      </c>
      <c r="G126" s="2" t="s">
        <v>71</v>
      </c>
      <c r="H126" s="2" t="s">
        <v>27</v>
      </c>
      <c r="I126" s="2">
        <v>1</v>
      </c>
      <c r="J126" s="2"/>
      <c r="P126" s="41">
        <v>1</v>
      </c>
      <c r="Q126" s="2"/>
    </row>
    <row r="127" spans="2:17" thickBot="1" x14ac:dyDescent="0.3">
      <c r="B127" s="2">
        <v>126</v>
      </c>
      <c r="C127" s="2" t="s">
        <v>1135</v>
      </c>
      <c r="D127" s="2" t="s">
        <v>1134</v>
      </c>
      <c r="E127" s="2">
        <v>27</v>
      </c>
      <c r="F127" s="2">
        <v>7</v>
      </c>
      <c r="G127" s="2" t="s">
        <v>71</v>
      </c>
      <c r="H127" s="2" t="s">
        <v>27</v>
      </c>
      <c r="I127" s="2">
        <v>1</v>
      </c>
      <c r="J127" s="2"/>
      <c r="N127" s="41">
        <v>1</v>
      </c>
      <c r="Q127" s="2"/>
    </row>
    <row r="128" spans="2:17" thickBot="1" x14ac:dyDescent="0.3">
      <c r="B128" s="2">
        <v>127</v>
      </c>
      <c r="C128" s="2" t="s">
        <v>619</v>
      </c>
      <c r="D128" s="2" t="s">
        <v>1133</v>
      </c>
      <c r="E128" s="2">
        <v>27</v>
      </c>
      <c r="F128" s="2">
        <v>19</v>
      </c>
      <c r="G128" s="2" t="s">
        <v>71</v>
      </c>
      <c r="H128" s="2" t="s">
        <v>27</v>
      </c>
      <c r="I128" s="2">
        <v>1</v>
      </c>
      <c r="J128" s="2"/>
      <c r="P128" s="41">
        <v>1</v>
      </c>
      <c r="Q128" s="2"/>
    </row>
    <row r="129" spans="2:17" thickBot="1" x14ac:dyDescent="0.3">
      <c r="B129" s="2">
        <v>128</v>
      </c>
      <c r="C129" s="2" t="s">
        <v>1132</v>
      </c>
      <c r="D129" s="2" t="s">
        <v>1131</v>
      </c>
      <c r="E129" s="2">
        <v>27</v>
      </c>
      <c r="F129" s="2">
        <v>11</v>
      </c>
      <c r="G129" s="2">
        <v>3</v>
      </c>
      <c r="H129" s="2" t="s">
        <v>27</v>
      </c>
      <c r="I129" s="2">
        <v>1</v>
      </c>
      <c r="J129" s="2"/>
      <c r="N129" s="41">
        <v>1</v>
      </c>
      <c r="Q129" s="2"/>
    </row>
    <row r="130" spans="2:17" thickBot="1" x14ac:dyDescent="0.3">
      <c r="B130" s="2">
        <v>129</v>
      </c>
      <c r="C130" s="2" t="s">
        <v>1130</v>
      </c>
      <c r="D130" s="2" t="s">
        <v>1129</v>
      </c>
      <c r="E130" s="2">
        <v>27</v>
      </c>
      <c r="F130" s="2">
        <v>40</v>
      </c>
      <c r="G130" s="2">
        <v>3</v>
      </c>
      <c r="H130" s="2" t="s">
        <v>27</v>
      </c>
      <c r="I130" s="2">
        <v>1</v>
      </c>
      <c r="J130" s="2"/>
      <c r="N130" s="41">
        <v>1</v>
      </c>
      <c r="Q130" s="2"/>
    </row>
    <row r="131" spans="2:17" thickBot="1" x14ac:dyDescent="0.3">
      <c r="B131" s="2">
        <v>131</v>
      </c>
      <c r="C131" s="2" t="s">
        <v>187</v>
      </c>
      <c r="D131" s="2" t="s">
        <v>1127</v>
      </c>
      <c r="E131" s="2">
        <v>27</v>
      </c>
      <c r="F131" s="2">
        <v>14</v>
      </c>
      <c r="G131" s="2">
        <v>6</v>
      </c>
      <c r="H131" s="2" t="s">
        <v>27</v>
      </c>
      <c r="I131" s="2">
        <v>1</v>
      </c>
      <c r="J131" s="2"/>
      <c r="P131" s="41">
        <v>1</v>
      </c>
      <c r="Q131" s="2"/>
    </row>
    <row r="132" spans="2:17" thickBot="1" x14ac:dyDescent="0.3">
      <c r="B132" s="2">
        <v>132</v>
      </c>
      <c r="C132" s="2" t="s">
        <v>143</v>
      </c>
      <c r="D132" s="2" t="s">
        <v>1126</v>
      </c>
      <c r="E132" s="2">
        <v>27</v>
      </c>
      <c r="F132" s="2">
        <v>19</v>
      </c>
      <c r="G132" s="2">
        <v>6</v>
      </c>
      <c r="H132" s="2" t="s">
        <v>27</v>
      </c>
      <c r="I132" s="2">
        <v>1</v>
      </c>
      <c r="J132" s="2"/>
      <c r="P132" s="41">
        <v>1</v>
      </c>
      <c r="Q132" s="2"/>
    </row>
    <row r="133" spans="2:17" thickBot="1" x14ac:dyDescent="0.3">
      <c r="B133" s="2">
        <v>133</v>
      </c>
      <c r="C133" s="2" t="s">
        <v>491</v>
      </c>
      <c r="D133" s="2" t="s">
        <v>1125</v>
      </c>
      <c r="E133" s="2">
        <v>27</v>
      </c>
      <c r="F133" s="2">
        <v>31</v>
      </c>
      <c r="G133" s="2">
        <v>6</v>
      </c>
      <c r="H133" s="2" t="s">
        <v>27</v>
      </c>
      <c r="I133" s="2">
        <v>1</v>
      </c>
      <c r="J133" s="2"/>
      <c r="O133" s="41">
        <v>1</v>
      </c>
      <c r="Q133" s="2"/>
    </row>
    <row r="134" spans="2:17" thickBot="1" x14ac:dyDescent="0.3">
      <c r="B134" s="2">
        <v>134</v>
      </c>
      <c r="C134" s="2" t="s">
        <v>135</v>
      </c>
      <c r="D134" s="2" t="s">
        <v>1003</v>
      </c>
      <c r="E134" s="2">
        <v>27</v>
      </c>
      <c r="F134" s="2">
        <v>31</v>
      </c>
      <c r="G134" s="2">
        <v>6</v>
      </c>
      <c r="H134" s="2" t="s">
        <v>27</v>
      </c>
      <c r="I134" s="2">
        <v>1</v>
      </c>
      <c r="J134" s="2"/>
      <c r="P134" s="41">
        <v>1</v>
      </c>
      <c r="Q134" s="2"/>
    </row>
    <row r="135" spans="2:17" thickBot="1" x14ac:dyDescent="0.3">
      <c r="B135" s="2">
        <v>135</v>
      </c>
      <c r="C135" s="2" t="s">
        <v>280</v>
      </c>
      <c r="D135" s="2" t="s">
        <v>1124</v>
      </c>
      <c r="E135" s="2">
        <v>27</v>
      </c>
      <c r="F135" s="2">
        <v>33</v>
      </c>
      <c r="G135" s="2">
        <v>6</v>
      </c>
      <c r="H135" s="2" t="s">
        <v>27</v>
      </c>
      <c r="I135" s="2">
        <v>1</v>
      </c>
      <c r="J135" s="2"/>
      <c r="P135" s="41">
        <v>1</v>
      </c>
      <c r="Q135" s="2"/>
    </row>
    <row r="136" spans="2:17" thickBot="1" x14ac:dyDescent="0.3">
      <c r="B136" s="2">
        <v>136</v>
      </c>
      <c r="C136" s="2" t="s">
        <v>143</v>
      </c>
      <c r="D136" s="2" t="s">
        <v>2340</v>
      </c>
      <c r="E136" s="2">
        <v>27</v>
      </c>
      <c r="F136" s="2">
        <v>37</v>
      </c>
      <c r="G136" s="2">
        <v>6</v>
      </c>
      <c r="H136" s="2" t="s">
        <v>27</v>
      </c>
      <c r="I136" s="2">
        <v>1</v>
      </c>
      <c r="J136" s="2"/>
      <c r="P136" s="41">
        <v>1</v>
      </c>
      <c r="Q136" s="2"/>
    </row>
    <row r="137" spans="2:17" thickBot="1" x14ac:dyDescent="0.3">
      <c r="B137" s="2">
        <v>137</v>
      </c>
      <c r="C137" s="2" t="s">
        <v>1088</v>
      </c>
      <c r="D137" s="2" t="s">
        <v>2341</v>
      </c>
      <c r="E137" s="2">
        <v>27</v>
      </c>
      <c r="F137" s="2">
        <v>40</v>
      </c>
      <c r="G137" s="2">
        <v>6</v>
      </c>
      <c r="H137" s="2" t="s">
        <v>27</v>
      </c>
      <c r="I137" s="2">
        <v>1</v>
      </c>
      <c r="J137" s="2"/>
      <c r="P137" s="41">
        <v>1</v>
      </c>
      <c r="Q137" s="2"/>
    </row>
    <row r="138" spans="2:17" thickBot="1" x14ac:dyDescent="0.3">
      <c r="B138" s="2">
        <v>138</v>
      </c>
      <c r="C138" s="2" t="s">
        <v>135</v>
      </c>
      <c r="D138" s="2" t="s">
        <v>1123</v>
      </c>
      <c r="E138" s="2">
        <v>27</v>
      </c>
      <c r="F138" s="2">
        <v>14</v>
      </c>
      <c r="G138" s="2">
        <v>7</v>
      </c>
      <c r="H138" s="2" t="s">
        <v>27</v>
      </c>
      <c r="I138" s="2">
        <v>1</v>
      </c>
      <c r="J138" s="2"/>
      <c r="P138" s="41">
        <v>1</v>
      </c>
      <c r="Q138" s="2"/>
    </row>
    <row r="139" spans="2:17" thickBot="1" x14ac:dyDescent="0.3">
      <c r="B139" s="2">
        <v>139</v>
      </c>
      <c r="C139" s="2" t="s">
        <v>1121</v>
      </c>
      <c r="D139" s="2" t="s">
        <v>1120</v>
      </c>
      <c r="E139" s="2">
        <v>27</v>
      </c>
      <c r="F139" s="2">
        <v>28</v>
      </c>
      <c r="G139" s="2">
        <v>7</v>
      </c>
      <c r="H139" s="2" t="s">
        <v>27</v>
      </c>
      <c r="I139" s="2">
        <v>1</v>
      </c>
      <c r="J139" s="2"/>
      <c r="P139" s="41">
        <v>1</v>
      </c>
      <c r="Q139" s="2"/>
    </row>
    <row r="140" spans="2:17" thickBot="1" x14ac:dyDescent="0.3">
      <c r="B140" s="2">
        <v>140</v>
      </c>
      <c r="C140" s="2" t="s">
        <v>181</v>
      </c>
      <c r="D140" s="2" t="s">
        <v>1122</v>
      </c>
      <c r="E140" s="2">
        <v>27</v>
      </c>
      <c r="F140" s="2">
        <v>43</v>
      </c>
      <c r="G140" s="2">
        <v>8</v>
      </c>
      <c r="H140" s="2" t="s">
        <v>27</v>
      </c>
      <c r="I140" s="2">
        <v>1</v>
      </c>
      <c r="J140" s="2"/>
      <c r="P140" s="41">
        <v>1</v>
      </c>
      <c r="Q140" s="2"/>
    </row>
    <row r="141" spans="2:17" thickBot="1" x14ac:dyDescent="0.3">
      <c r="B141" s="2">
        <v>141</v>
      </c>
      <c r="C141" s="2" t="s">
        <v>302</v>
      </c>
      <c r="D141" s="2" t="s">
        <v>1119</v>
      </c>
      <c r="E141" s="2">
        <v>27</v>
      </c>
      <c r="F141" s="2">
        <v>7</v>
      </c>
      <c r="G141" s="2">
        <v>8</v>
      </c>
      <c r="H141" s="2" t="s">
        <v>27</v>
      </c>
      <c r="I141" s="2">
        <v>1</v>
      </c>
      <c r="J141" s="2"/>
      <c r="P141" s="41">
        <v>1</v>
      </c>
      <c r="Q141" s="2"/>
    </row>
    <row r="142" spans="2:17" thickBot="1" x14ac:dyDescent="0.3">
      <c r="B142" s="2">
        <v>143</v>
      </c>
      <c r="C142" s="2" t="s">
        <v>1118</v>
      </c>
      <c r="D142" s="2" t="s">
        <v>375</v>
      </c>
      <c r="E142" s="2">
        <v>27</v>
      </c>
      <c r="F142" s="2">
        <v>37</v>
      </c>
      <c r="G142" s="2">
        <v>14</v>
      </c>
      <c r="H142" s="2" t="s">
        <v>27</v>
      </c>
      <c r="I142" s="2">
        <v>1</v>
      </c>
      <c r="J142" s="2"/>
      <c r="Q142" s="2" t="s">
        <v>113</v>
      </c>
    </row>
    <row r="143" spans="2:17" ht="38.25" thickBot="1" x14ac:dyDescent="0.3">
      <c r="B143" s="2">
        <v>144</v>
      </c>
      <c r="C143" s="2" t="s">
        <v>224</v>
      </c>
      <c r="D143" s="50" t="s">
        <v>2353</v>
      </c>
      <c r="E143" s="50">
        <v>27</v>
      </c>
      <c r="F143" s="50">
        <v>22</v>
      </c>
      <c r="G143" s="50">
        <v>3</v>
      </c>
      <c r="H143" s="50" t="s">
        <v>27</v>
      </c>
      <c r="I143" s="2">
        <v>1</v>
      </c>
      <c r="J143" s="50"/>
      <c r="P143" s="41">
        <v>1</v>
      </c>
      <c r="Q143" s="2"/>
    </row>
    <row r="144" spans="2:17" thickBot="1" x14ac:dyDescent="0.3">
      <c r="B144" s="2">
        <v>145</v>
      </c>
      <c r="C144" s="2" t="s">
        <v>224</v>
      </c>
      <c r="D144" s="50" t="s">
        <v>375</v>
      </c>
      <c r="E144" s="50">
        <v>27</v>
      </c>
      <c r="F144" s="50">
        <v>44</v>
      </c>
      <c r="G144" s="50">
        <v>15</v>
      </c>
      <c r="H144" s="50" t="s">
        <v>27</v>
      </c>
      <c r="I144" s="2">
        <v>1</v>
      </c>
      <c r="J144" s="50"/>
      <c r="P144" s="41">
        <v>1</v>
      </c>
      <c r="Q144" s="2"/>
    </row>
    <row r="145" spans="2:17" thickBot="1" x14ac:dyDescent="0.3">
      <c r="B145" s="2">
        <v>146</v>
      </c>
      <c r="C145" s="2" t="s">
        <v>843</v>
      </c>
      <c r="D145" s="50" t="s">
        <v>1117</v>
      </c>
      <c r="E145" s="50">
        <v>27</v>
      </c>
      <c r="F145" s="50">
        <v>1</v>
      </c>
      <c r="G145" s="50">
        <v>5</v>
      </c>
      <c r="H145" s="50" t="s">
        <v>27</v>
      </c>
      <c r="I145" s="2">
        <v>1</v>
      </c>
      <c r="J145" s="50"/>
      <c r="P145" s="41">
        <v>1</v>
      </c>
      <c r="Q145" s="50" t="s">
        <v>48</v>
      </c>
    </row>
    <row r="146" spans="2:17" thickBot="1" x14ac:dyDescent="0.3">
      <c r="B146" s="2">
        <v>147</v>
      </c>
      <c r="C146" s="2" t="s">
        <v>799</v>
      </c>
      <c r="D146" s="50" t="s">
        <v>1116</v>
      </c>
      <c r="E146" s="50">
        <v>27</v>
      </c>
      <c r="F146" s="50">
        <v>121</v>
      </c>
      <c r="G146" s="50" t="s">
        <v>69</v>
      </c>
      <c r="H146" s="50" t="s">
        <v>27</v>
      </c>
      <c r="I146" s="2">
        <v>1</v>
      </c>
      <c r="J146" s="50"/>
      <c r="P146" s="41">
        <v>1</v>
      </c>
      <c r="Q146" s="50" t="s">
        <v>48</v>
      </c>
    </row>
    <row r="147" spans="2:17" thickBot="1" x14ac:dyDescent="0.3">
      <c r="B147" s="2">
        <v>148</v>
      </c>
      <c r="C147" s="2" t="s">
        <v>219</v>
      </c>
      <c r="D147" s="50" t="s">
        <v>2359</v>
      </c>
      <c r="E147" s="50">
        <v>27</v>
      </c>
      <c r="F147" s="50">
        <v>50</v>
      </c>
      <c r="G147" s="50" t="s">
        <v>19</v>
      </c>
      <c r="H147" s="50" t="s">
        <v>27</v>
      </c>
      <c r="I147" s="2">
        <v>1</v>
      </c>
      <c r="J147" s="50"/>
      <c r="P147" s="41">
        <v>1</v>
      </c>
      <c r="Q147" s="50" t="s">
        <v>49</v>
      </c>
    </row>
    <row r="148" spans="2:17" thickBot="1" x14ac:dyDescent="0.3">
      <c r="B148" s="2">
        <v>149</v>
      </c>
      <c r="C148" s="2" t="s">
        <v>219</v>
      </c>
      <c r="D148" s="50" t="s">
        <v>2356</v>
      </c>
      <c r="E148" s="50">
        <v>27</v>
      </c>
      <c r="F148" s="50">
        <v>19</v>
      </c>
      <c r="G148" s="50">
        <v>1</v>
      </c>
      <c r="H148" s="50" t="s">
        <v>27</v>
      </c>
      <c r="I148" s="2">
        <v>1</v>
      </c>
      <c r="J148" s="50"/>
      <c r="P148" s="41">
        <v>1</v>
      </c>
      <c r="Q148" s="50" t="s">
        <v>70</v>
      </c>
    </row>
    <row r="149" spans="2:17" thickBot="1" x14ac:dyDescent="0.3">
      <c r="B149" s="2">
        <v>150</v>
      </c>
      <c r="C149" s="2" t="s">
        <v>219</v>
      </c>
      <c r="D149" s="50" t="s">
        <v>2330</v>
      </c>
      <c r="E149" s="50">
        <v>27</v>
      </c>
      <c r="F149" s="50">
        <v>8</v>
      </c>
      <c r="G149" s="50">
        <v>9</v>
      </c>
      <c r="H149" s="50" t="s">
        <v>27</v>
      </c>
      <c r="I149" s="2">
        <v>1</v>
      </c>
      <c r="J149" s="50"/>
      <c r="P149" s="41">
        <v>1</v>
      </c>
      <c r="Q149" s="50" t="s">
        <v>70</v>
      </c>
    </row>
    <row r="150" spans="2:17" ht="38.25" thickBot="1" x14ac:dyDescent="0.3">
      <c r="B150" s="2">
        <v>151</v>
      </c>
      <c r="C150" s="2" t="s">
        <v>219</v>
      </c>
      <c r="D150" s="50" t="s">
        <v>1115</v>
      </c>
      <c r="E150" s="50">
        <v>27</v>
      </c>
      <c r="F150" s="50">
        <v>57</v>
      </c>
      <c r="G150" s="50">
        <v>1</v>
      </c>
      <c r="H150" s="50" t="s">
        <v>27</v>
      </c>
      <c r="I150" s="2">
        <v>1</v>
      </c>
      <c r="J150" s="50"/>
      <c r="O150" s="41">
        <v>1</v>
      </c>
      <c r="Q150" s="50" t="s">
        <v>2354</v>
      </c>
    </row>
    <row r="151" spans="2:17" thickBot="1" x14ac:dyDescent="0.3">
      <c r="B151" s="2">
        <v>152</v>
      </c>
      <c r="C151" s="2" t="s">
        <v>219</v>
      </c>
      <c r="D151" s="50" t="s">
        <v>714</v>
      </c>
      <c r="E151" s="50">
        <v>27</v>
      </c>
      <c r="F151" s="50">
        <v>71</v>
      </c>
      <c r="G151" s="50">
        <v>8</v>
      </c>
      <c r="H151" s="50" t="s">
        <v>27</v>
      </c>
      <c r="I151" s="2">
        <v>1</v>
      </c>
      <c r="J151" s="50"/>
      <c r="P151" s="41">
        <v>1</v>
      </c>
      <c r="Q151" s="50" t="s">
        <v>70</v>
      </c>
    </row>
    <row r="152" spans="2:17" thickBot="1" x14ac:dyDescent="0.3">
      <c r="B152" s="2">
        <v>153</v>
      </c>
      <c r="C152" s="2" t="s">
        <v>219</v>
      </c>
      <c r="D152" s="50" t="s">
        <v>2368</v>
      </c>
      <c r="E152" s="50">
        <v>27</v>
      </c>
      <c r="F152" s="50">
        <v>9</v>
      </c>
      <c r="G152" s="50" t="s">
        <v>2369</v>
      </c>
      <c r="H152" s="50" t="s">
        <v>27</v>
      </c>
      <c r="I152" s="2">
        <v>1</v>
      </c>
      <c r="J152" s="50"/>
      <c r="P152" s="41">
        <v>1</v>
      </c>
      <c r="Q152" s="50" t="s">
        <v>70</v>
      </c>
    </row>
    <row r="153" spans="2:17" thickBot="1" x14ac:dyDescent="0.3">
      <c r="B153" s="2">
        <v>154</v>
      </c>
      <c r="C153" s="2" t="s">
        <v>219</v>
      </c>
      <c r="D153" s="50" t="s">
        <v>1114</v>
      </c>
      <c r="E153" s="50">
        <v>27</v>
      </c>
      <c r="F153" s="50">
        <v>60</v>
      </c>
      <c r="G153" s="50">
        <v>7</v>
      </c>
      <c r="H153" s="50" t="s">
        <v>27</v>
      </c>
      <c r="I153" s="2">
        <v>1</v>
      </c>
      <c r="J153" s="50"/>
      <c r="P153" s="41">
        <v>1</v>
      </c>
      <c r="Q153" s="50" t="s">
        <v>70</v>
      </c>
    </row>
    <row r="154" spans="2:17" thickBot="1" x14ac:dyDescent="0.3">
      <c r="B154" s="2">
        <v>155</v>
      </c>
      <c r="C154" s="2" t="s">
        <v>2042</v>
      </c>
      <c r="D154" s="50" t="s">
        <v>1113</v>
      </c>
      <c r="E154" s="50">
        <v>27</v>
      </c>
      <c r="F154" s="50">
        <v>23</v>
      </c>
      <c r="G154" s="50" t="s">
        <v>71</v>
      </c>
      <c r="H154" s="50" t="s">
        <v>27</v>
      </c>
      <c r="I154" s="2">
        <v>1</v>
      </c>
      <c r="J154" s="50"/>
      <c r="P154" s="41">
        <v>1</v>
      </c>
      <c r="Q154" s="50" t="s">
        <v>70</v>
      </c>
    </row>
    <row r="155" spans="2:17" thickBot="1" x14ac:dyDescent="0.3">
      <c r="B155" s="2">
        <v>156</v>
      </c>
      <c r="C155" s="2" t="s">
        <v>253</v>
      </c>
      <c r="D155" s="50" t="s">
        <v>1112</v>
      </c>
      <c r="E155" s="50">
        <v>27</v>
      </c>
      <c r="F155" s="50">
        <v>20</v>
      </c>
      <c r="G155" s="50" t="s">
        <v>19</v>
      </c>
      <c r="H155" s="50" t="s">
        <v>27</v>
      </c>
      <c r="I155" s="2">
        <v>1</v>
      </c>
      <c r="J155" s="50"/>
      <c r="P155" s="41">
        <v>1</v>
      </c>
      <c r="Q155" s="50" t="s">
        <v>70</v>
      </c>
    </row>
    <row r="156" spans="2:17" thickBot="1" x14ac:dyDescent="0.3">
      <c r="B156" s="2">
        <v>157</v>
      </c>
      <c r="C156" s="2" t="s">
        <v>253</v>
      </c>
      <c r="D156" s="50" t="s">
        <v>1111</v>
      </c>
      <c r="E156" s="50">
        <v>27</v>
      </c>
      <c r="F156" s="50">
        <v>55</v>
      </c>
      <c r="G156" s="50" t="s">
        <v>17</v>
      </c>
      <c r="H156" s="50" t="s">
        <v>27</v>
      </c>
      <c r="I156" s="2">
        <v>1</v>
      </c>
      <c r="J156" s="50"/>
      <c r="P156" s="41">
        <v>1</v>
      </c>
      <c r="Q156" s="50" t="s">
        <v>70</v>
      </c>
    </row>
    <row r="157" spans="2:17" thickBot="1" x14ac:dyDescent="0.3">
      <c r="B157" s="2">
        <v>158</v>
      </c>
      <c r="C157" s="2" t="s">
        <v>2308</v>
      </c>
      <c r="D157" s="50" t="s">
        <v>1110</v>
      </c>
      <c r="E157" s="50">
        <v>27</v>
      </c>
      <c r="F157" s="50">
        <v>27</v>
      </c>
      <c r="G157" s="50">
        <v>15</v>
      </c>
      <c r="H157" s="50" t="s">
        <v>27</v>
      </c>
      <c r="I157" s="2">
        <v>1</v>
      </c>
      <c r="J157" s="50"/>
      <c r="P157" s="41">
        <v>1</v>
      </c>
      <c r="Q157" s="50" t="s">
        <v>70</v>
      </c>
    </row>
    <row r="158" spans="2:17" thickBot="1" x14ac:dyDescent="0.3">
      <c r="B158" s="2">
        <v>159</v>
      </c>
      <c r="C158" s="2" t="s">
        <v>483</v>
      </c>
      <c r="D158" s="50" t="s">
        <v>837</v>
      </c>
      <c r="E158" s="50">
        <v>27</v>
      </c>
      <c r="F158" s="50">
        <v>109</v>
      </c>
      <c r="G158" s="50">
        <v>16</v>
      </c>
      <c r="H158" s="50" t="s">
        <v>27</v>
      </c>
      <c r="I158" s="2">
        <v>1</v>
      </c>
      <c r="J158" s="50"/>
      <c r="P158" s="41">
        <v>1</v>
      </c>
      <c r="Q158" s="50" t="s">
        <v>72</v>
      </c>
    </row>
    <row r="159" spans="2:17" thickBot="1" x14ac:dyDescent="0.3">
      <c r="B159" s="2">
        <v>160</v>
      </c>
      <c r="C159" s="2" t="s">
        <v>815</v>
      </c>
      <c r="D159" s="50" t="s">
        <v>2361</v>
      </c>
      <c r="E159" s="50">
        <v>27</v>
      </c>
      <c r="F159" s="50">
        <v>28</v>
      </c>
      <c r="G159" s="50" t="s">
        <v>2362</v>
      </c>
      <c r="H159" s="50" t="s">
        <v>27</v>
      </c>
      <c r="I159" s="2">
        <v>1</v>
      </c>
      <c r="J159" s="50"/>
      <c r="P159" s="41">
        <v>1</v>
      </c>
      <c r="Q159" s="50" t="s">
        <v>72</v>
      </c>
    </row>
    <row r="160" spans="2:17" thickBot="1" x14ac:dyDescent="0.3">
      <c r="B160" s="2">
        <v>161</v>
      </c>
      <c r="C160" s="2" t="s">
        <v>489</v>
      </c>
      <c r="D160" s="50" t="s">
        <v>1109</v>
      </c>
      <c r="E160" s="50">
        <v>27</v>
      </c>
      <c r="F160" s="50">
        <v>45</v>
      </c>
      <c r="G160" s="50">
        <v>9</v>
      </c>
      <c r="H160" s="50" t="s">
        <v>27</v>
      </c>
      <c r="I160" s="2">
        <v>1</v>
      </c>
      <c r="J160" s="50"/>
      <c r="P160" s="41">
        <v>1</v>
      </c>
      <c r="Q160" s="50" t="s">
        <v>72</v>
      </c>
    </row>
    <row r="161" spans="2:17" thickBot="1" x14ac:dyDescent="0.3">
      <c r="B161" s="2">
        <v>162</v>
      </c>
      <c r="C161" s="2" t="s">
        <v>1108</v>
      </c>
      <c r="D161" s="50" t="s">
        <v>1107</v>
      </c>
      <c r="E161" s="50">
        <v>27</v>
      </c>
      <c r="F161" s="50">
        <v>63</v>
      </c>
      <c r="G161" s="50" t="s">
        <v>17</v>
      </c>
      <c r="H161" s="50" t="s">
        <v>27</v>
      </c>
      <c r="I161" s="2">
        <v>1</v>
      </c>
      <c r="J161" s="50"/>
      <c r="P161" s="41">
        <v>1</v>
      </c>
      <c r="Q161" s="50" t="s">
        <v>72</v>
      </c>
    </row>
    <row r="162" spans="2:17" thickBot="1" x14ac:dyDescent="0.3">
      <c r="B162" s="2">
        <v>163</v>
      </c>
      <c r="C162" s="2" t="s">
        <v>268</v>
      </c>
      <c r="D162" s="50" t="s">
        <v>1106</v>
      </c>
      <c r="E162" s="50">
        <v>27</v>
      </c>
      <c r="F162" s="50">
        <v>125</v>
      </c>
      <c r="G162" s="50" t="s">
        <v>2375</v>
      </c>
      <c r="H162" s="50" t="s">
        <v>27</v>
      </c>
      <c r="I162" s="2">
        <v>1</v>
      </c>
      <c r="J162" s="50"/>
      <c r="P162" s="41">
        <v>1</v>
      </c>
      <c r="Q162" s="50" t="s">
        <v>72</v>
      </c>
    </row>
    <row r="163" spans="2:17" thickBot="1" x14ac:dyDescent="0.3">
      <c r="B163" s="2">
        <v>164</v>
      </c>
      <c r="C163" s="2" t="s">
        <v>1105</v>
      </c>
      <c r="D163" s="50" t="s">
        <v>2297</v>
      </c>
      <c r="E163" s="50">
        <v>27</v>
      </c>
      <c r="F163" s="50">
        <v>58</v>
      </c>
      <c r="G163" s="50">
        <v>16</v>
      </c>
      <c r="H163" s="50" t="s">
        <v>27</v>
      </c>
      <c r="I163" s="2">
        <v>1</v>
      </c>
      <c r="J163" s="50"/>
      <c r="P163" s="41">
        <v>1</v>
      </c>
      <c r="Q163" s="50" t="s">
        <v>72</v>
      </c>
    </row>
    <row r="164" spans="2:17" thickBot="1" x14ac:dyDescent="0.3">
      <c r="B164" s="2">
        <v>165</v>
      </c>
      <c r="C164" s="2" t="s">
        <v>1105</v>
      </c>
      <c r="D164" s="50" t="s">
        <v>1104</v>
      </c>
      <c r="E164" s="50">
        <v>27</v>
      </c>
      <c r="F164" s="50">
        <v>10</v>
      </c>
      <c r="G164" s="50">
        <v>11</v>
      </c>
      <c r="H164" s="50" t="s">
        <v>27</v>
      </c>
      <c r="I164" s="2">
        <v>1</v>
      </c>
      <c r="J164" s="50"/>
      <c r="P164" s="41">
        <v>1</v>
      </c>
      <c r="Q164" s="50"/>
    </row>
    <row r="165" spans="2:17" thickBot="1" x14ac:dyDescent="0.3">
      <c r="B165" s="2">
        <v>166</v>
      </c>
      <c r="C165" s="2" t="s">
        <v>1103</v>
      </c>
      <c r="D165" s="50" t="s">
        <v>1102</v>
      </c>
      <c r="E165" s="50">
        <v>27</v>
      </c>
      <c r="F165" s="50">
        <v>2</v>
      </c>
      <c r="G165" s="50" t="s">
        <v>18</v>
      </c>
      <c r="H165" s="50" t="s">
        <v>27</v>
      </c>
      <c r="I165" s="2">
        <v>1</v>
      </c>
      <c r="J165" s="50"/>
      <c r="P165" s="41">
        <v>1</v>
      </c>
      <c r="Q165" s="50"/>
    </row>
    <row r="166" spans="2:17" thickBot="1" x14ac:dyDescent="0.3">
      <c r="B166" s="2">
        <v>167</v>
      </c>
      <c r="C166" s="2" t="s">
        <v>1100</v>
      </c>
      <c r="D166" s="50" t="s">
        <v>305</v>
      </c>
      <c r="E166" s="50">
        <v>27</v>
      </c>
      <c r="F166" s="50">
        <v>150</v>
      </c>
      <c r="G166" s="50">
        <v>8</v>
      </c>
      <c r="H166" s="50" t="s">
        <v>27</v>
      </c>
      <c r="I166" s="2">
        <v>1</v>
      </c>
      <c r="J166" s="50"/>
      <c r="P166" s="41">
        <v>1</v>
      </c>
      <c r="Q166" s="50"/>
    </row>
    <row r="167" spans="2:17" thickBot="1" x14ac:dyDescent="0.3">
      <c r="B167" s="2">
        <v>168</v>
      </c>
      <c r="C167" s="2" t="s">
        <v>1100</v>
      </c>
      <c r="D167" s="50" t="s">
        <v>1101</v>
      </c>
      <c r="E167" s="50">
        <v>27</v>
      </c>
      <c r="F167" s="50">
        <v>23</v>
      </c>
      <c r="G167" s="50">
        <v>5</v>
      </c>
      <c r="H167" s="50" t="s">
        <v>27</v>
      </c>
      <c r="I167" s="2">
        <v>1</v>
      </c>
      <c r="J167" s="50"/>
      <c r="P167" s="41">
        <v>1</v>
      </c>
      <c r="Q167" s="50"/>
    </row>
    <row r="168" spans="2:17" thickBot="1" x14ac:dyDescent="0.3">
      <c r="B168" s="2">
        <v>169</v>
      </c>
      <c r="C168" s="2" t="s">
        <v>1100</v>
      </c>
      <c r="D168" s="50" t="s">
        <v>2337</v>
      </c>
      <c r="E168" s="50">
        <v>27</v>
      </c>
      <c r="F168" s="50">
        <v>43</v>
      </c>
      <c r="G168" s="50">
        <v>7</v>
      </c>
      <c r="H168" s="50" t="s">
        <v>27</v>
      </c>
      <c r="I168" s="2">
        <v>1</v>
      </c>
      <c r="J168" s="50"/>
      <c r="P168" s="41">
        <v>1</v>
      </c>
      <c r="Q168" s="50"/>
    </row>
    <row r="169" spans="2:17" thickBot="1" x14ac:dyDescent="0.3">
      <c r="B169" s="2">
        <v>170</v>
      </c>
      <c r="C169" s="2" t="s">
        <v>1099</v>
      </c>
      <c r="D169" s="50" t="s">
        <v>1098</v>
      </c>
      <c r="E169" s="50">
        <v>27</v>
      </c>
      <c r="F169" s="50">
        <v>10</v>
      </c>
      <c r="G169" s="50">
        <v>10</v>
      </c>
      <c r="H169" s="50" t="s">
        <v>27</v>
      </c>
      <c r="I169" s="2">
        <v>1</v>
      </c>
      <c r="J169" s="50"/>
      <c r="P169" s="41">
        <v>1</v>
      </c>
      <c r="Q169" s="50"/>
    </row>
    <row r="170" spans="2:17" thickBot="1" x14ac:dyDescent="0.3">
      <c r="B170" s="2">
        <v>171</v>
      </c>
      <c r="C170" s="2" t="s">
        <v>617</v>
      </c>
      <c r="D170" s="50" t="s">
        <v>240</v>
      </c>
      <c r="E170" s="50">
        <v>27</v>
      </c>
      <c r="F170" s="50">
        <v>58</v>
      </c>
      <c r="G170" s="50">
        <v>2</v>
      </c>
      <c r="H170" s="50" t="s">
        <v>27</v>
      </c>
      <c r="I170" s="2">
        <v>1</v>
      </c>
      <c r="J170" s="50"/>
      <c r="P170" s="41">
        <v>1</v>
      </c>
      <c r="Q170" s="50" t="s">
        <v>57</v>
      </c>
    </row>
    <row r="171" spans="2:17" thickBot="1" x14ac:dyDescent="0.3">
      <c r="B171" s="2">
        <v>172</v>
      </c>
      <c r="C171" s="2" t="s">
        <v>311</v>
      </c>
      <c r="D171" s="50" t="s">
        <v>1097</v>
      </c>
      <c r="E171" s="50">
        <v>27</v>
      </c>
      <c r="F171" s="50">
        <v>4</v>
      </c>
      <c r="G171" s="50">
        <v>1</v>
      </c>
      <c r="H171" s="50" t="s">
        <v>27</v>
      </c>
      <c r="I171" s="2">
        <v>1</v>
      </c>
      <c r="J171" s="50"/>
      <c r="P171" s="41">
        <v>1</v>
      </c>
      <c r="Q171" s="50" t="s">
        <v>57</v>
      </c>
    </row>
    <row r="172" spans="2:17" thickBot="1" x14ac:dyDescent="0.3">
      <c r="B172" s="2">
        <v>173</v>
      </c>
      <c r="C172" s="2" t="s">
        <v>1096</v>
      </c>
      <c r="D172" s="50" t="s">
        <v>1095</v>
      </c>
      <c r="E172" s="50">
        <v>27</v>
      </c>
      <c r="F172" s="50">
        <v>46</v>
      </c>
      <c r="G172" s="50" t="s">
        <v>17</v>
      </c>
      <c r="H172" s="50" t="s">
        <v>27</v>
      </c>
      <c r="I172" s="2">
        <v>1</v>
      </c>
      <c r="J172" s="50"/>
      <c r="P172" s="41">
        <v>1</v>
      </c>
      <c r="Q172" s="50" t="s">
        <v>57</v>
      </c>
    </row>
    <row r="173" spans="2:17" thickBot="1" x14ac:dyDescent="0.3">
      <c r="B173" s="2">
        <v>174</v>
      </c>
      <c r="C173" s="2" t="s">
        <v>123</v>
      </c>
      <c r="D173" s="50" t="s">
        <v>2298</v>
      </c>
      <c r="E173" s="50">
        <v>27</v>
      </c>
      <c r="F173" s="50">
        <v>54</v>
      </c>
      <c r="G173" s="50">
        <v>16</v>
      </c>
      <c r="H173" s="50" t="s">
        <v>27</v>
      </c>
      <c r="I173" s="2">
        <v>1</v>
      </c>
      <c r="J173" s="50"/>
      <c r="P173" s="41">
        <v>1</v>
      </c>
      <c r="Q173" s="50" t="s">
        <v>57</v>
      </c>
    </row>
    <row r="174" spans="2:17" thickBot="1" x14ac:dyDescent="0.3">
      <c r="B174" s="2">
        <v>175</v>
      </c>
      <c r="C174" s="2" t="s">
        <v>123</v>
      </c>
      <c r="D174" s="50" t="s">
        <v>1093</v>
      </c>
      <c r="E174" s="50">
        <v>27</v>
      </c>
      <c r="F174" s="50">
        <v>40</v>
      </c>
      <c r="G174" s="50">
        <v>14</v>
      </c>
      <c r="H174" s="50" t="s">
        <v>27</v>
      </c>
      <c r="I174" s="2">
        <v>1</v>
      </c>
      <c r="J174" s="50"/>
      <c r="P174" s="41">
        <v>1</v>
      </c>
      <c r="Q174" s="50" t="s">
        <v>57</v>
      </c>
    </row>
    <row r="175" spans="2:17" thickBot="1" x14ac:dyDescent="0.3">
      <c r="B175" s="2">
        <v>176</v>
      </c>
      <c r="C175" s="2" t="s">
        <v>123</v>
      </c>
      <c r="D175" s="50" t="s">
        <v>1094</v>
      </c>
      <c r="E175" s="50">
        <v>27</v>
      </c>
      <c r="F175" s="50">
        <v>130</v>
      </c>
      <c r="G175" s="50" t="s">
        <v>2375</v>
      </c>
      <c r="H175" s="50" t="s">
        <v>27</v>
      </c>
      <c r="I175" s="2">
        <v>1</v>
      </c>
      <c r="J175" s="50"/>
      <c r="P175" s="41">
        <v>1</v>
      </c>
      <c r="Q175" s="50" t="s">
        <v>57</v>
      </c>
    </row>
    <row r="176" spans="2:17" thickBot="1" x14ac:dyDescent="0.3">
      <c r="B176" s="2">
        <v>177</v>
      </c>
      <c r="C176" s="2" t="s">
        <v>123</v>
      </c>
      <c r="D176" s="50" t="s">
        <v>2310</v>
      </c>
      <c r="E176" s="50">
        <v>27</v>
      </c>
      <c r="F176" s="50" t="s">
        <v>73</v>
      </c>
      <c r="G176" s="50">
        <v>15</v>
      </c>
      <c r="H176" s="50" t="s">
        <v>27</v>
      </c>
      <c r="I176" s="2">
        <v>1</v>
      </c>
      <c r="J176" s="50"/>
      <c r="P176" s="41">
        <v>1</v>
      </c>
      <c r="Q176" s="50" t="s">
        <v>57</v>
      </c>
    </row>
    <row r="177" spans="2:17" thickBot="1" x14ac:dyDescent="0.3">
      <c r="B177" s="2">
        <v>178</v>
      </c>
      <c r="C177" s="2" t="s">
        <v>135</v>
      </c>
      <c r="D177" s="50" t="s">
        <v>1092</v>
      </c>
      <c r="E177" s="50">
        <v>27</v>
      </c>
      <c r="F177" s="50">
        <v>53</v>
      </c>
      <c r="G177" s="50">
        <v>15</v>
      </c>
      <c r="H177" s="50" t="s">
        <v>27</v>
      </c>
      <c r="I177" s="2">
        <v>1</v>
      </c>
      <c r="J177" s="50"/>
      <c r="P177" s="41">
        <v>1</v>
      </c>
      <c r="Q177" s="50" t="s">
        <v>57</v>
      </c>
    </row>
    <row r="178" spans="2:17" thickBot="1" x14ac:dyDescent="0.3">
      <c r="B178" s="2">
        <v>179</v>
      </c>
      <c r="C178" s="2" t="s">
        <v>181</v>
      </c>
      <c r="D178" s="50" t="s">
        <v>1091</v>
      </c>
      <c r="E178" s="50">
        <v>27</v>
      </c>
      <c r="F178" s="50">
        <v>100</v>
      </c>
      <c r="G178" s="50">
        <v>16</v>
      </c>
      <c r="H178" s="50" t="s">
        <v>27</v>
      </c>
      <c r="I178" s="2">
        <v>1</v>
      </c>
      <c r="J178" s="50"/>
      <c r="P178" s="41">
        <v>1</v>
      </c>
      <c r="Q178" s="50" t="s">
        <v>57</v>
      </c>
    </row>
    <row r="179" spans="2:17" thickBot="1" x14ac:dyDescent="0.3">
      <c r="B179" s="2">
        <v>180</v>
      </c>
      <c r="C179" s="2" t="s">
        <v>135</v>
      </c>
      <c r="D179" s="50" t="s">
        <v>1090</v>
      </c>
      <c r="E179" s="50">
        <v>27</v>
      </c>
      <c r="F179" s="50">
        <v>46</v>
      </c>
      <c r="G179" s="50">
        <v>10</v>
      </c>
      <c r="H179" s="50" t="s">
        <v>27</v>
      </c>
      <c r="I179" s="2">
        <v>1</v>
      </c>
      <c r="J179" s="50"/>
      <c r="P179" s="41">
        <v>1</v>
      </c>
      <c r="Q179" s="50" t="s">
        <v>57</v>
      </c>
    </row>
    <row r="180" spans="2:17" thickBot="1" x14ac:dyDescent="0.3">
      <c r="B180" s="2">
        <v>181</v>
      </c>
      <c r="C180" s="2" t="s">
        <v>135</v>
      </c>
      <c r="D180" s="50" t="s">
        <v>2328</v>
      </c>
      <c r="E180" s="50">
        <v>27</v>
      </c>
      <c r="F180" s="50">
        <v>55</v>
      </c>
      <c r="G180" s="50">
        <v>10</v>
      </c>
      <c r="H180" s="50" t="s">
        <v>27</v>
      </c>
      <c r="I180" s="2">
        <v>1</v>
      </c>
      <c r="J180" s="50"/>
      <c r="P180" s="41">
        <v>1</v>
      </c>
      <c r="Q180" s="50" t="s">
        <v>57</v>
      </c>
    </row>
    <row r="181" spans="2:17" thickBot="1" x14ac:dyDescent="0.3">
      <c r="B181" s="2">
        <v>182</v>
      </c>
      <c r="C181" s="2" t="s">
        <v>859</v>
      </c>
      <c r="D181" s="50" t="s">
        <v>2319</v>
      </c>
      <c r="E181" s="50">
        <v>27</v>
      </c>
      <c r="F181" s="50">
        <v>47</v>
      </c>
      <c r="G181" s="50">
        <v>13</v>
      </c>
      <c r="H181" s="50" t="s">
        <v>27</v>
      </c>
      <c r="I181" s="2">
        <v>1</v>
      </c>
      <c r="J181" s="50"/>
      <c r="P181" s="41">
        <v>1</v>
      </c>
      <c r="Q181" s="50" t="s">
        <v>57</v>
      </c>
    </row>
    <row r="182" spans="2:17" thickBot="1" x14ac:dyDescent="0.3">
      <c r="B182" s="2">
        <v>183</v>
      </c>
      <c r="C182" s="2" t="s">
        <v>2335</v>
      </c>
      <c r="D182" s="50" t="s">
        <v>1081</v>
      </c>
      <c r="E182" s="50">
        <v>27</v>
      </c>
      <c r="F182" s="50">
        <v>64</v>
      </c>
      <c r="G182" s="50">
        <v>7</v>
      </c>
      <c r="H182" s="50" t="s">
        <v>27</v>
      </c>
      <c r="I182" s="2">
        <v>1</v>
      </c>
      <c r="J182" s="50"/>
      <c r="P182" s="41">
        <v>1</v>
      </c>
      <c r="Q182" s="50" t="s">
        <v>57</v>
      </c>
    </row>
    <row r="183" spans="2:17" thickBot="1" x14ac:dyDescent="0.3">
      <c r="B183" s="2">
        <v>184</v>
      </c>
      <c r="C183" s="2" t="s">
        <v>171</v>
      </c>
      <c r="D183" s="50" t="s">
        <v>2329</v>
      </c>
      <c r="E183" s="50">
        <v>27</v>
      </c>
      <c r="F183" s="50">
        <v>2</v>
      </c>
      <c r="G183" s="50">
        <v>10</v>
      </c>
      <c r="H183" s="50" t="s">
        <v>27</v>
      </c>
      <c r="I183" s="2">
        <v>1</v>
      </c>
      <c r="J183" s="50"/>
      <c r="P183" s="41">
        <v>1</v>
      </c>
      <c r="Q183" s="50" t="s">
        <v>57</v>
      </c>
    </row>
    <row r="184" spans="2:17" thickBot="1" x14ac:dyDescent="0.3">
      <c r="B184" s="2">
        <v>185</v>
      </c>
      <c r="C184" s="2" t="s">
        <v>878</v>
      </c>
      <c r="D184" s="50" t="s">
        <v>1089</v>
      </c>
      <c r="E184" s="50">
        <v>27</v>
      </c>
      <c r="F184" s="50">
        <v>60</v>
      </c>
      <c r="G184" s="50" t="s">
        <v>18</v>
      </c>
      <c r="H184" s="50" t="s">
        <v>27</v>
      </c>
      <c r="I184" s="2">
        <v>1</v>
      </c>
      <c r="J184" s="50"/>
      <c r="P184" s="41">
        <v>1</v>
      </c>
      <c r="Q184" s="50" t="s">
        <v>57</v>
      </c>
    </row>
    <row r="185" spans="2:17" thickBot="1" x14ac:dyDescent="0.3">
      <c r="B185" s="2">
        <v>186</v>
      </c>
      <c r="C185" s="2" t="s">
        <v>187</v>
      </c>
      <c r="D185" s="50" t="s">
        <v>2365</v>
      </c>
      <c r="E185" s="50">
        <v>27</v>
      </c>
      <c r="F185" s="50">
        <v>45</v>
      </c>
      <c r="G185" s="50" t="s">
        <v>71</v>
      </c>
      <c r="H185" s="50" t="s">
        <v>27</v>
      </c>
      <c r="I185" s="2">
        <v>1</v>
      </c>
      <c r="J185" s="50"/>
      <c r="P185" s="41">
        <v>1</v>
      </c>
      <c r="Q185" s="50" t="s">
        <v>57</v>
      </c>
    </row>
    <row r="186" spans="2:17" thickBot="1" x14ac:dyDescent="0.3">
      <c r="B186" s="2">
        <v>187</v>
      </c>
      <c r="C186" s="2" t="s">
        <v>1088</v>
      </c>
      <c r="D186" s="50" t="s">
        <v>2322</v>
      </c>
      <c r="E186" s="50">
        <v>27</v>
      </c>
      <c r="F186" s="50">
        <v>12</v>
      </c>
      <c r="G186" s="50">
        <v>11</v>
      </c>
      <c r="H186" s="50" t="s">
        <v>27</v>
      </c>
      <c r="I186" s="2">
        <v>1</v>
      </c>
      <c r="J186" s="50"/>
      <c r="P186" s="41">
        <v>1</v>
      </c>
      <c r="Q186" s="50" t="s">
        <v>57</v>
      </c>
    </row>
    <row r="187" spans="2:17" thickBot="1" x14ac:dyDescent="0.3">
      <c r="B187" s="2">
        <v>188</v>
      </c>
      <c r="C187" s="2" t="s">
        <v>1085</v>
      </c>
      <c r="D187" s="50" t="s">
        <v>779</v>
      </c>
      <c r="E187" s="50">
        <v>27</v>
      </c>
      <c r="F187" s="50">
        <v>10</v>
      </c>
      <c r="G187" s="50">
        <v>12</v>
      </c>
      <c r="H187" s="50" t="s">
        <v>27</v>
      </c>
      <c r="I187" s="2">
        <v>1</v>
      </c>
      <c r="J187" s="50"/>
      <c r="P187" s="41">
        <v>1</v>
      </c>
      <c r="Q187" s="50" t="s">
        <v>57</v>
      </c>
    </row>
    <row r="188" spans="2:17" thickBot="1" x14ac:dyDescent="0.3">
      <c r="B188" s="2">
        <v>189</v>
      </c>
      <c r="C188" s="2" t="s">
        <v>1085</v>
      </c>
      <c r="D188" s="50" t="s">
        <v>2316</v>
      </c>
      <c r="E188" s="50">
        <v>27</v>
      </c>
      <c r="F188" s="50">
        <v>12</v>
      </c>
      <c r="G188" s="50">
        <v>13</v>
      </c>
      <c r="H188" s="50" t="s">
        <v>27</v>
      </c>
      <c r="I188" s="2">
        <v>1</v>
      </c>
      <c r="J188" s="50"/>
      <c r="P188" s="41">
        <v>1</v>
      </c>
      <c r="Q188" s="50" t="s">
        <v>57</v>
      </c>
    </row>
    <row r="189" spans="2:17" thickBot="1" x14ac:dyDescent="0.3">
      <c r="B189" s="2">
        <v>190</v>
      </c>
      <c r="C189" s="2" t="s">
        <v>1085</v>
      </c>
      <c r="D189" s="50" t="s">
        <v>1087</v>
      </c>
      <c r="E189" s="50">
        <v>27</v>
      </c>
      <c r="F189" s="50">
        <v>49</v>
      </c>
      <c r="G189" s="50">
        <v>9</v>
      </c>
      <c r="H189" s="50" t="s">
        <v>27</v>
      </c>
      <c r="I189" s="2">
        <v>1</v>
      </c>
      <c r="J189" s="50"/>
      <c r="P189" s="41">
        <v>1</v>
      </c>
      <c r="Q189" s="50" t="s">
        <v>57</v>
      </c>
    </row>
    <row r="190" spans="2:17" thickBot="1" x14ac:dyDescent="0.3">
      <c r="B190" s="2">
        <v>191</v>
      </c>
      <c r="C190" s="2" t="s">
        <v>1085</v>
      </c>
      <c r="D190" s="50" t="s">
        <v>1084</v>
      </c>
      <c r="E190" s="50">
        <v>27</v>
      </c>
      <c r="F190" s="50">
        <v>51</v>
      </c>
      <c r="G190" s="50" t="s">
        <v>18</v>
      </c>
      <c r="H190" s="50" t="s">
        <v>27</v>
      </c>
      <c r="I190" s="2">
        <v>1</v>
      </c>
      <c r="J190" s="50"/>
      <c r="P190" s="41">
        <v>1</v>
      </c>
      <c r="Q190" s="50" t="s">
        <v>57</v>
      </c>
    </row>
    <row r="191" spans="2:17" thickBot="1" x14ac:dyDescent="0.3">
      <c r="B191" s="2">
        <v>192</v>
      </c>
      <c r="C191" s="2" t="s">
        <v>726</v>
      </c>
      <c r="D191" s="50" t="s">
        <v>1083</v>
      </c>
      <c r="E191" s="50">
        <v>27</v>
      </c>
      <c r="F191" s="50">
        <v>1</v>
      </c>
      <c r="G191" s="50">
        <v>62</v>
      </c>
      <c r="H191" s="50" t="s">
        <v>27</v>
      </c>
      <c r="I191" s="2">
        <v>1</v>
      </c>
      <c r="J191" s="50"/>
      <c r="P191" s="41">
        <v>1</v>
      </c>
      <c r="Q191" s="50" t="s">
        <v>57</v>
      </c>
    </row>
    <row r="192" spans="2:17" thickBot="1" x14ac:dyDescent="0.3">
      <c r="B192" s="2">
        <v>193</v>
      </c>
      <c r="C192" s="2" t="s">
        <v>125</v>
      </c>
      <c r="D192" s="50" t="s">
        <v>1082</v>
      </c>
      <c r="E192" s="50">
        <v>27</v>
      </c>
      <c r="F192" s="50">
        <v>43</v>
      </c>
      <c r="G192" s="50">
        <v>6</v>
      </c>
      <c r="H192" s="50" t="s">
        <v>27</v>
      </c>
      <c r="I192" s="2">
        <v>1</v>
      </c>
      <c r="J192" s="50"/>
      <c r="P192" s="41">
        <v>1</v>
      </c>
      <c r="Q192" s="50" t="s">
        <v>57</v>
      </c>
    </row>
    <row r="193" spans="1:17" thickBot="1" x14ac:dyDescent="0.3">
      <c r="B193" s="2">
        <v>194</v>
      </c>
      <c r="C193" s="2" t="s">
        <v>125</v>
      </c>
      <c r="D193" s="50" t="s">
        <v>1081</v>
      </c>
      <c r="E193" s="50">
        <v>27</v>
      </c>
      <c r="F193" s="50">
        <v>134</v>
      </c>
      <c r="G193" s="50">
        <v>12</v>
      </c>
      <c r="H193" s="50" t="s">
        <v>27</v>
      </c>
      <c r="I193" s="2">
        <v>1</v>
      </c>
      <c r="J193" s="50"/>
      <c r="P193" s="41">
        <v>1</v>
      </c>
      <c r="Q193" s="50" t="s">
        <v>57</v>
      </c>
    </row>
    <row r="194" spans="1:17" thickBot="1" x14ac:dyDescent="0.3">
      <c r="B194" s="2">
        <v>195</v>
      </c>
      <c r="C194" s="2" t="s">
        <v>2347</v>
      </c>
      <c r="D194" s="50" t="s">
        <v>1080</v>
      </c>
      <c r="E194" s="50">
        <v>27</v>
      </c>
      <c r="F194" s="50">
        <v>30</v>
      </c>
      <c r="G194" s="50">
        <v>5</v>
      </c>
      <c r="H194" s="50" t="s">
        <v>27</v>
      </c>
      <c r="I194" s="2">
        <v>1</v>
      </c>
      <c r="J194" s="50"/>
      <c r="P194" s="41">
        <v>1</v>
      </c>
      <c r="Q194" s="50" t="s">
        <v>57</v>
      </c>
    </row>
    <row r="195" spans="1:17" thickBot="1" x14ac:dyDescent="0.3">
      <c r="B195" s="2">
        <v>196</v>
      </c>
      <c r="C195" s="2" t="s">
        <v>1079</v>
      </c>
      <c r="D195" s="50" t="s">
        <v>1078</v>
      </c>
      <c r="E195" s="50">
        <v>27</v>
      </c>
      <c r="F195" s="50">
        <v>123</v>
      </c>
      <c r="G195" s="50">
        <v>11</v>
      </c>
      <c r="H195" s="50" t="s">
        <v>27</v>
      </c>
      <c r="I195" s="2">
        <v>1</v>
      </c>
      <c r="J195" s="50"/>
      <c r="P195" s="41">
        <v>1</v>
      </c>
      <c r="Q195" s="50" t="s">
        <v>57</v>
      </c>
    </row>
    <row r="196" spans="1:17" thickBot="1" x14ac:dyDescent="0.3">
      <c r="B196" s="2">
        <v>197</v>
      </c>
      <c r="C196" s="2" t="s">
        <v>1076</v>
      </c>
      <c r="D196" s="50" t="s">
        <v>1075</v>
      </c>
      <c r="E196" s="50">
        <v>27</v>
      </c>
      <c r="F196" s="50">
        <v>29</v>
      </c>
      <c r="G196" s="50">
        <v>1</v>
      </c>
      <c r="H196" s="50" t="s">
        <v>27</v>
      </c>
      <c r="I196" s="2">
        <v>1</v>
      </c>
      <c r="J196" s="50"/>
      <c r="P196" s="41">
        <v>1</v>
      </c>
      <c r="Q196" s="50" t="s">
        <v>57</v>
      </c>
    </row>
    <row r="197" spans="1:17" thickBot="1" x14ac:dyDescent="0.3">
      <c r="B197" s="2">
        <v>198</v>
      </c>
      <c r="C197" s="2" t="s">
        <v>586</v>
      </c>
      <c r="D197" s="50" t="s">
        <v>1077</v>
      </c>
      <c r="E197" s="50">
        <v>27</v>
      </c>
      <c r="F197" s="50">
        <v>7</v>
      </c>
      <c r="G197" s="50">
        <v>5</v>
      </c>
      <c r="H197" s="50" t="s">
        <v>27</v>
      </c>
      <c r="I197" s="2">
        <v>1</v>
      </c>
      <c r="J197" s="50"/>
      <c r="P197" s="41">
        <v>1</v>
      </c>
      <c r="Q197" s="50" t="s">
        <v>57</v>
      </c>
    </row>
    <row r="198" spans="1:17" thickBot="1" x14ac:dyDescent="0.3">
      <c r="B198" s="2">
        <v>199</v>
      </c>
      <c r="C198" s="2" t="s">
        <v>1074</v>
      </c>
      <c r="D198" s="50" t="s">
        <v>2346</v>
      </c>
      <c r="E198" s="50">
        <v>27</v>
      </c>
      <c r="F198" s="50">
        <v>60</v>
      </c>
      <c r="G198" s="50">
        <v>6</v>
      </c>
      <c r="H198" s="50" t="s">
        <v>27</v>
      </c>
      <c r="I198" s="2">
        <v>1</v>
      </c>
      <c r="J198" s="50"/>
      <c r="P198" s="41">
        <v>1</v>
      </c>
      <c r="Q198" s="50" t="s">
        <v>57</v>
      </c>
    </row>
    <row r="199" spans="1:17" thickBot="1" x14ac:dyDescent="0.3">
      <c r="B199" s="2">
        <v>200</v>
      </c>
      <c r="C199" s="2" t="s">
        <v>600</v>
      </c>
      <c r="D199" s="50" t="s">
        <v>6</v>
      </c>
      <c r="E199" s="50">
        <v>27</v>
      </c>
      <c r="F199" s="50">
        <v>145</v>
      </c>
      <c r="G199" s="50">
        <v>3</v>
      </c>
      <c r="H199" s="50" t="s">
        <v>27</v>
      </c>
      <c r="I199" s="2">
        <v>1</v>
      </c>
      <c r="J199" s="50"/>
      <c r="P199" s="41">
        <v>1</v>
      </c>
      <c r="Q199" s="50" t="s">
        <v>57</v>
      </c>
    </row>
    <row r="200" spans="1:17" thickBot="1" x14ac:dyDescent="0.3">
      <c r="B200" s="2">
        <v>201</v>
      </c>
      <c r="C200" s="2" t="s">
        <v>600</v>
      </c>
      <c r="D200" s="50" t="s">
        <v>6</v>
      </c>
      <c r="E200" s="50">
        <v>27</v>
      </c>
      <c r="F200" s="50">
        <v>141</v>
      </c>
      <c r="G200" s="50">
        <v>4</v>
      </c>
      <c r="H200" s="50" t="s">
        <v>27</v>
      </c>
      <c r="I200" s="2">
        <v>1</v>
      </c>
      <c r="J200" s="50"/>
      <c r="P200" s="41">
        <v>1</v>
      </c>
      <c r="Q200" s="50" t="s">
        <v>57</v>
      </c>
    </row>
    <row r="201" spans="1:17" thickBot="1" x14ac:dyDescent="0.3">
      <c r="B201" s="2">
        <v>202</v>
      </c>
      <c r="C201" s="2" t="s">
        <v>1073</v>
      </c>
      <c r="D201" s="50" t="s">
        <v>1072</v>
      </c>
      <c r="E201" s="50">
        <v>27</v>
      </c>
      <c r="F201" s="50">
        <v>37</v>
      </c>
      <c r="G201" s="50">
        <v>12</v>
      </c>
      <c r="H201" s="50" t="s">
        <v>27</v>
      </c>
      <c r="I201" s="2">
        <v>1</v>
      </c>
      <c r="J201" s="50"/>
      <c r="P201" s="41">
        <v>1</v>
      </c>
      <c r="Q201" s="50" t="s">
        <v>57</v>
      </c>
    </row>
    <row r="202" spans="1:17" thickBot="1" x14ac:dyDescent="0.3">
      <c r="A202" s="42" t="s">
        <v>856</v>
      </c>
      <c r="B202" s="2">
        <v>203</v>
      </c>
      <c r="C202" s="2" t="s">
        <v>1071</v>
      </c>
      <c r="D202" s="50" t="s">
        <v>1070</v>
      </c>
      <c r="E202" s="50">
        <v>27</v>
      </c>
      <c r="F202" s="50">
        <v>120</v>
      </c>
      <c r="G202" s="50">
        <v>11</v>
      </c>
      <c r="H202" s="50" t="s">
        <v>27</v>
      </c>
      <c r="I202" s="2">
        <v>1</v>
      </c>
      <c r="J202" s="50"/>
      <c r="P202" s="41">
        <v>1</v>
      </c>
      <c r="Q202" s="50" t="s">
        <v>57</v>
      </c>
    </row>
    <row r="203" spans="1:17" thickBot="1" x14ac:dyDescent="0.3">
      <c r="B203" s="2">
        <v>204</v>
      </c>
      <c r="C203" s="2" t="s">
        <v>1069</v>
      </c>
      <c r="D203" s="50" t="s">
        <v>1068</v>
      </c>
      <c r="E203" s="50">
        <v>27</v>
      </c>
      <c r="F203" s="50">
        <v>7</v>
      </c>
      <c r="G203" s="50">
        <v>15</v>
      </c>
      <c r="H203" s="50" t="s">
        <v>27</v>
      </c>
      <c r="I203" s="2">
        <v>1</v>
      </c>
      <c r="J203" s="50"/>
      <c r="P203" s="41">
        <v>1</v>
      </c>
      <c r="Q203" s="50" t="s">
        <v>57</v>
      </c>
    </row>
    <row r="204" spans="1:17" thickBot="1" x14ac:dyDescent="0.3">
      <c r="B204" s="2">
        <v>205</v>
      </c>
      <c r="C204" s="2" t="s">
        <v>1067</v>
      </c>
      <c r="D204" s="50" t="s">
        <v>1066</v>
      </c>
      <c r="E204" s="50">
        <v>27</v>
      </c>
      <c r="F204" s="50">
        <v>59</v>
      </c>
      <c r="G204" s="50" t="s">
        <v>17</v>
      </c>
      <c r="H204" s="50" t="s">
        <v>27</v>
      </c>
      <c r="I204" s="2">
        <v>1</v>
      </c>
      <c r="J204" s="50"/>
      <c r="P204" s="41">
        <v>1</v>
      </c>
      <c r="Q204" s="50" t="s">
        <v>57</v>
      </c>
    </row>
    <row r="205" spans="1:17" thickBot="1" x14ac:dyDescent="0.3">
      <c r="B205" s="2">
        <v>206</v>
      </c>
      <c r="C205" s="2" t="s">
        <v>582</v>
      </c>
      <c r="D205" s="50" t="s">
        <v>2306</v>
      </c>
      <c r="E205" s="50">
        <v>27</v>
      </c>
      <c r="F205" s="50">
        <v>22</v>
      </c>
      <c r="G205" s="50">
        <v>15</v>
      </c>
      <c r="H205" s="50" t="s">
        <v>27</v>
      </c>
      <c r="I205" s="2">
        <v>1</v>
      </c>
      <c r="J205" s="50"/>
      <c r="P205" s="41">
        <v>1</v>
      </c>
      <c r="Q205" s="50" t="s">
        <v>57</v>
      </c>
    </row>
    <row r="206" spans="1:17" thickBot="1" x14ac:dyDescent="0.3">
      <c r="B206" s="2">
        <v>207</v>
      </c>
      <c r="C206" s="2" t="s">
        <v>274</v>
      </c>
      <c r="D206" s="50" t="s">
        <v>743</v>
      </c>
      <c r="E206" s="50">
        <v>27</v>
      </c>
      <c r="F206" s="50">
        <v>87</v>
      </c>
      <c r="G206" s="50">
        <v>14</v>
      </c>
      <c r="H206" s="50" t="s">
        <v>27</v>
      </c>
      <c r="I206" s="2">
        <v>1</v>
      </c>
      <c r="J206" s="50"/>
      <c r="P206" s="41">
        <v>1</v>
      </c>
      <c r="Q206" s="50" t="s">
        <v>57</v>
      </c>
    </row>
    <row r="207" spans="1:17" thickBot="1" x14ac:dyDescent="0.3">
      <c r="B207" s="2">
        <v>208</v>
      </c>
      <c r="C207" s="2" t="s">
        <v>274</v>
      </c>
      <c r="D207" s="50" t="s">
        <v>2348</v>
      </c>
      <c r="E207" s="50">
        <v>27</v>
      </c>
      <c r="F207" s="50">
        <v>17</v>
      </c>
      <c r="G207" s="50">
        <v>5</v>
      </c>
      <c r="H207" s="50" t="s">
        <v>27</v>
      </c>
      <c r="I207" s="2">
        <v>1</v>
      </c>
      <c r="J207" s="50"/>
      <c r="P207" s="41">
        <v>1</v>
      </c>
      <c r="Q207" s="50" t="s">
        <v>57</v>
      </c>
    </row>
    <row r="208" spans="1:17" thickBot="1" x14ac:dyDescent="0.3">
      <c r="B208" s="2">
        <v>209</v>
      </c>
      <c r="C208" s="2" t="s">
        <v>127</v>
      </c>
      <c r="D208" s="50" t="s">
        <v>2336</v>
      </c>
      <c r="E208" s="50">
        <v>27</v>
      </c>
      <c r="F208" s="50">
        <v>51</v>
      </c>
      <c r="G208" s="50">
        <v>7</v>
      </c>
      <c r="H208" s="50" t="s">
        <v>27</v>
      </c>
      <c r="I208" s="2">
        <v>1</v>
      </c>
      <c r="J208" s="50"/>
      <c r="P208" s="41">
        <v>1</v>
      </c>
      <c r="Q208" s="50" t="s">
        <v>57</v>
      </c>
    </row>
    <row r="209" spans="2:17" thickBot="1" x14ac:dyDescent="0.3">
      <c r="B209" s="2">
        <v>210</v>
      </c>
      <c r="C209" s="2" t="s">
        <v>127</v>
      </c>
      <c r="D209" s="50" t="s">
        <v>2377</v>
      </c>
      <c r="E209" s="50">
        <v>27</v>
      </c>
      <c r="F209" s="50">
        <v>121</v>
      </c>
      <c r="G209" s="50">
        <v>11</v>
      </c>
      <c r="H209" s="50" t="s">
        <v>27</v>
      </c>
      <c r="I209" s="2">
        <v>1</v>
      </c>
      <c r="J209" s="50"/>
      <c r="P209" s="41">
        <v>1</v>
      </c>
      <c r="Q209" s="50" t="s">
        <v>57</v>
      </c>
    </row>
    <row r="210" spans="2:17" thickBot="1" x14ac:dyDescent="0.3">
      <c r="B210" s="2">
        <v>211</v>
      </c>
      <c r="C210" s="2" t="s">
        <v>274</v>
      </c>
      <c r="D210" s="50" t="s">
        <v>172</v>
      </c>
      <c r="E210" s="50">
        <v>27</v>
      </c>
      <c r="F210" s="50">
        <v>116</v>
      </c>
      <c r="G210" s="50" t="s">
        <v>2375</v>
      </c>
      <c r="H210" s="50" t="s">
        <v>27</v>
      </c>
      <c r="I210" s="2">
        <v>1</v>
      </c>
      <c r="J210" s="50"/>
      <c r="P210" s="41">
        <v>1</v>
      </c>
      <c r="Q210" s="50" t="s">
        <v>57</v>
      </c>
    </row>
    <row r="211" spans="2:17" thickBot="1" x14ac:dyDescent="0.3">
      <c r="B211" s="2">
        <v>212</v>
      </c>
      <c r="C211" s="2" t="s">
        <v>578</v>
      </c>
      <c r="D211" s="50" t="s">
        <v>165</v>
      </c>
      <c r="E211" s="50">
        <v>27</v>
      </c>
      <c r="F211" s="50">
        <v>20</v>
      </c>
      <c r="G211" s="50">
        <v>4</v>
      </c>
      <c r="H211" s="50" t="s">
        <v>27</v>
      </c>
      <c r="I211" s="2">
        <v>1</v>
      </c>
      <c r="J211" s="50"/>
      <c r="P211" s="41">
        <v>1</v>
      </c>
      <c r="Q211" s="50" t="s">
        <v>55</v>
      </c>
    </row>
    <row r="212" spans="2:17" thickBot="1" x14ac:dyDescent="0.3">
      <c r="B212" s="2">
        <v>213</v>
      </c>
      <c r="C212" s="2" t="s">
        <v>157</v>
      </c>
      <c r="D212" s="50" t="s">
        <v>1065</v>
      </c>
      <c r="E212" s="50">
        <v>27</v>
      </c>
      <c r="F212" s="50">
        <v>128</v>
      </c>
      <c r="G212" s="50" t="s">
        <v>2375</v>
      </c>
      <c r="H212" s="50" t="s">
        <v>27</v>
      </c>
      <c r="I212" s="2">
        <v>1</v>
      </c>
      <c r="J212" s="50"/>
      <c r="P212" s="41">
        <v>1</v>
      </c>
      <c r="Q212" s="50" t="s">
        <v>55</v>
      </c>
    </row>
    <row r="213" spans="2:17" thickBot="1" x14ac:dyDescent="0.3">
      <c r="B213" s="2">
        <v>214</v>
      </c>
      <c r="C213" s="2" t="s">
        <v>1064</v>
      </c>
      <c r="D213" s="50" t="s">
        <v>1063</v>
      </c>
      <c r="E213" s="50">
        <v>27</v>
      </c>
      <c r="F213" s="50">
        <v>14</v>
      </c>
      <c r="G213" s="50">
        <v>5</v>
      </c>
      <c r="H213" s="50" t="s">
        <v>27</v>
      </c>
      <c r="I213" s="2">
        <v>1</v>
      </c>
      <c r="J213" s="50"/>
      <c r="P213" s="41">
        <v>1</v>
      </c>
      <c r="Q213" s="50" t="s">
        <v>55</v>
      </c>
    </row>
    <row r="214" spans="2:17" thickBot="1" x14ac:dyDescent="0.3">
      <c r="B214" s="2">
        <v>215</v>
      </c>
      <c r="C214" s="2" t="s">
        <v>575</v>
      </c>
      <c r="D214" s="50" t="s">
        <v>1062</v>
      </c>
      <c r="E214" s="50">
        <v>27</v>
      </c>
      <c r="F214" s="50">
        <v>52</v>
      </c>
      <c r="G214" s="50">
        <v>13</v>
      </c>
      <c r="H214" s="50" t="s">
        <v>27</v>
      </c>
      <c r="I214" s="2">
        <v>1</v>
      </c>
      <c r="J214" s="50"/>
      <c r="P214" s="41">
        <v>1</v>
      </c>
      <c r="Q214" s="50" t="s">
        <v>55</v>
      </c>
    </row>
    <row r="215" spans="2:17" thickBot="1" x14ac:dyDescent="0.3">
      <c r="B215" s="2">
        <v>216</v>
      </c>
      <c r="C215" s="2" t="s">
        <v>575</v>
      </c>
      <c r="D215" s="50" t="s">
        <v>2332</v>
      </c>
      <c r="E215" s="50">
        <v>27</v>
      </c>
      <c r="F215" s="50">
        <v>53</v>
      </c>
      <c r="G215" s="50">
        <v>9</v>
      </c>
      <c r="H215" s="50" t="s">
        <v>27</v>
      </c>
      <c r="I215" s="2">
        <v>1</v>
      </c>
      <c r="J215" s="50"/>
      <c r="P215" s="41">
        <v>1</v>
      </c>
      <c r="Q215" s="50" t="s">
        <v>48</v>
      </c>
    </row>
    <row r="216" spans="2:17" thickBot="1" x14ac:dyDescent="0.3">
      <c r="B216" s="2">
        <v>217</v>
      </c>
      <c r="C216" s="2" t="s">
        <v>575</v>
      </c>
      <c r="D216" s="50" t="s">
        <v>2309</v>
      </c>
      <c r="E216" s="50">
        <v>27</v>
      </c>
      <c r="F216" s="50">
        <v>38</v>
      </c>
      <c r="G216" s="50">
        <v>15</v>
      </c>
      <c r="H216" s="50" t="s">
        <v>27</v>
      </c>
      <c r="I216" s="2">
        <v>1</v>
      </c>
      <c r="J216" s="50"/>
      <c r="P216" s="41">
        <v>1</v>
      </c>
      <c r="Q216" s="50" t="s">
        <v>48</v>
      </c>
    </row>
    <row r="217" spans="2:17" thickBot="1" x14ac:dyDescent="0.3">
      <c r="B217" s="2">
        <v>218</v>
      </c>
      <c r="C217" s="2" t="s">
        <v>891</v>
      </c>
      <c r="D217" s="50" t="s">
        <v>1061</v>
      </c>
      <c r="E217" s="50">
        <v>27</v>
      </c>
      <c r="F217" s="50">
        <v>24</v>
      </c>
      <c r="G217" s="50">
        <v>5</v>
      </c>
      <c r="H217" s="50" t="s">
        <v>27</v>
      </c>
      <c r="I217" s="2">
        <v>1</v>
      </c>
      <c r="J217" s="50"/>
      <c r="P217" s="41">
        <v>1</v>
      </c>
      <c r="Q217" s="50" t="s">
        <v>49</v>
      </c>
    </row>
    <row r="218" spans="2:17" thickBot="1" x14ac:dyDescent="0.3">
      <c r="B218" s="2">
        <v>219</v>
      </c>
      <c r="C218" s="2" t="s">
        <v>1021</v>
      </c>
      <c r="D218" s="50" t="s">
        <v>1020</v>
      </c>
      <c r="E218" s="50">
        <v>27</v>
      </c>
      <c r="F218" s="50">
        <v>18</v>
      </c>
      <c r="G218" s="50">
        <v>2</v>
      </c>
      <c r="H218" s="50" t="s">
        <v>27</v>
      </c>
      <c r="I218" s="2">
        <v>1</v>
      </c>
      <c r="J218" s="50"/>
      <c r="P218" s="41">
        <v>1</v>
      </c>
      <c r="Q218" s="50" t="s">
        <v>70</v>
      </c>
    </row>
    <row r="219" spans="2:17" thickBot="1" x14ac:dyDescent="0.3">
      <c r="B219" s="2">
        <v>220</v>
      </c>
      <c r="C219" s="2" t="s">
        <v>131</v>
      </c>
      <c r="D219" s="50" t="s">
        <v>1060</v>
      </c>
      <c r="E219" s="50">
        <v>27</v>
      </c>
      <c r="F219" s="50">
        <v>59</v>
      </c>
      <c r="G219" s="50">
        <v>7</v>
      </c>
      <c r="H219" s="50" t="s">
        <v>27</v>
      </c>
      <c r="I219" s="2">
        <v>1</v>
      </c>
      <c r="J219" s="50"/>
      <c r="P219" s="41">
        <v>1</v>
      </c>
      <c r="Q219" s="50" t="s">
        <v>70</v>
      </c>
    </row>
    <row r="220" spans="2:17" thickBot="1" x14ac:dyDescent="0.3">
      <c r="B220" s="2">
        <v>221</v>
      </c>
      <c r="C220" s="2" t="s">
        <v>131</v>
      </c>
      <c r="D220" s="50" t="s">
        <v>1059</v>
      </c>
      <c r="E220" s="50">
        <v>27</v>
      </c>
      <c r="F220" s="50">
        <v>41</v>
      </c>
      <c r="G220" s="50">
        <v>13</v>
      </c>
      <c r="H220" s="50" t="s">
        <v>27</v>
      </c>
      <c r="I220" s="2">
        <v>1</v>
      </c>
      <c r="J220" s="50"/>
      <c r="P220" s="41">
        <v>1</v>
      </c>
      <c r="Q220" s="50" t="s">
        <v>70</v>
      </c>
    </row>
    <row r="221" spans="2:17" thickBot="1" x14ac:dyDescent="0.3">
      <c r="B221" s="2">
        <v>222</v>
      </c>
      <c r="C221" s="2" t="s">
        <v>131</v>
      </c>
      <c r="D221" s="50" t="s">
        <v>1058</v>
      </c>
      <c r="E221" s="50">
        <v>27</v>
      </c>
      <c r="F221" s="50">
        <v>25</v>
      </c>
      <c r="G221" s="50">
        <v>15</v>
      </c>
      <c r="H221" s="50" t="s">
        <v>27</v>
      </c>
      <c r="I221" s="2">
        <v>1</v>
      </c>
      <c r="J221" s="50"/>
      <c r="P221" s="41">
        <v>1</v>
      </c>
      <c r="Q221" s="50" t="s">
        <v>70</v>
      </c>
    </row>
    <row r="222" spans="2:17" thickBot="1" x14ac:dyDescent="0.3">
      <c r="B222" s="2">
        <v>223</v>
      </c>
      <c r="C222" s="2" t="s">
        <v>131</v>
      </c>
      <c r="D222" s="50" t="s">
        <v>1057</v>
      </c>
      <c r="E222" s="50">
        <v>27</v>
      </c>
      <c r="F222" s="50">
        <v>42</v>
      </c>
      <c r="G222" s="50">
        <v>4</v>
      </c>
      <c r="H222" s="50" t="s">
        <v>27</v>
      </c>
      <c r="I222" s="2">
        <v>1</v>
      </c>
      <c r="J222" s="50"/>
      <c r="P222" s="41">
        <v>1</v>
      </c>
      <c r="Q222" s="50" t="s">
        <v>70</v>
      </c>
    </row>
    <row r="223" spans="2:17" thickBot="1" x14ac:dyDescent="0.3">
      <c r="B223" s="2">
        <v>224</v>
      </c>
      <c r="C223" s="2" t="s">
        <v>131</v>
      </c>
      <c r="D223" s="50" t="s">
        <v>312</v>
      </c>
      <c r="E223" s="50">
        <v>27</v>
      </c>
      <c r="F223" s="50">
        <v>39</v>
      </c>
      <c r="G223" s="50">
        <v>1</v>
      </c>
      <c r="H223" s="50" t="s">
        <v>27</v>
      </c>
      <c r="I223" s="2">
        <v>1</v>
      </c>
      <c r="J223" s="50"/>
      <c r="P223" s="41">
        <v>1</v>
      </c>
      <c r="Q223" s="50" t="s">
        <v>70</v>
      </c>
    </row>
    <row r="224" spans="2:17" thickBot="1" x14ac:dyDescent="0.3">
      <c r="B224" s="2">
        <v>225</v>
      </c>
      <c r="C224" s="2" t="s">
        <v>1055</v>
      </c>
      <c r="D224" s="50" t="s">
        <v>1056</v>
      </c>
      <c r="E224" s="50">
        <v>27</v>
      </c>
      <c r="F224" s="50">
        <v>66</v>
      </c>
      <c r="G224" s="50">
        <v>3</v>
      </c>
      <c r="H224" s="50" t="s">
        <v>27</v>
      </c>
      <c r="I224" s="2">
        <v>1</v>
      </c>
      <c r="J224" s="50"/>
      <c r="P224" s="41">
        <v>1</v>
      </c>
      <c r="Q224" s="50" t="s">
        <v>70</v>
      </c>
    </row>
    <row r="225" spans="2:17" thickBot="1" x14ac:dyDescent="0.3">
      <c r="B225" s="2">
        <v>226</v>
      </c>
      <c r="C225" s="2" t="s">
        <v>1055</v>
      </c>
      <c r="D225" s="50" t="s">
        <v>1054</v>
      </c>
      <c r="E225" s="50">
        <v>27</v>
      </c>
      <c r="F225" s="50">
        <v>5</v>
      </c>
      <c r="G225" s="50">
        <v>12</v>
      </c>
      <c r="H225" s="50" t="s">
        <v>27</v>
      </c>
      <c r="I225" s="2">
        <v>1</v>
      </c>
      <c r="J225" s="50"/>
      <c r="P225" s="41">
        <v>1</v>
      </c>
      <c r="Q225" s="50" t="s">
        <v>70</v>
      </c>
    </row>
    <row r="226" spans="2:17" thickBot="1" x14ac:dyDescent="0.3">
      <c r="B226" s="2">
        <v>227</v>
      </c>
      <c r="C226" s="2" t="s">
        <v>131</v>
      </c>
      <c r="D226" s="50" t="s">
        <v>1053</v>
      </c>
      <c r="E226" s="50">
        <v>27</v>
      </c>
      <c r="F226" s="50">
        <v>4</v>
      </c>
      <c r="G226" s="50">
        <v>1</v>
      </c>
      <c r="H226" s="50" t="s">
        <v>27</v>
      </c>
      <c r="I226" s="2">
        <v>1</v>
      </c>
      <c r="J226" s="50"/>
      <c r="P226" s="41">
        <v>1</v>
      </c>
      <c r="Q226" s="50" t="s">
        <v>70</v>
      </c>
    </row>
    <row r="227" spans="2:17" thickBot="1" x14ac:dyDescent="0.3">
      <c r="B227" s="2">
        <v>228</v>
      </c>
      <c r="C227" s="2" t="s">
        <v>131</v>
      </c>
      <c r="D227" s="50" t="s">
        <v>910</v>
      </c>
      <c r="E227" s="50">
        <v>27</v>
      </c>
      <c r="F227" s="50">
        <v>57</v>
      </c>
      <c r="G227" s="50">
        <v>7</v>
      </c>
      <c r="H227" s="50" t="s">
        <v>27</v>
      </c>
      <c r="I227" s="2">
        <v>1</v>
      </c>
      <c r="J227" s="50"/>
      <c r="P227" s="41">
        <v>1</v>
      </c>
      <c r="Q227" s="50" t="s">
        <v>70</v>
      </c>
    </row>
    <row r="228" spans="2:17" thickBot="1" x14ac:dyDescent="0.3">
      <c r="B228" s="2">
        <v>229</v>
      </c>
      <c r="C228" s="2" t="s">
        <v>131</v>
      </c>
      <c r="D228" s="50" t="s">
        <v>1052</v>
      </c>
      <c r="E228" s="50">
        <v>27</v>
      </c>
      <c r="F228" s="50">
        <v>138</v>
      </c>
      <c r="G228" s="50" t="s">
        <v>18</v>
      </c>
      <c r="H228" s="50" t="s">
        <v>27</v>
      </c>
      <c r="I228" s="2">
        <v>1</v>
      </c>
      <c r="J228" s="50"/>
      <c r="N228" s="41">
        <v>1</v>
      </c>
      <c r="Q228" s="50" t="s">
        <v>72</v>
      </c>
    </row>
    <row r="229" spans="2:17" thickBot="1" x14ac:dyDescent="0.3">
      <c r="B229" s="2">
        <v>230</v>
      </c>
      <c r="C229" s="2" t="s">
        <v>315</v>
      </c>
      <c r="D229" s="86" t="s">
        <v>1048</v>
      </c>
      <c r="E229" s="50">
        <v>27</v>
      </c>
      <c r="F229" s="50">
        <v>83</v>
      </c>
      <c r="G229" s="50">
        <v>7</v>
      </c>
      <c r="H229" s="50" t="s">
        <v>27</v>
      </c>
      <c r="I229" s="2">
        <v>1</v>
      </c>
      <c r="J229" s="50"/>
      <c r="P229" s="41">
        <v>1</v>
      </c>
      <c r="Q229" s="50" t="s">
        <v>72</v>
      </c>
    </row>
    <row r="230" spans="2:17" thickBot="1" x14ac:dyDescent="0.3">
      <c r="B230" s="2">
        <v>231</v>
      </c>
      <c r="C230" s="2" t="s">
        <v>315</v>
      </c>
      <c r="D230" s="50" t="s">
        <v>2299</v>
      </c>
      <c r="E230" s="50">
        <v>27</v>
      </c>
      <c r="F230" s="50">
        <v>30</v>
      </c>
      <c r="G230" s="50">
        <v>16</v>
      </c>
      <c r="H230" s="50" t="s">
        <v>27</v>
      </c>
      <c r="I230" s="2">
        <v>1</v>
      </c>
      <c r="J230" s="50"/>
      <c r="P230" s="41">
        <v>1</v>
      </c>
      <c r="Q230" s="50" t="s">
        <v>72</v>
      </c>
    </row>
    <row r="231" spans="2:17" thickBot="1" x14ac:dyDescent="0.3">
      <c r="B231" s="2">
        <v>232</v>
      </c>
      <c r="C231" s="2" t="s">
        <v>315</v>
      </c>
      <c r="D231" s="50" t="s">
        <v>1047</v>
      </c>
      <c r="E231" s="50">
        <v>27</v>
      </c>
      <c r="F231" s="50">
        <v>111</v>
      </c>
      <c r="G231" s="50">
        <v>1</v>
      </c>
      <c r="H231" s="50" t="s">
        <v>27</v>
      </c>
      <c r="I231" s="2">
        <v>1</v>
      </c>
      <c r="J231" s="50"/>
      <c r="P231" s="41">
        <v>1</v>
      </c>
      <c r="Q231" s="50" t="s">
        <v>72</v>
      </c>
    </row>
    <row r="232" spans="2:17" thickBot="1" x14ac:dyDescent="0.3">
      <c r="B232" s="2">
        <v>233</v>
      </c>
      <c r="C232" s="2" t="s">
        <v>315</v>
      </c>
      <c r="D232" s="50" t="s">
        <v>1046</v>
      </c>
      <c r="E232" s="50">
        <v>27</v>
      </c>
      <c r="F232" s="50">
        <v>11</v>
      </c>
      <c r="G232" s="50">
        <v>1</v>
      </c>
      <c r="H232" s="50" t="s">
        <v>27</v>
      </c>
      <c r="I232" s="2">
        <v>1</v>
      </c>
      <c r="J232" s="50"/>
      <c r="P232" s="41">
        <v>1</v>
      </c>
      <c r="Q232" s="50" t="s">
        <v>72</v>
      </c>
    </row>
    <row r="233" spans="2:17" thickBot="1" x14ac:dyDescent="0.3">
      <c r="B233" s="2">
        <v>234</v>
      </c>
      <c r="C233" s="2" t="s">
        <v>132</v>
      </c>
      <c r="D233" s="50" t="s">
        <v>295</v>
      </c>
      <c r="E233" s="50">
        <v>27</v>
      </c>
      <c r="F233" s="50">
        <v>54</v>
      </c>
      <c r="G233" s="50" t="s">
        <v>71</v>
      </c>
      <c r="H233" s="50" t="s">
        <v>27</v>
      </c>
      <c r="I233" s="2">
        <v>1</v>
      </c>
      <c r="J233" s="50"/>
      <c r="P233" s="41">
        <v>1</v>
      </c>
      <c r="Q233" s="50" t="s">
        <v>72</v>
      </c>
    </row>
    <row r="234" spans="2:17" thickBot="1" x14ac:dyDescent="0.3">
      <c r="B234" s="2">
        <v>235</v>
      </c>
      <c r="C234" s="2" t="s">
        <v>132</v>
      </c>
      <c r="D234" s="50" t="s">
        <v>2343</v>
      </c>
      <c r="E234" s="50">
        <v>27</v>
      </c>
      <c r="F234" s="50">
        <v>54</v>
      </c>
      <c r="G234" s="50">
        <v>6</v>
      </c>
      <c r="H234" s="50" t="s">
        <v>27</v>
      </c>
      <c r="I234" s="2">
        <v>1</v>
      </c>
      <c r="J234" s="50"/>
      <c r="P234" s="41">
        <v>1</v>
      </c>
      <c r="Q234" s="50" t="s">
        <v>72</v>
      </c>
    </row>
    <row r="235" spans="2:17" thickBot="1" x14ac:dyDescent="0.3">
      <c r="B235" s="2">
        <v>236</v>
      </c>
      <c r="C235" s="2" t="s">
        <v>2327</v>
      </c>
      <c r="D235" s="50" t="s">
        <v>1045</v>
      </c>
      <c r="E235" s="50">
        <v>27</v>
      </c>
      <c r="F235" s="50">
        <v>56</v>
      </c>
      <c r="G235" s="50">
        <v>10</v>
      </c>
      <c r="H235" s="50" t="s">
        <v>27</v>
      </c>
      <c r="I235" s="2">
        <v>1</v>
      </c>
      <c r="J235" s="50"/>
      <c r="P235" s="41">
        <v>1</v>
      </c>
      <c r="Q235" s="50" t="s">
        <v>72</v>
      </c>
    </row>
    <row r="236" spans="2:17" thickBot="1" x14ac:dyDescent="0.3">
      <c r="B236" s="2">
        <v>237</v>
      </c>
      <c r="C236" s="2" t="s">
        <v>1044</v>
      </c>
      <c r="D236" s="50" t="s">
        <v>910</v>
      </c>
      <c r="E236" s="50">
        <v>27</v>
      </c>
      <c r="F236" s="50">
        <v>4</v>
      </c>
      <c r="G236" s="50">
        <v>12</v>
      </c>
      <c r="H236" s="50" t="s">
        <v>27</v>
      </c>
      <c r="I236" s="2">
        <v>1</v>
      </c>
      <c r="J236" s="50"/>
      <c r="P236" s="41">
        <v>1</v>
      </c>
      <c r="Q236" s="50" t="s">
        <v>72</v>
      </c>
    </row>
    <row r="237" spans="2:17" thickBot="1" x14ac:dyDescent="0.3">
      <c r="B237" s="2">
        <v>238</v>
      </c>
      <c r="C237" s="2" t="s">
        <v>306</v>
      </c>
      <c r="D237" s="50" t="s">
        <v>1043</v>
      </c>
      <c r="E237" s="50">
        <v>27</v>
      </c>
      <c r="F237" s="50">
        <v>20</v>
      </c>
      <c r="G237" s="50">
        <v>9</v>
      </c>
      <c r="H237" s="50" t="s">
        <v>27</v>
      </c>
      <c r="I237" s="2">
        <v>1</v>
      </c>
      <c r="J237" s="50"/>
      <c r="P237" s="41">
        <v>1</v>
      </c>
      <c r="Q237" s="50" t="s">
        <v>72</v>
      </c>
    </row>
    <row r="238" spans="2:17" thickBot="1" x14ac:dyDescent="0.3">
      <c r="B238" s="2">
        <v>239</v>
      </c>
      <c r="C238" s="2" t="s">
        <v>1042</v>
      </c>
      <c r="D238" s="50" t="s">
        <v>1041</v>
      </c>
      <c r="E238" s="50">
        <v>27</v>
      </c>
      <c r="F238" s="50">
        <v>38</v>
      </c>
      <c r="G238" s="50">
        <v>1</v>
      </c>
      <c r="H238" s="50" t="s">
        <v>27</v>
      </c>
      <c r="I238" s="2">
        <v>1</v>
      </c>
      <c r="J238" s="50"/>
      <c r="P238" s="41">
        <v>1</v>
      </c>
      <c r="Q238" s="50" t="s">
        <v>72</v>
      </c>
    </row>
    <row r="239" spans="2:17" thickBot="1" x14ac:dyDescent="0.3">
      <c r="B239" s="2">
        <v>240</v>
      </c>
      <c r="C239" s="2" t="s">
        <v>1040</v>
      </c>
      <c r="D239" s="50" t="s">
        <v>1031</v>
      </c>
      <c r="E239" s="50">
        <v>27</v>
      </c>
      <c r="F239" s="50">
        <v>124</v>
      </c>
      <c r="G239" s="50">
        <v>12</v>
      </c>
      <c r="H239" s="50" t="s">
        <v>27</v>
      </c>
      <c r="I239" s="2">
        <v>1</v>
      </c>
      <c r="J239" s="50"/>
      <c r="P239" s="41">
        <v>1</v>
      </c>
      <c r="Q239" s="50" t="s">
        <v>74</v>
      </c>
    </row>
    <row r="240" spans="2:17" thickBot="1" x14ac:dyDescent="0.3">
      <c r="B240" s="2">
        <v>241</v>
      </c>
      <c r="C240" s="2" t="s">
        <v>2344</v>
      </c>
      <c r="D240" s="50" t="s">
        <v>2345</v>
      </c>
      <c r="E240" s="50">
        <v>27</v>
      </c>
      <c r="F240" s="50">
        <v>59</v>
      </c>
      <c r="G240" s="50">
        <v>6</v>
      </c>
      <c r="H240" s="50" t="s">
        <v>27</v>
      </c>
      <c r="I240" s="2">
        <v>1</v>
      </c>
      <c r="J240" s="50"/>
      <c r="P240" s="41">
        <v>1</v>
      </c>
      <c r="Q240" s="50" t="s">
        <v>75</v>
      </c>
    </row>
    <row r="241" spans="2:17" thickBot="1" x14ac:dyDescent="0.3">
      <c r="B241" s="2">
        <v>242</v>
      </c>
      <c r="C241" s="2" t="s">
        <v>1037</v>
      </c>
      <c r="D241" s="50" t="s">
        <v>1036</v>
      </c>
      <c r="E241" s="50">
        <v>27</v>
      </c>
      <c r="F241" s="50">
        <v>93</v>
      </c>
      <c r="G241" s="50">
        <v>14</v>
      </c>
      <c r="H241" s="50" t="s">
        <v>27</v>
      </c>
      <c r="I241" s="2">
        <v>1</v>
      </c>
      <c r="J241" s="50"/>
      <c r="P241" s="41">
        <v>1</v>
      </c>
      <c r="Q241" s="50" t="s">
        <v>75</v>
      </c>
    </row>
    <row r="242" spans="2:17" thickBot="1" x14ac:dyDescent="0.3">
      <c r="B242" s="2">
        <v>243</v>
      </c>
      <c r="C242" s="2" t="s">
        <v>1035</v>
      </c>
      <c r="D242" s="50" t="s">
        <v>1034</v>
      </c>
      <c r="E242" s="50">
        <v>27</v>
      </c>
      <c r="F242" s="50">
        <v>60</v>
      </c>
      <c r="G242" s="50" t="s">
        <v>17</v>
      </c>
      <c r="H242" s="50" t="s">
        <v>27</v>
      </c>
      <c r="I242" s="2">
        <v>1</v>
      </c>
      <c r="J242" s="50"/>
      <c r="P242" s="41">
        <v>1</v>
      </c>
      <c r="Q242" s="50" t="s">
        <v>75</v>
      </c>
    </row>
    <row r="243" spans="2:17" thickBot="1" x14ac:dyDescent="0.3">
      <c r="B243" s="2">
        <v>244</v>
      </c>
      <c r="C243" s="2" t="s">
        <v>296</v>
      </c>
      <c r="D243" s="50" t="s">
        <v>1033</v>
      </c>
      <c r="E243" s="50">
        <v>27</v>
      </c>
      <c r="F243" s="50">
        <v>5</v>
      </c>
      <c r="G243" s="50">
        <v>508</v>
      </c>
      <c r="H243" s="50" t="s">
        <v>27</v>
      </c>
      <c r="I243" s="2">
        <v>1</v>
      </c>
      <c r="J243" s="50"/>
      <c r="P243" s="41">
        <v>1</v>
      </c>
      <c r="Q243" s="50" t="s">
        <v>75</v>
      </c>
    </row>
    <row r="244" spans="2:17" thickBot="1" x14ac:dyDescent="0.3">
      <c r="B244" s="2">
        <v>245</v>
      </c>
      <c r="C244" s="2" t="s">
        <v>1032</v>
      </c>
      <c r="D244" s="50" t="s">
        <v>1031</v>
      </c>
      <c r="E244" s="50">
        <v>27</v>
      </c>
      <c r="F244" s="50">
        <v>121</v>
      </c>
      <c r="G244" s="50">
        <v>12</v>
      </c>
      <c r="H244" s="50" t="s">
        <v>27</v>
      </c>
      <c r="I244" s="2">
        <v>1</v>
      </c>
      <c r="J244" s="50"/>
      <c r="P244" s="41">
        <v>1</v>
      </c>
      <c r="Q244" s="50" t="s">
        <v>75</v>
      </c>
    </row>
    <row r="245" spans="2:17" thickBot="1" x14ac:dyDescent="0.3">
      <c r="B245" s="2">
        <v>246</v>
      </c>
      <c r="C245" s="2" t="s">
        <v>712</v>
      </c>
      <c r="D245" s="50" t="s">
        <v>1030</v>
      </c>
      <c r="E245" s="50">
        <v>27</v>
      </c>
      <c r="F245" s="50">
        <v>58</v>
      </c>
      <c r="G245" s="50">
        <v>3</v>
      </c>
      <c r="H245" s="50" t="s">
        <v>27</v>
      </c>
      <c r="I245" s="2">
        <v>1</v>
      </c>
      <c r="J245" s="50"/>
      <c r="P245" s="41">
        <v>1</v>
      </c>
      <c r="Q245" s="50" t="s">
        <v>75</v>
      </c>
    </row>
    <row r="246" spans="2:17" thickBot="1" x14ac:dyDescent="0.3">
      <c r="B246" s="2">
        <v>247</v>
      </c>
      <c r="C246" s="2" t="s">
        <v>712</v>
      </c>
      <c r="D246" s="50" t="s">
        <v>1029</v>
      </c>
      <c r="E246" s="50">
        <v>27</v>
      </c>
      <c r="F246" s="50">
        <v>69</v>
      </c>
      <c r="G246" s="50">
        <v>9</v>
      </c>
      <c r="H246" s="50" t="s">
        <v>27</v>
      </c>
      <c r="I246" s="2">
        <v>1</v>
      </c>
      <c r="J246" s="50"/>
      <c r="P246" s="41">
        <v>1</v>
      </c>
      <c r="Q246" s="50" t="s">
        <v>75</v>
      </c>
    </row>
    <row r="247" spans="2:17" thickBot="1" x14ac:dyDescent="0.3">
      <c r="B247" s="2">
        <v>248</v>
      </c>
      <c r="C247" s="2" t="s">
        <v>712</v>
      </c>
      <c r="D247" s="50" t="s">
        <v>1028</v>
      </c>
      <c r="E247" s="50">
        <v>27</v>
      </c>
      <c r="F247" s="50">
        <v>46</v>
      </c>
      <c r="G247" s="50">
        <v>6</v>
      </c>
      <c r="H247" s="50" t="s">
        <v>27</v>
      </c>
      <c r="I247" s="2">
        <v>1</v>
      </c>
      <c r="J247" s="50"/>
      <c r="P247" s="41">
        <v>1</v>
      </c>
      <c r="Q247" s="50" t="s">
        <v>75</v>
      </c>
    </row>
    <row r="248" spans="2:17" thickBot="1" x14ac:dyDescent="0.3">
      <c r="B248" s="2">
        <v>249</v>
      </c>
      <c r="C248" s="2" t="s">
        <v>1027</v>
      </c>
      <c r="D248" s="50" t="s">
        <v>2351</v>
      </c>
      <c r="E248" s="50">
        <v>27</v>
      </c>
      <c r="F248" s="50">
        <v>20</v>
      </c>
      <c r="G248" s="50">
        <v>4</v>
      </c>
      <c r="H248" s="50" t="s">
        <v>27</v>
      </c>
      <c r="I248" s="2">
        <v>1</v>
      </c>
      <c r="J248" s="50"/>
      <c r="P248" s="41">
        <v>1</v>
      </c>
      <c r="Q248" s="50" t="s">
        <v>75</v>
      </c>
    </row>
    <row r="249" spans="2:17" thickBot="1" x14ac:dyDescent="0.3">
      <c r="B249" s="2">
        <v>250</v>
      </c>
      <c r="C249" s="2" t="s">
        <v>886</v>
      </c>
      <c r="D249" s="50" t="s">
        <v>961</v>
      </c>
      <c r="E249" s="50">
        <v>27</v>
      </c>
      <c r="F249" s="50">
        <v>31</v>
      </c>
      <c r="G249" s="50" t="s">
        <v>2362</v>
      </c>
      <c r="H249" s="50" t="s">
        <v>27</v>
      </c>
      <c r="I249" s="2">
        <v>1</v>
      </c>
      <c r="J249" s="50"/>
      <c r="P249" s="41">
        <v>1</v>
      </c>
      <c r="Q249" s="50" t="s">
        <v>75</v>
      </c>
    </row>
    <row r="250" spans="2:17" thickBot="1" x14ac:dyDescent="0.3">
      <c r="B250" s="2">
        <v>251</v>
      </c>
      <c r="C250" s="2" t="s">
        <v>1025</v>
      </c>
      <c r="D250" s="50" t="s">
        <v>1024</v>
      </c>
      <c r="E250" s="50">
        <v>27</v>
      </c>
      <c r="F250" s="50">
        <v>62</v>
      </c>
      <c r="G250" s="50">
        <v>4</v>
      </c>
      <c r="H250" s="50" t="s">
        <v>27</v>
      </c>
      <c r="I250" s="2">
        <v>1</v>
      </c>
      <c r="J250" s="50"/>
      <c r="P250" s="41">
        <v>1</v>
      </c>
      <c r="Q250" s="50" t="s">
        <v>75</v>
      </c>
    </row>
    <row r="251" spans="2:17" thickBot="1" x14ac:dyDescent="0.3">
      <c r="B251" s="2">
        <v>252</v>
      </c>
      <c r="C251" s="2" t="s">
        <v>1238</v>
      </c>
      <c r="D251" s="50" t="s">
        <v>1023</v>
      </c>
      <c r="E251" s="50">
        <v>27</v>
      </c>
      <c r="F251" s="50">
        <v>65</v>
      </c>
      <c r="G251" s="50">
        <v>9</v>
      </c>
      <c r="H251" s="50" t="s">
        <v>27</v>
      </c>
      <c r="I251" s="2">
        <v>1</v>
      </c>
      <c r="J251" s="50"/>
      <c r="P251" s="41">
        <v>1</v>
      </c>
      <c r="Q251" s="50" t="s">
        <v>75</v>
      </c>
    </row>
    <row r="252" spans="2:17" thickBot="1" x14ac:dyDescent="0.3">
      <c r="B252" s="2">
        <v>253</v>
      </c>
      <c r="C252" s="2" t="s">
        <v>138</v>
      </c>
      <c r="D252" s="50" t="s">
        <v>2307</v>
      </c>
      <c r="E252" s="50">
        <v>27</v>
      </c>
      <c r="F252" s="50">
        <v>133</v>
      </c>
      <c r="G252" s="50">
        <v>7</v>
      </c>
      <c r="H252" s="50" t="s">
        <v>27</v>
      </c>
      <c r="I252" s="2">
        <v>1</v>
      </c>
      <c r="J252" s="50"/>
      <c r="P252" s="41">
        <v>1</v>
      </c>
      <c r="Q252" s="50" t="s">
        <v>75</v>
      </c>
    </row>
    <row r="253" spans="2:17" thickBot="1" x14ac:dyDescent="0.3">
      <c r="B253" s="2">
        <v>254</v>
      </c>
      <c r="C253" s="2" t="s">
        <v>258</v>
      </c>
      <c r="D253" s="50" t="s">
        <v>1022</v>
      </c>
      <c r="E253" s="50">
        <v>27</v>
      </c>
      <c r="F253" s="50">
        <v>62</v>
      </c>
      <c r="G253" s="50">
        <v>8</v>
      </c>
      <c r="H253" s="50" t="s">
        <v>27</v>
      </c>
      <c r="I253" s="2">
        <v>1</v>
      </c>
      <c r="J253" s="50"/>
      <c r="P253" s="41">
        <v>1</v>
      </c>
      <c r="Q253" s="50" t="s">
        <v>75</v>
      </c>
    </row>
    <row r="254" spans="2:17" thickBot="1" x14ac:dyDescent="0.3">
      <c r="B254" s="2">
        <v>255</v>
      </c>
      <c r="C254" s="2" t="s">
        <v>258</v>
      </c>
      <c r="D254" s="50" t="s">
        <v>7</v>
      </c>
      <c r="E254" s="50">
        <v>27</v>
      </c>
      <c r="F254" s="50">
        <v>41</v>
      </c>
      <c r="G254" s="50" t="s">
        <v>17</v>
      </c>
      <c r="H254" s="50" t="s">
        <v>27</v>
      </c>
      <c r="I254" s="2">
        <v>1</v>
      </c>
      <c r="J254" s="50"/>
      <c r="P254" s="41">
        <v>1</v>
      </c>
      <c r="Q254" s="50" t="s">
        <v>75</v>
      </c>
    </row>
    <row r="255" spans="2:17" thickBot="1" x14ac:dyDescent="0.3">
      <c r="B255" s="2">
        <v>256</v>
      </c>
      <c r="C255" s="2" t="s">
        <v>781</v>
      </c>
      <c r="D255" s="50" t="s">
        <v>2325</v>
      </c>
      <c r="E255" s="50">
        <v>27</v>
      </c>
      <c r="F255" s="50">
        <v>44</v>
      </c>
      <c r="G255" s="50">
        <v>11</v>
      </c>
      <c r="H255" s="50" t="s">
        <v>27</v>
      </c>
      <c r="I255" s="2">
        <v>1</v>
      </c>
      <c r="J255" s="50"/>
      <c r="P255" s="41">
        <v>1</v>
      </c>
      <c r="Q255" s="50" t="s">
        <v>76</v>
      </c>
    </row>
    <row r="256" spans="2:17" thickBot="1" x14ac:dyDescent="0.3">
      <c r="B256" s="2">
        <v>257</v>
      </c>
      <c r="C256" s="2" t="s">
        <v>138</v>
      </c>
      <c r="D256" s="50" t="s">
        <v>2360</v>
      </c>
      <c r="E256" s="50">
        <v>27</v>
      </c>
      <c r="F256" s="50">
        <v>7</v>
      </c>
      <c r="G256" s="50" t="s">
        <v>19</v>
      </c>
      <c r="H256" s="50" t="s">
        <v>27</v>
      </c>
      <c r="I256" s="2">
        <v>1</v>
      </c>
      <c r="J256" s="50"/>
      <c r="P256" s="41">
        <v>1</v>
      </c>
      <c r="Q256" s="50" t="s">
        <v>76</v>
      </c>
    </row>
    <row r="257" spans="2:17" thickBot="1" x14ac:dyDescent="0.3">
      <c r="B257" s="2">
        <v>258</v>
      </c>
      <c r="C257" s="2" t="s">
        <v>662</v>
      </c>
      <c r="D257" s="50" t="s">
        <v>2355</v>
      </c>
      <c r="E257" s="50">
        <v>27</v>
      </c>
      <c r="F257" s="50">
        <v>30</v>
      </c>
      <c r="G257" s="50">
        <v>1</v>
      </c>
      <c r="H257" s="50" t="s">
        <v>27</v>
      </c>
      <c r="I257" s="2">
        <v>1</v>
      </c>
      <c r="J257" s="50"/>
      <c r="P257" s="41">
        <v>1</v>
      </c>
      <c r="Q257" s="50" t="s">
        <v>76</v>
      </c>
    </row>
    <row r="258" spans="2:17" thickBot="1" x14ac:dyDescent="0.3">
      <c r="B258" s="2">
        <v>259</v>
      </c>
      <c r="C258" s="2" t="s">
        <v>138</v>
      </c>
      <c r="D258" s="50" t="s">
        <v>1019</v>
      </c>
      <c r="E258" s="50">
        <v>27</v>
      </c>
      <c r="F258" s="50">
        <v>54</v>
      </c>
      <c r="G258" s="50">
        <v>12</v>
      </c>
      <c r="H258" s="50" t="s">
        <v>27</v>
      </c>
      <c r="I258" s="2">
        <v>1</v>
      </c>
      <c r="J258" s="50"/>
      <c r="P258" s="41">
        <v>1</v>
      </c>
      <c r="Q258" s="50" t="s">
        <v>76</v>
      </c>
    </row>
    <row r="259" spans="2:17" thickBot="1" x14ac:dyDescent="0.3">
      <c r="B259" s="2">
        <v>260</v>
      </c>
      <c r="C259" s="2" t="s">
        <v>138</v>
      </c>
      <c r="D259" s="50" t="s">
        <v>775</v>
      </c>
      <c r="E259" s="50">
        <v>27</v>
      </c>
      <c r="F259" s="50">
        <v>31</v>
      </c>
      <c r="G259" s="50" t="s">
        <v>18</v>
      </c>
      <c r="H259" s="50" t="s">
        <v>27</v>
      </c>
      <c r="I259" s="2">
        <v>1</v>
      </c>
      <c r="J259" s="50"/>
      <c r="P259" s="41">
        <v>1</v>
      </c>
      <c r="Q259" s="50" t="s">
        <v>76</v>
      </c>
    </row>
    <row r="260" spans="2:17" thickBot="1" x14ac:dyDescent="0.3">
      <c r="B260" s="2">
        <v>261</v>
      </c>
      <c r="C260" s="2" t="s">
        <v>138</v>
      </c>
      <c r="D260" s="50" t="s">
        <v>1018</v>
      </c>
      <c r="E260" s="50">
        <v>27</v>
      </c>
      <c r="F260" s="50">
        <v>100</v>
      </c>
      <c r="G260" s="50">
        <v>2</v>
      </c>
      <c r="H260" s="50" t="s">
        <v>27</v>
      </c>
      <c r="I260" s="2">
        <v>1</v>
      </c>
      <c r="J260" s="50"/>
      <c r="P260" s="41">
        <v>1</v>
      </c>
      <c r="Q260" s="50" t="s">
        <v>76</v>
      </c>
    </row>
    <row r="261" spans="2:17" thickBot="1" x14ac:dyDescent="0.3">
      <c r="B261" s="2">
        <v>262</v>
      </c>
      <c r="C261" s="2" t="s">
        <v>166</v>
      </c>
      <c r="D261" s="50" t="s">
        <v>1017</v>
      </c>
      <c r="E261" s="50">
        <v>27</v>
      </c>
      <c r="F261" s="50">
        <v>31</v>
      </c>
      <c r="G261" s="50">
        <v>11</v>
      </c>
      <c r="H261" s="50" t="s">
        <v>27</v>
      </c>
      <c r="I261" s="2">
        <v>1</v>
      </c>
      <c r="J261" s="50"/>
      <c r="P261" s="41">
        <v>1</v>
      </c>
      <c r="Q261" s="50" t="s">
        <v>76</v>
      </c>
    </row>
    <row r="262" spans="2:17" thickBot="1" x14ac:dyDescent="0.3">
      <c r="B262" s="2">
        <v>263</v>
      </c>
      <c r="C262" s="2" t="s">
        <v>166</v>
      </c>
      <c r="D262" s="50" t="s">
        <v>1016</v>
      </c>
      <c r="E262" s="50">
        <v>27</v>
      </c>
      <c r="F262" s="50">
        <v>48</v>
      </c>
      <c r="G262" s="50">
        <v>15</v>
      </c>
      <c r="H262" s="50" t="s">
        <v>27</v>
      </c>
      <c r="I262" s="2">
        <v>1</v>
      </c>
      <c r="J262" s="50"/>
      <c r="P262" s="41">
        <v>1</v>
      </c>
      <c r="Q262" s="50" t="s">
        <v>76</v>
      </c>
    </row>
    <row r="263" spans="2:17" thickBot="1" x14ac:dyDescent="0.3">
      <c r="B263" s="2">
        <v>264</v>
      </c>
      <c r="C263" s="2" t="s">
        <v>166</v>
      </c>
      <c r="D263" s="50" t="s">
        <v>2326</v>
      </c>
      <c r="E263" s="50">
        <v>27</v>
      </c>
      <c r="F263" s="50">
        <v>49</v>
      </c>
      <c r="G263" s="50">
        <v>11</v>
      </c>
      <c r="H263" s="50" t="s">
        <v>27</v>
      </c>
      <c r="I263" s="2">
        <v>1</v>
      </c>
      <c r="J263" s="50"/>
      <c r="P263" s="41">
        <v>1</v>
      </c>
      <c r="Q263" s="50" t="s">
        <v>76</v>
      </c>
    </row>
    <row r="264" spans="2:17" thickBot="1" x14ac:dyDescent="0.3">
      <c r="B264" s="2">
        <v>265</v>
      </c>
      <c r="C264" s="2" t="s">
        <v>677</v>
      </c>
      <c r="D264" s="50" t="s">
        <v>1015</v>
      </c>
      <c r="E264" s="50">
        <v>27</v>
      </c>
      <c r="F264" s="50">
        <v>99</v>
      </c>
      <c r="G264" s="50">
        <v>16</v>
      </c>
      <c r="H264" s="50" t="s">
        <v>27</v>
      </c>
      <c r="I264" s="2">
        <v>1</v>
      </c>
      <c r="J264" s="50"/>
      <c r="P264" s="41">
        <v>1</v>
      </c>
      <c r="Q264" s="50" t="s">
        <v>76</v>
      </c>
    </row>
    <row r="265" spans="2:17" thickBot="1" x14ac:dyDescent="0.3">
      <c r="B265" s="2">
        <v>266</v>
      </c>
      <c r="C265" s="2" t="s">
        <v>677</v>
      </c>
      <c r="D265" s="50" t="s">
        <v>1014</v>
      </c>
      <c r="E265" s="50">
        <v>27</v>
      </c>
      <c r="F265" s="50">
        <v>24</v>
      </c>
      <c r="G265" s="50">
        <v>2</v>
      </c>
      <c r="H265" s="50" t="s">
        <v>27</v>
      </c>
      <c r="I265" s="2">
        <v>1</v>
      </c>
      <c r="J265" s="50"/>
      <c r="P265" s="41">
        <v>1</v>
      </c>
      <c r="Q265" s="50" t="s">
        <v>76</v>
      </c>
    </row>
    <row r="266" spans="2:17" thickBot="1" x14ac:dyDescent="0.3">
      <c r="B266" s="2">
        <v>267</v>
      </c>
      <c r="C266" s="2" t="s">
        <v>677</v>
      </c>
      <c r="D266" s="50" t="s">
        <v>1013</v>
      </c>
      <c r="E266" s="50">
        <v>27</v>
      </c>
      <c r="F266" s="50">
        <v>104</v>
      </c>
      <c r="G266" s="50">
        <v>16</v>
      </c>
      <c r="H266" s="50" t="s">
        <v>27</v>
      </c>
      <c r="I266" s="2">
        <v>1</v>
      </c>
      <c r="J266" s="50"/>
      <c r="P266" s="41">
        <v>1</v>
      </c>
      <c r="Q266" s="50" t="s">
        <v>76</v>
      </c>
    </row>
    <row r="267" spans="2:17" thickBot="1" x14ac:dyDescent="0.3">
      <c r="B267" s="2">
        <v>268</v>
      </c>
      <c r="C267" s="2" t="s">
        <v>677</v>
      </c>
      <c r="D267" s="50" t="s">
        <v>1012</v>
      </c>
      <c r="E267" s="50">
        <v>27</v>
      </c>
      <c r="F267" s="50">
        <v>114</v>
      </c>
      <c r="G267" s="50" t="s">
        <v>2375</v>
      </c>
      <c r="H267" s="50" t="s">
        <v>27</v>
      </c>
      <c r="I267" s="2">
        <v>1</v>
      </c>
      <c r="J267" s="50"/>
      <c r="P267" s="41">
        <v>1</v>
      </c>
      <c r="Q267" s="50" t="s">
        <v>76</v>
      </c>
    </row>
    <row r="268" spans="2:17" thickBot="1" x14ac:dyDescent="0.3">
      <c r="B268" s="2">
        <v>269</v>
      </c>
      <c r="C268" s="2" t="s">
        <v>677</v>
      </c>
      <c r="D268" s="50" t="s">
        <v>2373</v>
      </c>
      <c r="E268" s="50">
        <v>27</v>
      </c>
      <c r="F268" s="50">
        <v>117</v>
      </c>
      <c r="G268" s="50">
        <v>16</v>
      </c>
      <c r="H268" s="50" t="s">
        <v>27</v>
      </c>
      <c r="I268" s="2">
        <v>1</v>
      </c>
      <c r="J268" s="50"/>
      <c r="P268" s="41">
        <v>1</v>
      </c>
      <c r="Q268" s="50" t="s">
        <v>57</v>
      </c>
    </row>
    <row r="269" spans="2:17" thickBot="1" x14ac:dyDescent="0.3">
      <c r="B269" s="2">
        <v>270</v>
      </c>
      <c r="C269" s="2" t="s">
        <v>677</v>
      </c>
      <c r="D269" s="50" t="s">
        <v>1011</v>
      </c>
      <c r="E269" s="50">
        <v>27</v>
      </c>
      <c r="F269" s="50">
        <v>40</v>
      </c>
      <c r="G269" s="50" t="s">
        <v>18</v>
      </c>
      <c r="H269" s="50" t="s">
        <v>27</v>
      </c>
      <c r="I269" s="2">
        <v>1</v>
      </c>
      <c r="J269" s="50"/>
      <c r="P269" s="41">
        <v>1</v>
      </c>
      <c r="Q269" s="50" t="s">
        <v>57</v>
      </c>
    </row>
    <row r="270" spans="2:17" thickBot="1" x14ac:dyDescent="0.3">
      <c r="B270" s="2">
        <v>271</v>
      </c>
      <c r="C270" s="2" t="s">
        <v>402</v>
      </c>
      <c r="D270" s="50" t="s">
        <v>2378</v>
      </c>
      <c r="E270" s="50">
        <v>27</v>
      </c>
      <c r="F270" s="50">
        <v>76</v>
      </c>
      <c r="G270" s="50">
        <v>11</v>
      </c>
      <c r="H270" s="50" t="s">
        <v>27</v>
      </c>
      <c r="I270" s="2">
        <v>1</v>
      </c>
      <c r="J270" s="50"/>
      <c r="P270" s="41">
        <v>1</v>
      </c>
      <c r="Q270" s="50" t="s">
        <v>57</v>
      </c>
    </row>
    <row r="271" spans="2:17" thickBot="1" x14ac:dyDescent="0.3">
      <c r="B271" s="2">
        <v>272</v>
      </c>
      <c r="C271" s="2" t="s">
        <v>682</v>
      </c>
      <c r="D271" s="50" t="s">
        <v>1010</v>
      </c>
      <c r="E271" s="50">
        <v>27</v>
      </c>
      <c r="F271" s="50">
        <v>32</v>
      </c>
      <c r="G271" s="50">
        <v>1</v>
      </c>
      <c r="H271" s="50" t="s">
        <v>27</v>
      </c>
      <c r="I271" s="2">
        <v>1</v>
      </c>
      <c r="J271" s="50"/>
      <c r="P271" s="41">
        <v>1</v>
      </c>
      <c r="Q271" s="50" t="s">
        <v>57</v>
      </c>
    </row>
    <row r="272" spans="2:17" thickBot="1" x14ac:dyDescent="0.3">
      <c r="B272" s="2">
        <v>273</v>
      </c>
      <c r="C272" s="2" t="s">
        <v>682</v>
      </c>
      <c r="D272" s="50" t="s">
        <v>1009</v>
      </c>
      <c r="E272" s="50">
        <v>27</v>
      </c>
      <c r="F272" s="50">
        <v>1</v>
      </c>
      <c r="G272" s="50">
        <v>9</v>
      </c>
      <c r="H272" s="50" t="s">
        <v>27</v>
      </c>
      <c r="I272" s="2">
        <v>1</v>
      </c>
      <c r="J272" s="50"/>
      <c r="P272" s="41">
        <v>1</v>
      </c>
      <c r="Q272" s="50" t="s">
        <v>57</v>
      </c>
    </row>
    <row r="273" spans="2:17" thickBot="1" x14ac:dyDescent="0.3">
      <c r="B273" s="2">
        <v>274</v>
      </c>
      <c r="C273" s="2" t="s">
        <v>1008</v>
      </c>
      <c r="D273" s="50" t="s">
        <v>1007</v>
      </c>
      <c r="E273" s="50">
        <v>27</v>
      </c>
      <c r="F273" s="50">
        <v>68</v>
      </c>
      <c r="G273" s="50">
        <v>11</v>
      </c>
      <c r="H273" s="50" t="s">
        <v>27</v>
      </c>
      <c r="I273" s="2">
        <v>1</v>
      </c>
      <c r="J273" s="50"/>
      <c r="P273" s="41">
        <v>1</v>
      </c>
      <c r="Q273" s="50" t="s">
        <v>57</v>
      </c>
    </row>
    <row r="274" spans="2:17" thickBot="1" x14ac:dyDescent="0.3">
      <c r="B274" s="2">
        <v>275</v>
      </c>
      <c r="C274" s="2" t="s">
        <v>170</v>
      </c>
      <c r="D274" s="50" t="s">
        <v>1006</v>
      </c>
      <c r="E274" s="50">
        <v>27</v>
      </c>
      <c r="F274" s="50">
        <v>7</v>
      </c>
      <c r="G274" s="50">
        <v>2</v>
      </c>
      <c r="H274" s="50" t="s">
        <v>27</v>
      </c>
      <c r="I274" s="2">
        <v>1</v>
      </c>
      <c r="J274" s="50"/>
      <c r="P274" s="41">
        <v>1</v>
      </c>
      <c r="Q274" s="50" t="s">
        <v>57</v>
      </c>
    </row>
    <row r="275" spans="2:17" thickBot="1" x14ac:dyDescent="0.3">
      <c r="B275" s="2">
        <v>276</v>
      </c>
      <c r="C275" s="2" t="s">
        <v>154</v>
      </c>
      <c r="D275" s="50" t="s">
        <v>497</v>
      </c>
      <c r="E275" s="50">
        <v>27</v>
      </c>
      <c r="F275" s="50">
        <v>94</v>
      </c>
      <c r="G275" s="50">
        <v>17</v>
      </c>
      <c r="H275" s="50" t="s">
        <v>27</v>
      </c>
      <c r="I275" s="2">
        <v>1</v>
      </c>
      <c r="J275" s="50"/>
      <c r="P275" s="41">
        <v>1</v>
      </c>
      <c r="Q275" s="50" t="s">
        <v>57</v>
      </c>
    </row>
    <row r="276" spans="2:17" thickBot="1" x14ac:dyDescent="0.3">
      <c r="B276" s="2">
        <v>277</v>
      </c>
      <c r="C276" s="2" t="s">
        <v>280</v>
      </c>
      <c r="D276" s="50" t="s">
        <v>1005</v>
      </c>
      <c r="E276" s="50">
        <v>27</v>
      </c>
      <c r="F276" s="50">
        <v>28</v>
      </c>
      <c r="G276" s="50">
        <v>1</v>
      </c>
      <c r="H276" s="50" t="s">
        <v>27</v>
      </c>
      <c r="I276" s="2">
        <v>1</v>
      </c>
      <c r="J276" s="50"/>
      <c r="P276" s="41">
        <v>1</v>
      </c>
      <c r="Q276" s="50" t="s">
        <v>57</v>
      </c>
    </row>
    <row r="277" spans="2:17" thickBot="1" x14ac:dyDescent="0.3">
      <c r="B277" s="2">
        <v>278</v>
      </c>
      <c r="C277" s="2" t="s">
        <v>280</v>
      </c>
      <c r="D277" s="50" t="s">
        <v>1004</v>
      </c>
      <c r="E277" s="50">
        <v>27</v>
      </c>
      <c r="F277" s="50">
        <v>21</v>
      </c>
      <c r="G277" s="50" t="s">
        <v>18</v>
      </c>
      <c r="H277" s="50" t="s">
        <v>27</v>
      </c>
      <c r="I277" s="2">
        <v>1</v>
      </c>
      <c r="J277" s="50"/>
      <c r="P277" s="41">
        <v>1</v>
      </c>
      <c r="Q277" s="50" t="s">
        <v>57</v>
      </c>
    </row>
    <row r="278" spans="2:17" thickBot="1" x14ac:dyDescent="0.3">
      <c r="B278" s="2">
        <v>279</v>
      </c>
      <c r="C278" s="2" t="s">
        <v>280</v>
      </c>
      <c r="D278" s="50" t="s">
        <v>1003</v>
      </c>
      <c r="E278" s="50">
        <v>27</v>
      </c>
      <c r="F278" s="50">
        <v>52</v>
      </c>
      <c r="G278" s="50" t="s">
        <v>71</v>
      </c>
      <c r="H278" s="50" t="s">
        <v>27</v>
      </c>
      <c r="I278" s="2">
        <v>1</v>
      </c>
      <c r="J278" s="50"/>
      <c r="P278" s="41">
        <v>1</v>
      </c>
      <c r="Q278" s="50" t="s">
        <v>57</v>
      </c>
    </row>
    <row r="279" spans="2:17" thickBot="1" x14ac:dyDescent="0.3">
      <c r="B279" s="2">
        <v>280</v>
      </c>
      <c r="C279" s="2" t="s">
        <v>280</v>
      </c>
      <c r="D279" s="50" t="s">
        <v>1002</v>
      </c>
      <c r="E279" s="50">
        <v>27</v>
      </c>
      <c r="F279" s="50">
        <v>61</v>
      </c>
      <c r="G279" s="50">
        <v>7</v>
      </c>
      <c r="H279" s="50" t="s">
        <v>27</v>
      </c>
      <c r="I279" s="2">
        <v>1</v>
      </c>
      <c r="J279" s="50"/>
      <c r="P279" s="41">
        <v>1</v>
      </c>
      <c r="Q279" s="50" t="s">
        <v>57</v>
      </c>
    </row>
    <row r="280" spans="2:17" thickBot="1" x14ac:dyDescent="0.3">
      <c r="B280" s="2">
        <v>281</v>
      </c>
      <c r="C280" s="2" t="s">
        <v>1001</v>
      </c>
      <c r="D280" s="50" t="s">
        <v>2376</v>
      </c>
      <c r="E280" s="50">
        <v>27</v>
      </c>
      <c r="F280" s="50">
        <v>123</v>
      </c>
      <c r="G280" s="50">
        <v>12</v>
      </c>
      <c r="H280" s="50" t="s">
        <v>27</v>
      </c>
      <c r="I280" s="2">
        <v>1</v>
      </c>
      <c r="J280" s="50"/>
      <c r="P280" s="41">
        <v>1</v>
      </c>
      <c r="Q280" s="50" t="s">
        <v>57</v>
      </c>
    </row>
    <row r="281" spans="2:17" thickBot="1" x14ac:dyDescent="0.3">
      <c r="B281" s="2">
        <v>282</v>
      </c>
      <c r="C281" s="2" t="s">
        <v>1000</v>
      </c>
      <c r="D281" s="50" t="s">
        <v>999</v>
      </c>
      <c r="E281" s="50">
        <v>27</v>
      </c>
      <c r="F281" s="50">
        <v>122</v>
      </c>
      <c r="G281" s="50">
        <v>11</v>
      </c>
      <c r="H281" s="50" t="s">
        <v>27</v>
      </c>
      <c r="I281" s="2">
        <v>1</v>
      </c>
      <c r="J281" s="50"/>
      <c r="P281" s="41">
        <v>1</v>
      </c>
      <c r="Q281" s="50" t="s">
        <v>57</v>
      </c>
    </row>
    <row r="282" spans="2:17" ht="19.5" x14ac:dyDescent="0.25">
      <c r="B282" s="95">
        <v>283</v>
      </c>
      <c r="C282" s="95" t="s">
        <v>998</v>
      </c>
      <c r="D282" s="61" t="s">
        <v>997</v>
      </c>
      <c r="E282" s="61">
        <v>27</v>
      </c>
      <c r="F282" s="61">
        <v>2</v>
      </c>
      <c r="G282" s="61">
        <v>14</v>
      </c>
      <c r="H282" s="61" t="s">
        <v>27</v>
      </c>
      <c r="I282" s="95">
        <v>1</v>
      </c>
      <c r="J282" s="61"/>
      <c r="K282" s="56"/>
      <c r="L282" s="56"/>
      <c r="M282" s="56"/>
      <c r="N282" s="57"/>
      <c r="O282" s="57"/>
      <c r="P282" s="57">
        <v>1</v>
      </c>
      <c r="Q282" s="61" t="s">
        <v>57</v>
      </c>
    </row>
    <row r="283" spans="2:17" ht="19.5" x14ac:dyDescent="0.25">
      <c r="B283" s="2">
        <v>283</v>
      </c>
      <c r="C283" s="2" t="s">
        <v>996</v>
      </c>
      <c r="D283" s="50" t="s">
        <v>995</v>
      </c>
      <c r="E283" s="50">
        <v>27</v>
      </c>
      <c r="F283" s="50">
        <v>28</v>
      </c>
      <c r="G283" s="50">
        <v>15</v>
      </c>
      <c r="H283" s="50" t="s">
        <v>27</v>
      </c>
      <c r="I283" s="2">
        <v>1</v>
      </c>
      <c r="J283" s="50"/>
      <c r="K283" s="64"/>
      <c r="L283" s="64"/>
      <c r="M283" s="64"/>
      <c r="N283" s="65"/>
      <c r="O283" s="65"/>
      <c r="P283" s="65">
        <v>1</v>
      </c>
      <c r="Q283" s="50" t="s">
        <v>2300</v>
      </c>
    </row>
    <row r="284" spans="2:17" ht="19.5" x14ac:dyDescent="0.25">
      <c r="B284" s="95">
        <v>284</v>
      </c>
      <c r="C284" s="95" t="s">
        <v>170</v>
      </c>
      <c r="D284" s="61" t="s">
        <v>2302</v>
      </c>
      <c r="E284" s="61">
        <v>27</v>
      </c>
      <c r="F284" s="61">
        <v>25</v>
      </c>
      <c r="G284" s="61">
        <v>16</v>
      </c>
      <c r="H284" s="61" t="s">
        <v>27</v>
      </c>
      <c r="I284" s="95">
        <v>1</v>
      </c>
      <c r="J284" s="61"/>
      <c r="K284" s="64"/>
      <c r="L284" s="64"/>
      <c r="M284" s="64"/>
      <c r="N284" s="65"/>
      <c r="O284" s="65"/>
      <c r="P284" s="65">
        <v>1</v>
      </c>
      <c r="Q284" s="61" t="s">
        <v>2301</v>
      </c>
    </row>
    <row r="285" spans="2:17" ht="19.5" x14ac:dyDescent="0.25">
      <c r="B285" s="95">
        <v>285</v>
      </c>
      <c r="C285" s="95" t="s">
        <v>1265</v>
      </c>
      <c r="D285" s="61" t="s">
        <v>2303</v>
      </c>
      <c r="E285" s="61">
        <v>27</v>
      </c>
      <c r="F285" s="61">
        <v>5</v>
      </c>
      <c r="G285" s="61">
        <v>16</v>
      </c>
      <c r="H285" s="61" t="s">
        <v>27</v>
      </c>
      <c r="I285" s="95">
        <v>1</v>
      </c>
      <c r="J285" s="61"/>
      <c r="K285" s="64"/>
      <c r="L285" s="64"/>
      <c r="M285" s="64"/>
      <c r="N285" s="65">
        <v>1</v>
      </c>
      <c r="O285" s="65"/>
      <c r="P285" s="65"/>
      <c r="Q285" s="61"/>
    </row>
    <row r="286" spans="2:17" ht="19.5" x14ac:dyDescent="0.25">
      <c r="B286" s="95">
        <v>286</v>
      </c>
      <c r="C286" s="95" t="s">
        <v>138</v>
      </c>
      <c r="D286" s="61" t="s">
        <v>2304</v>
      </c>
      <c r="E286" s="61">
        <v>27</v>
      </c>
      <c r="F286" s="61" t="s">
        <v>2305</v>
      </c>
      <c r="G286" s="61">
        <v>15</v>
      </c>
      <c r="H286" s="61" t="s">
        <v>26</v>
      </c>
      <c r="I286" s="95"/>
      <c r="J286" s="61">
        <v>1</v>
      </c>
      <c r="K286" s="64"/>
      <c r="L286" s="64"/>
      <c r="M286" s="64"/>
      <c r="N286" s="65"/>
      <c r="O286" s="65"/>
      <c r="P286" s="65"/>
      <c r="Q286" s="61"/>
    </row>
    <row r="287" spans="2:17" ht="19.5" x14ac:dyDescent="0.25">
      <c r="B287" s="95">
        <v>287</v>
      </c>
      <c r="C287" s="95" t="s">
        <v>891</v>
      </c>
      <c r="D287" s="61" t="s">
        <v>2311</v>
      </c>
      <c r="E287" s="61">
        <v>27</v>
      </c>
      <c r="F287" s="61">
        <v>57</v>
      </c>
      <c r="G287" s="61">
        <v>15</v>
      </c>
      <c r="H287" s="61" t="s">
        <v>26</v>
      </c>
      <c r="I287" s="95"/>
      <c r="J287" s="61">
        <v>1</v>
      </c>
      <c r="K287" s="64"/>
      <c r="L287" s="64"/>
      <c r="M287" s="64"/>
      <c r="N287" s="65"/>
      <c r="O287" s="65"/>
      <c r="P287" s="65"/>
      <c r="Q287" s="61"/>
    </row>
    <row r="288" spans="2:17" ht="19.5" x14ac:dyDescent="0.25">
      <c r="B288" s="95">
        <v>288</v>
      </c>
      <c r="C288" s="95" t="s">
        <v>131</v>
      </c>
      <c r="D288" s="61" t="s">
        <v>2312</v>
      </c>
      <c r="E288" s="61">
        <v>27</v>
      </c>
      <c r="F288" s="61">
        <v>23</v>
      </c>
      <c r="G288" s="61">
        <v>14</v>
      </c>
      <c r="H288" s="61" t="s">
        <v>27</v>
      </c>
      <c r="I288" s="95">
        <v>1</v>
      </c>
      <c r="J288" s="61"/>
      <c r="K288" s="64"/>
      <c r="L288" s="64"/>
      <c r="M288" s="64"/>
      <c r="N288" s="65"/>
      <c r="O288" s="65"/>
      <c r="P288" s="65"/>
      <c r="Q288" s="61"/>
    </row>
    <row r="289" spans="2:17" ht="37.5" x14ac:dyDescent="0.25">
      <c r="B289" s="95">
        <v>289</v>
      </c>
      <c r="C289" s="95" t="s">
        <v>575</v>
      </c>
      <c r="D289" s="61" t="s">
        <v>2313</v>
      </c>
      <c r="E289" s="61">
        <v>27</v>
      </c>
      <c r="F289" s="61" t="s">
        <v>2314</v>
      </c>
      <c r="G289" s="61">
        <v>14</v>
      </c>
      <c r="H289" s="61" t="s">
        <v>27</v>
      </c>
      <c r="I289" s="95">
        <v>1</v>
      </c>
      <c r="J289" s="61"/>
      <c r="K289" s="64"/>
      <c r="L289" s="64"/>
      <c r="M289" s="64"/>
      <c r="N289" s="65"/>
      <c r="O289" s="65"/>
      <c r="P289" s="65"/>
      <c r="Q289" s="61"/>
    </row>
    <row r="290" spans="2:17" ht="19.5" x14ac:dyDescent="0.25">
      <c r="B290" s="95">
        <v>290</v>
      </c>
      <c r="C290" s="95" t="s">
        <v>219</v>
      </c>
      <c r="D290" s="61" t="s">
        <v>2315</v>
      </c>
      <c r="E290" s="61">
        <v>27</v>
      </c>
      <c r="F290" s="61">
        <v>2</v>
      </c>
      <c r="G290" s="61">
        <v>14</v>
      </c>
      <c r="H290" s="61" t="s">
        <v>27</v>
      </c>
      <c r="I290" s="95">
        <v>1</v>
      </c>
      <c r="J290" s="61"/>
      <c r="K290" s="64"/>
      <c r="L290" s="64"/>
      <c r="M290" s="64"/>
      <c r="N290" s="65"/>
      <c r="O290" s="65"/>
      <c r="P290" s="65">
        <v>1</v>
      </c>
      <c r="Q290" s="61"/>
    </row>
    <row r="291" spans="2:17" ht="19.5" x14ac:dyDescent="0.25">
      <c r="B291" s="95">
        <v>291</v>
      </c>
      <c r="C291" s="95" t="s">
        <v>2317</v>
      </c>
      <c r="D291" s="61" t="s">
        <v>2318</v>
      </c>
      <c r="E291" s="61">
        <v>27</v>
      </c>
      <c r="F291" s="61">
        <v>34</v>
      </c>
      <c r="G291" s="61">
        <v>13</v>
      </c>
      <c r="H291" s="61" t="s">
        <v>26</v>
      </c>
      <c r="I291" s="95"/>
      <c r="J291" s="61">
        <v>1</v>
      </c>
      <c r="K291" s="64"/>
      <c r="L291" s="64"/>
      <c r="M291" s="64"/>
      <c r="N291" s="65"/>
      <c r="O291" s="65"/>
      <c r="P291" s="65"/>
      <c r="Q291" s="61"/>
    </row>
    <row r="292" spans="2:17" ht="19.5" x14ac:dyDescent="0.25">
      <c r="B292" s="95">
        <v>292</v>
      </c>
      <c r="C292" s="95" t="s">
        <v>2320</v>
      </c>
      <c r="D292" s="61" t="s">
        <v>2321</v>
      </c>
      <c r="E292" s="61">
        <v>27</v>
      </c>
      <c r="F292" s="61">
        <v>67</v>
      </c>
      <c r="G292" s="61">
        <v>12</v>
      </c>
      <c r="H292" s="61" t="s">
        <v>27</v>
      </c>
      <c r="I292" s="95">
        <v>1</v>
      </c>
      <c r="J292" s="61"/>
      <c r="K292" s="64"/>
      <c r="L292" s="64"/>
      <c r="M292" s="64"/>
      <c r="N292" s="65"/>
      <c r="O292" s="65"/>
      <c r="P292" s="65"/>
      <c r="Q292" s="61"/>
    </row>
    <row r="293" spans="2:17" ht="19.5" x14ac:dyDescent="0.25">
      <c r="B293" s="95">
        <v>293</v>
      </c>
      <c r="C293" s="95" t="s">
        <v>170</v>
      </c>
      <c r="D293" s="61" t="s">
        <v>2323</v>
      </c>
      <c r="E293" s="61">
        <v>27</v>
      </c>
      <c r="F293" s="61">
        <v>20</v>
      </c>
      <c r="G293" s="61">
        <v>11</v>
      </c>
      <c r="H293" s="61" t="s">
        <v>27</v>
      </c>
      <c r="I293" s="95">
        <v>1</v>
      </c>
      <c r="J293" s="61"/>
      <c r="K293" s="64"/>
      <c r="L293" s="64"/>
      <c r="M293" s="64"/>
      <c r="N293" s="65"/>
      <c r="O293" s="65"/>
      <c r="P293" s="65"/>
      <c r="Q293" s="61" t="s">
        <v>2324</v>
      </c>
    </row>
    <row r="294" spans="2:17" ht="19.5" x14ac:dyDescent="0.25">
      <c r="B294" s="95">
        <v>294</v>
      </c>
      <c r="C294" s="95" t="s">
        <v>815</v>
      </c>
      <c r="D294" s="61" t="s">
        <v>2331</v>
      </c>
      <c r="E294" s="61">
        <v>27</v>
      </c>
      <c r="F294" s="61">
        <v>45</v>
      </c>
      <c r="G294" s="61">
        <v>9</v>
      </c>
      <c r="H294" s="61" t="s">
        <v>27</v>
      </c>
      <c r="I294" s="95">
        <v>1</v>
      </c>
      <c r="J294" s="61"/>
      <c r="K294" s="64"/>
      <c r="L294" s="64"/>
      <c r="M294" s="64"/>
      <c r="N294" s="65"/>
      <c r="O294" s="65"/>
      <c r="P294" s="65">
        <v>1</v>
      </c>
      <c r="Q294" s="61"/>
    </row>
    <row r="295" spans="2:17" ht="19.5" x14ac:dyDescent="0.25">
      <c r="B295" s="95">
        <v>295</v>
      </c>
      <c r="C295" s="95" t="s">
        <v>619</v>
      </c>
      <c r="D295" s="61" t="s">
        <v>2333</v>
      </c>
      <c r="E295" s="61">
        <v>27</v>
      </c>
      <c r="F295" s="61">
        <v>6</v>
      </c>
      <c r="G295" s="61">
        <v>8</v>
      </c>
      <c r="H295" s="61" t="s">
        <v>27</v>
      </c>
      <c r="I295" s="95">
        <v>1</v>
      </c>
      <c r="J295" s="61"/>
      <c r="K295" s="64"/>
      <c r="L295" s="64"/>
      <c r="M295" s="64"/>
      <c r="N295" s="65"/>
      <c r="O295" s="65"/>
      <c r="P295" s="65"/>
      <c r="Q295" s="61"/>
    </row>
    <row r="296" spans="2:17" ht="19.5" x14ac:dyDescent="0.25">
      <c r="B296" s="95">
        <v>296</v>
      </c>
      <c r="C296" s="95" t="s">
        <v>617</v>
      </c>
      <c r="D296" s="61" t="s">
        <v>2334</v>
      </c>
      <c r="E296" s="61">
        <v>27</v>
      </c>
      <c r="F296" s="61">
        <v>56</v>
      </c>
      <c r="G296" s="61">
        <v>8</v>
      </c>
      <c r="H296" s="61" t="s">
        <v>27</v>
      </c>
      <c r="I296" s="95">
        <v>1</v>
      </c>
      <c r="J296" s="61"/>
      <c r="K296" s="64"/>
      <c r="L296" s="64"/>
      <c r="M296" s="64"/>
      <c r="N296" s="65"/>
      <c r="O296" s="65"/>
      <c r="P296" s="65">
        <v>1</v>
      </c>
      <c r="Q296" s="61"/>
    </row>
    <row r="297" spans="2:17" ht="19.5" x14ac:dyDescent="0.25">
      <c r="B297" s="95">
        <v>297</v>
      </c>
      <c r="C297" s="95" t="s">
        <v>125</v>
      </c>
      <c r="D297" s="61" t="s">
        <v>2338</v>
      </c>
      <c r="E297" s="61">
        <v>27</v>
      </c>
      <c r="F297" s="61">
        <v>11</v>
      </c>
      <c r="G297" s="61">
        <v>7</v>
      </c>
      <c r="H297" s="61" t="s">
        <v>26</v>
      </c>
      <c r="I297" s="95"/>
      <c r="J297" s="61">
        <v>1</v>
      </c>
      <c r="K297" s="64"/>
      <c r="L297" s="64"/>
      <c r="M297" s="64"/>
      <c r="N297" s="65"/>
      <c r="O297" s="65"/>
      <c r="P297" s="65"/>
      <c r="Q297" s="61"/>
    </row>
    <row r="298" spans="2:17" ht="19.5" x14ac:dyDescent="0.25">
      <c r="B298" s="95">
        <v>298</v>
      </c>
      <c r="C298" s="95" t="s">
        <v>138</v>
      </c>
      <c r="D298" s="61" t="s">
        <v>1128</v>
      </c>
      <c r="E298" s="61">
        <v>27</v>
      </c>
      <c r="F298" s="61">
        <v>8</v>
      </c>
      <c r="G298" s="61">
        <v>6</v>
      </c>
      <c r="H298" s="61" t="s">
        <v>27</v>
      </c>
      <c r="I298" s="95">
        <v>1</v>
      </c>
      <c r="J298" s="61"/>
      <c r="K298" s="64"/>
      <c r="L298" s="64"/>
      <c r="M298" s="64"/>
      <c r="N298" s="65"/>
      <c r="O298" s="65"/>
      <c r="P298" s="65"/>
      <c r="Q298" s="61"/>
    </row>
    <row r="299" spans="2:17" ht="19.5" x14ac:dyDescent="0.25">
      <c r="B299" s="95">
        <v>299</v>
      </c>
      <c r="C299" s="95" t="s">
        <v>1135</v>
      </c>
      <c r="D299" s="61" t="s">
        <v>2339</v>
      </c>
      <c r="E299" s="61">
        <v>27</v>
      </c>
      <c r="F299" s="61">
        <v>29</v>
      </c>
      <c r="G299" s="61">
        <v>6</v>
      </c>
      <c r="H299" s="61" t="s">
        <v>27</v>
      </c>
      <c r="I299" s="95">
        <v>1</v>
      </c>
      <c r="J299" s="61"/>
      <c r="K299" s="64"/>
      <c r="L299" s="64"/>
      <c r="M299" s="64"/>
      <c r="N299" s="65"/>
      <c r="O299" s="65"/>
      <c r="P299" s="65"/>
      <c r="Q299" s="61"/>
    </row>
    <row r="300" spans="2:17" ht="19.5" x14ac:dyDescent="0.25">
      <c r="B300" s="95">
        <v>300</v>
      </c>
      <c r="C300" s="95" t="s">
        <v>402</v>
      </c>
      <c r="D300" s="61" t="s">
        <v>2342</v>
      </c>
      <c r="E300" s="61">
        <v>27</v>
      </c>
      <c r="F300" s="61">
        <v>53</v>
      </c>
      <c r="G300" s="61">
        <v>6</v>
      </c>
      <c r="H300" s="61" t="s">
        <v>26</v>
      </c>
      <c r="I300" s="95"/>
      <c r="J300" s="61">
        <v>1</v>
      </c>
      <c r="K300" s="64"/>
      <c r="L300" s="64"/>
      <c r="M300" s="64"/>
      <c r="N300" s="65"/>
      <c r="O300" s="65"/>
      <c r="P300" s="65"/>
      <c r="Q300" s="61"/>
    </row>
    <row r="301" spans="2:17" ht="36" x14ac:dyDescent="0.25">
      <c r="B301" s="95">
        <v>301</v>
      </c>
      <c r="C301" s="95" t="s">
        <v>402</v>
      </c>
      <c r="D301" s="61" t="s">
        <v>2349</v>
      </c>
      <c r="E301" s="61">
        <v>27</v>
      </c>
      <c r="F301" s="61">
        <v>40</v>
      </c>
      <c r="G301" s="61">
        <v>3</v>
      </c>
      <c r="H301" s="61" t="s">
        <v>27</v>
      </c>
      <c r="I301" s="95">
        <v>1</v>
      </c>
      <c r="J301" s="61"/>
      <c r="K301" s="64"/>
      <c r="L301" s="64"/>
      <c r="M301" s="64"/>
      <c r="N301" s="65"/>
      <c r="O301" s="65"/>
      <c r="P301" s="65"/>
      <c r="Q301" s="97" t="s">
        <v>2350</v>
      </c>
    </row>
    <row r="302" spans="2:17" ht="19.5" x14ac:dyDescent="0.25">
      <c r="B302" s="95">
        <v>302</v>
      </c>
      <c r="C302" s="95" t="s">
        <v>402</v>
      </c>
      <c r="D302" s="61" t="s">
        <v>2391</v>
      </c>
      <c r="E302" s="61">
        <v>27</v>
      </c>
      <c r="F302" s="61">
        <v>38</v>
      </c>
      <c r="G302" s="61">
        <v>3</v>
      </c>
      <c r="H302" s="61" t="s">
        <v>26</v>
      </c>
      <c r="I302" s="95"/>
      <c r="J302" s="61">
        <v>1</v>
      </c>
      <c r="K302" s="64"/>
      <c r="L302" s="64"/>
      <c r="M302" s="64"/>
      <c r="N302" s="65"/>
      <c r="O302" s="65"/>
      <c r="P302" s="65"/>
      <c r="Q302" s="61"/>
    </row>
    <row r="303" spans="2:17" ht="19.5" x14ac:dyDescent="0.25">
      <c r="B303" s="95">
        <v>303</v>
      </c>
      <c r="C303" s="95" t="s">
        <v>166</v>
      </c>
      <c r="D303" s="61" t="s">
        <v>2352</v>
      </c>
      <c r="E303" s="61">
        <v>27</v>
      </c>
      <c r="F303" s="61">
        <v>33</v>
      </c>
      <c r="G303" s="61">
        <v>3</v>
      </c>
      <c r="H303" s="61" t="s">
        <v>26</v>
      </c>
      <c r="I303" s="95"/>
      <c r="J303" s="61">
        <v>1</v>
      </c>
      <c r="K303" s="64"/>
      <c r="L303" s="64"/>
      <c r="M303" s="64"/>
      <c r="N303" s="65"/>
      <c r="O303" s="65"/>
      <c r="P303" s="65"/>
      <c r="Q303" s="61"/>
    </row>
    <row r="304" spans="2:17" ht="19.5" x14ac:dyDescent="0.25">
      <c r="B304" s="95">
        <v>304</v>
      </c>
      <c r="C304" s="95" t="s">
        <v>1055</v>
      </c>
      <c r="D304" s="61" t="s">
        <v>2357</v>
      </c>
      <c r="E304" s="61">
        <v>27</v>
      </c>
      <c r="F304" s="61">
        <v>11</v>
      </c>
      <c r="G304" s="61">
        <v>1</v>
      </c>
      <c r="H304" s="61" t="s">
        <v>27</v>
      </c>
      <c r="I304" s="95">
        <v>1</v>
      </c>
      <c r="J304" s="61"/>
      <c r="K304" s="64"/>
      <c r="L304" s="64"/>
      <c r="M304" s="64"/>
      <c r="N304" s="65"/>
      <c r="O304" s="65"/>
      <c r="P304" s="65">
        <v>1</v>
      </c>
      <c r="Q304" s="61"/>
    </row>
    <row r="305" spans="2:17" ht="19.5" x14ac:dyDescent="0.25">
      <c r="B305" s="95">
        <v>305</v>
      </c>
      <c r="C305" s="95" t="s">
        <v>280</v>
      </c>
      <c r="D305" s="61" t="s">
        <v>2358</v>
      </c>
      <c r="E305" s="61">
        <v>27</v>
      </c>
      <c r="F305" s="61">
        <v>21</v>
      </c>
      <c r="G305" s="61" t="s">
        <v>18</v>
      </c>
      <c r="H305" s="61" t="s">
        <v>27</v>
      </c>
      <c r="I305" s="95">
        <v>1</v>
      </c>
      <c r="J305" s="61"/>
      <c r="K305" s="64"/>
      <c r="L305" s="64"/>
      <c r="M305" s="64"/>
      <c r="N305" s="65"/>
      <c r="O305" s="65"/>
      <c r="P305" s="65">
        <v>1</v>
      </c>
      <c r="Q305" s="61"/>
    </row>
    <row r="306" spans="2:17" ht="19.5" x14ac:dyDescent="0.25">
      <c r="B306" s="95">
        <v>306</v>
      </c>
      <c r="C306" s="95" t="s">
        <v>311</v>
      </c>
      <c r="D306" s="61" t="s">
        <v>2363</v>
      </c>
      <c r="E306" s="61">
        <v>27</v>
      </c>
      <c r="F306" s="61">
        <v>8</v>
      </c>
      <c r="G306" s="61" t="s">
        <v>17</v>
      </c>
      <c r="H306" s="61" t="s">
        <v>27</v>
      </c>
      <c r="I306" s="95">
        <v>1</v>
      </c>
      <c r="J306" s="61"/>
      <c r="K306" s="64"/>
      <c r="L306" s="64"/>
      <c r="M306" s="64"/>
      <c r="N306" s="65"/>
      <c r="O306" s="65"/>
      <c r="P306" s="65">
        <v>1</v>
      </c>
      <c r="Q306" s="61"/>
    </row>
    <row r="307" spans="2:17" ht="19.5" x14ac:dyDescent="0.25">
      <c r="B307" s="95">
        <v>307</v>
      </c>
      <c r="C307" s="95" t="s">
        <v>2367</v>
      </c>
      <c r="D307" s="61" t="s">
        <v>2323</v>
      </c>
      <c r="E307" s="61">
        <v>27</v>
      </c>
      <c r="F307" s="61">
        <v>60</v>
      </c>
      <c r="G307" s="61" t="s">
        <v>71</v>
      </c>
      <c r="H307" s="61" t="s">
        <v>27</v>
      </c>
      <c r="I307" s="95">
        <v>1</v>
      </c>
      <c r="J307" s="61"/>
      <c r="K307" s="64"/>
      <c r="L307" s="64"/>
      <c r="M307" s="64"/>
      <c r="N307" s="65"/>
      <c r="O307" s="65"/>
      <c r="P307" s="65">
        <v>1</v>
      </c>
      <c r="Q307" s="61"/>
    </row>
    <row r="308" spans="2:17" ht="19.5" x14ac:dyDescent="0.25">
      <c r="B308" s="95">
        <v>308</v>
      </c>
      <c r="C308" s="95" t="s">
        <v>125</v>
      </c>
      <c r="D308" s="61" t="s">
        <v>2374</v>
      </c>
      <c r="E308" s="61">
        <v>27</v>
      </c>
      <c r="F308" s="61">
        <v>128</v>
      </c>
      <c r="G308" s="61">
        <v>16</v>
      </c>
      <c r="H308" s="61" t="s">
        <v>27</v>
      </c>
      <c r="I308" s="95">
        <v>1</v>
      </c>
      <c r="J308" s="61"/>
      <c r="K308" s="64"/>
      <c r="L308" s="64"/>
      <c r="M308" s="64"/>
      <c r="N308" s="65"/>
      <c r="O308" s="65"/>
      <c r="P308" s="65"/>
      <c r="Q308" s="61"/>
    </row>
    <row r="309" spans="2:17" ht="19.5" x14ac:dyDescent="0.25">
      <c r="B309" s="95">
        <v>309</v>
      </c>
      <c r="C309" s="95" t="s">
        <v>2379</v>
      </c>
      <c r="D309" s="61" t="s">
        <v>1839</v>
      </c>
      <c r="E309" s="61">
        <v>27</v>
      </c>
      <c r="F309" s="61">
        <v>124</v>
      </c>
      <c r="G309" s="61">
        <v>11</v>
      </c>
      <c r="H309" s="61" t="s">
        <v>27</v>
      </c>
      <c r="I309" s="95">
        <v>1</v>
      </c>
      <c r="J309" s="61"/>
      <c r="K309" s="64"/>
      <c r="L309" s="64"/>
      <c r="M309" s="64"/>
      <c r="N309" s="65"/>
      <c r="O309" s="65"/>
      <c r="P309" s="65">
        <v>1</v>
      </c>
      <c r="Q309" s="61"/>
    </row>
    <row r="310" spans="2:17" ht="19.5" x14ac:dyDescent="0.25">
      <c r="B310" s="95">
        <v>310</v>
      </c>
      <c r="C310" s="95" t="s">
        <v>125</v>
      </c>
      <c r="D310" s="61" t="s">
        <v>2380</v>
      </c>
      <c r="E310" s="61">
        <v>27</v>
      </c>
      <c r="F310" s="61">
        <v>93</v>
      </c>
      <c r="G310" s="61">
        <v>9</v>
      </c>
      <c r="H310" s="61" t="s">
        <v>27</v>
      </c>
      <c r="I310" s="95">
        <v>1</v>
      </c>
      <c r="J310" s="61"/>
      <c r="K310" s="64"/>
      <c r="L310" s="64"/>
      <c r="M310" s="64"/>
      <c r="N310" s="65"/>
      <c r="O310" s="65"/>
      <c r="P310" s="65">
        <v>1</v>
      </c>
      <c r="Q310" s="61"/>
    </row>
    <row r="311" spans="2:17" ht="19.5" x14ac:dyDescent="0.25">
      <c r="B311" s="95">
        <v>311</v>
      </c>
      <c r="C311" s="95" t="s">
        <v>640</v>
      </c>
      <c r="D311" s="61" t="s">
        <v>2381</v>
      </c>
      <c r="E311" s="61">
        <v>27</v>
      </c>
      <c r="F311" s="61">
        <v>136</v>
      </c>
      <c r="G311" s="61">
        <v>9</v>
      </c>
      <c r="H311" s="61" t="s">
        <v>27</v>
      </c>
      <c r="I311" s="95">
        <v>1</v>
      </c>
      <c r="J311" s="61"/>
      <c r="K311" s="64"/>
      <c r="L311" s="64"/>
      <c r="M311" s="64"/>
      <c r="N311" s="65"/>
      <c r="O311" s="65"/>
      <c r="P311" s="65">
        <v>1</v>
      </c>
      <c r="Q311" s="61"/>
    </row>
    <row r="312" spans="2:17" ht="19.5" x14ac:dyDescent="0.25">
      <c r="B312" s="95">
        <v>312</v>
      </c>
      <c r="C312" s="95" t="s">
        <v>1246</v>
      </c>
      <c r="D312" s="61" t="s">
        <v>2382</v>
      </c>
      <c r="E312" s="61">
        <v>27</v>
      </c>
      <c r="F312" s="61">
        <v>131</v>
      </c>
      <c r="G312" s="61">
        <v>7</v>
      </c>
      <c r="H312" s="61" t="s">
        <v>26</v>
      </c>
      <c r="I312" s="95"/>
      <c r="J312" s="61">
        <v>1</v>
      </c>
      <c r="K312" s="64"/>
      <c r="L312" s="64"/>
      <c r="M312" s="64"/>
      <c r="N312" s="65"/>
      <c r="O312" s="65"/>
      <c r="P312" s="65"/>
      <c r="Q312" s="61"/>
    </row>
    <row r="313" spans="2:17" ht="19.5" x14ac:dyDescent="0.25">
      <c r="B313" s="95">
        <v>313</v>
      </c>
      <c r="C313" s="95" t="s">
        <v>123</v>
      </c>
      <c r="D313" s="61" t="s">
        <v>2383</v>
      </c>
      <c r="E313" s="61">
        <v>27</v>
      </c>
      <c r="F313" s="61">
        <v>116</v>
      </c>
      <c r="G313" s="61">
        <v>7</v>
      </c>
      <c r="H313" s="61" t="s">
        <v>26</v>
      </c>
      <c r="I313" s="95"/>
      <c r="J313" s="61">
        <v>1</v>
      </c>
      <c r="K313" s="64"/>
      <c r="L313" s="64"/>
      <c r="M313" s="64"/>
      <c r="N313" s="65"/>
      <c r="O313" s="65"/>
      <c r="P313" s="65"/>
      <c r="Q313" s="61"/>
    </row>
    <row r="314" spans="2:17" ht="19.5" x14ac:dyDescent="0.25">
      <c r="B314" s="95">
        <v>314</v>
      </c>
      <c r="C314" s="95" t="s">
        <v>199</v>
      </c>
      <c r="D314" s="61" t="s">
        <v>849</v>
      </c>
      <c r="E314" s="61">
        <v>27</v>
      </c>
      <c r="F314" s="61">
        <v>125</v>
      </c>
      <c r="G314" s="61">
        <v>6</v>
      </c>
      <c r="H314" s="61" t="s">
        <v>27</v>
      </c>
      <c r="I314" s="95">
        <v>1</v>
      </c>
      <c r="J314" s="61"/>
      <c r="K314" s="64"/>
      <c r="L314" s="64"/>
      <c r="M314" s="64"/>
      <c r="N314" s="65"/>
      <c r="O314" s="65"/>
      <c r="P314" s="65"/>
      <c r="Q314" s="61"/>
    </row>
    <row r="315" spans="2:17" ht="19.5" x14ac:dyDescent="0.25">
      <c r="B315" s="95">
        <v>315</v>
      </c>
      <c r="C315" s="95" t="s">
        <v>2384</v>
      </c>
      <c r="D315" s="61" t="s">
        <v>849</v>
      </c>
      <c r="E315" s="61">
        <v>27</v>
      </c>
      <c r="F315" s="61">
        <v>127</v>
      </c>
      <c r="G315" s="61">
        <v>6</v>
      </c>
      <c r="H315" s="61" t="s">
        <v>27</v>
      </c>
      <c r="I315" s="95">
        <v>1</v>
      </c>
      <c r="J315" s="61"/>
      <c r="K315" s="64"/>
      <c r="L315" s="64"/>
      <c r="M315" s="64"/>
      <c r="N315" s="65"/>
      <c r="O315" s="65"/>
      <c r="P315" s="65"/>
      <c r="Q315" s="61"/>
    </row>
    <row r="316" spans="2:17" ht="19.5" x14ac:dyDescent="0.25">
      <c r="B316" s="95">
        <v>316</v>
      </c>
      <c r="C316" s="95" t="s">
        <v>2386</v>
      </c>
      <c r="D316" s="61" t="s">
        <v>2387</v>
      </c>
      <c r="E316" s="61">
        <v>27</v>
      </c>
      <c r="F316" s="61">
        <v>141</v>
      </c>
      <c r="G316" s="61">
        <v>4</v>
      </c>
      <c r="H316" s="61" t="s">
        <v>26</v>
      </c>
      <c r="I316" s="95"/>
      <c r="J316" s="61">
        <v>1</v>
      </c>
      <c r="K316" s="64"/>
      <c r="L316" s="64"/>
      <c r="M316" s="64"/>
      <c r="N316" s="65"/>
      <c r="O316" s="65"/>
      <c r="P316" s="65"/>
      <c r="Q316" s="61"/>
    </row>
    <row r="317" spans="2:17" ht="19.5" x14ac:dyDescent="0.25">
      <c r="B317" s="95">
        <v>317</v>
      </c>
      <c r="C317" s="95" t="s">
        <v>600</v>
      </c>
      <c r="D317" s="61" t="s">
        <v>6</v>
      </c>
      <c r="E317" s="61">
        <v>27</v>
      </c>
      <c r="F317" s="61">
        <v>140</v>
      </c>
      <c r="G317" s="61">
        <v>3</v>
      </c>
      <c r="H317" s="61" t="s">
        <v>26</v>
      </c>
      <c r="I317" s="95"/>
      <c r="J317" s="61">
        <v>1</v>
      </c>
      <c r="K317" s="64"/>
      <c r="L317" s="64"/>
      <c r="M317" s="64"/>
      <c r="N317" s="65"/>
      <c r="O317" s="65"/>
      <c r="P317" s="65"/>
      <c r="Q317" s="61"/>
    </row>
    <row r="318" spans="2:17" ht="19.5" x14ac:dyDescent="0.25">
      <c r="B318" s="95">
        <v>318</v>
      </c>
      <c r="C318" s="95" t="s">
        <v>781</v>
      </c>
      <c r="D318" s="61" t="s">
        <v>2390</v>
      </c>
      <c r="E318" s="61">
        <v>27</v>
      </c>
      <c r="F318" s="61">
        <v>93</v>
      </c>
      <c r="G318" s="61">
        <v>2</v>
      </c>
      <c r="H318" s="61" t="s">
        <v>27</v>
      </c>
      <c r="I318" s="95">
        <v>1</v>
      </c>
      <c r="J318" s="61"/>
      <c r="K318" s="64"/>
      <c r="L318" s="64"/>
      <c r="M318" s="64"/>
      <c r="N318" s="65"/>
      <c r="O318" s="65"/>
      <c r="P318" s="65"/>
      <c r="Q318" s="61"/>
    </row>
    <row r="319" spans="2:17" ht="19.5" x14ac:dyDescent="0.25">
      <c r="B319" s="95">
        <v>319</v>
      </c>
      <c r="C319" s="95" t="s">
        <v>402</v>
      </c>
      <c r="D319" s="61" t="s">
        <v>2392</v>
      </c>
      <c r="E319" s="61">
        <v>27</v>
      </c>
      <c r="F319" s="61">
        <v>103</v>
      </c>
      <c r="G319" s="61">
        <v>2</v>
      </c>
      <c r="H319" s="61" t="s">
        <v>27</v>
      </c>
      <c r="I319" s="95">
        <v>1</v>
      </c>
      <c r="J319" s="61"/>
      <c r="K319" s="64"/>
      <c r="L319" s="64"/>
      <c r="M319" s="64"/>
      <c r="N319" s="65"/>
      <c r="O319" s="65"/>
      <c r="P319" s="65"/>
      <c r="Q319" s="61"/>
    </row>
    <row r="320" spans="2:17" ht="19.5" x14ac:dyDescent="0.25">
      <c r="B320" s="95">
        <v>320</v>
      </c>
      <c r="C320" s="95" t="s">
        <v>1150</v>
      </c>
      <c r="D320" s="61" t="s">
        <v>2393</v>
      </c>
      <c r="E320" s="61">
        <v>27</v>
      </c>
      <c r="F320" s="61">
        <v>110</v>
      </c>
      <c r="G320" s="61">
        <v>2</v>
      </c>
      <c r="H320" s="61" t="s">
        <v>27</v>
      </c>
      <c r="I320" s="95">
        <v>1</v>
      </c>
      <c r="J320" s="61"/>
      <c r="K320" s="64"/>
      <c r="L320" s="64"/>
      <c r="M320" s="64"/>
      <c r="N320" s="65"/>
      <c r="O320" s="65"/>
      <c r="P320" s="65"/>
      <c r="Q320" s="61"/>
    </row>
    <row r="321" spans="2:18" ht="19.5" x14ac:dyDescent="0.25">
      <c r="B321" s="95">
        <v>321</v>
      </c>
      <c r="C321" s="95" t="s">
        <v>280</v>
      </c>
      <c r="D321" s="61" t="s">
        <v>2394</v>
      </c>
      <c r="E321" s="61">
        <v>27</v>
      </c>
      <c r="F321" s="61">
        <v>128</v>
      </c>
      <c r="G321" s="61">
        <v>2</v>
      </c>
      <c r="H321" s="61" t="s">
        <v>27</v>
      </c>
      <c r="I321" s="95">
        <v>1</v>
      </c>
      <c r="J321" s="61"/>
      <c r="K321" s="64"/>
      <c r="L321" s="64"/>
      <c r="M321" s="64"/>
      <c r="N321" s="65"/>
      <c r="O321" s="65"/>
      <c r="P321" s="65"/>
      <c r="Q321" s="61"/>
    </row>
    <row r="322" spans="2:18" ht="19.5" x14ac:dyDescent="0.25">
      <c r="B322" s="95">
        <v>322</v>
      </c>
      <c r="C322" s="95" t="s">
        <v>1904</v>
      </c>
      <c r="D322" s="61" t="s">
        <v>2396</v>
      </c>
      <c r="E322" s="61">
        <v>27</v>
      </c>
      <c r="F322" s="61">
        <v>94</v>
      </c>
      <c r="G322" s="61">
        <v>1</v>
      </c>
      <c r="H322" s="61" t="s">
        <v>27</v>
      </c>
      <c r="I322" s="95">
        <v>1</v>
      </c>
      <c r="J322" s="61"/>
      <c r="K322" s="64"/>
      <c r="L322" s="64"/>
      <c r="M322" s="64"/>
      <c r="N322" s="65"/>
      <c r="O322" s="65"/>
      <c r="P322" s="65">
        <v>1</v>
      </c>
      <c r="Q322" s="61"/>
    </row>
    <row r="323" spans="2:18" ht="19.5" x14ac:dyDescent="0.25">
      <c r="B323" s="95">
        <v>323</v>
      </c>
      <c r="C323" s="95" t="s">
        <v>214</v>
      </c>
      <c r="D323" s="61" t="s">
        <v>2410</v>
      </c>
      <c r="E323" s="61">
        <v>27</v>
      </c>
      <c r="F323" s="61">
        <v>77</v>
      </c>
      <c r="G323" s="61">
        <v>7</v>
      </c>
      <c r="H323" s="61" t="s">
        <v>27</v>
      </c>
      <c r="I323" s="95">
        <v>1</v>
      </c>
      <c r="J323" s="61"/>
      <c r="K323" s="64"/>
      <c r="L323" s="64"/>
      <c r="M323" s="64"/>
      <c r="N323" s="65"/>
      <c r="O323" s="65"/>
      <c r="P323" s="65"/>
      <c r="Q323" s="61"/>
    </row>
    <row r="324" spans="2:18" ht="19.5" x14ac:dyDescent="0.25">
      <c r="B324" s="95">
        <v>324</v>
      </c>
      <c r="C324" s="95" t="s">
        <v>1238</v>
      </c>
      <c r="D324" s="61" t="s">
        <v>2411</v>
      </c>
      <c r="E324" s="61">
        <v>27</v>
      </c>
      <c r="F324" s="61">
        <v>137</v>
      </c>
      <c r="G324" s="61" t="s">
        <v>18</v>
      </c>
      <c r="H324" s="61" t="s">
        <v>27</v>
      </c>
      <c r="I324" s="95">
        <v>1</v>
      </c>
      <c r="J324" s="61"/>
      <c r="K324" s="64"/>
      <c r="L324" s="64"/>
      <c r="M324" s="64"/>
      <c r="N324" s="65"/>
      <c r="O324" s="65"/>
      <c r="P324" s="65"/>
      <c r="Q324" s="61"/>
    </row>
    <row r="325" spans="2:18" s="70" customFormat="1" ht="19.5" x14ac:dyDescent="0.25">
      <c r="B325" s="36"/>
      <c r="C325" s="36"/>
      <c r="D325" s="73"/>
      <c r="E325" s="73"/>
      <c r="F325" s="73"/>
      <c r="G325" s="73"/>
      <c r="H325" s="73"/>
      <c r="I325" s="36">
        <f t="shared" ref="I325:P325" si="0">SUM(I2:I324)</f>
        <v>280</v>
      </c>
      <c r="J325" s="36">
        <f t="shared" si="0"/>
        <v>43</v>
      </c>
      <c r="K325" s="64">
        <f t="shared" si="0"/>
        <v>0</v>
      </c>
      <c r="L325" s="64">
        <f t="shared" si="0"/>
        <v>0</v>
      </c>
      <c r="M325" s="64">
        <f t="shared" si="0"/>
        <v>1</v>
      </c>
      <c r="N325" s="65">
        <f t="shared" si="0"/>
        <v>11</v>
      </c>
      <c r="O325" s="65">
        <f t="shared" si="0"/>
        <v>5</v>
      </c>
      <c r="P325" s="65">
        <f t="shared" si="0"/>
        <v>235</v>
      </c>
      <c r="Q325" s="73"/>
      <c r="R325" s="100" t="s">
        <v>2412</v>
      </c>
    </row>
    <row r="326" spans="2:18" ht="409.5" customHeight="1" x14ac:dyDescent="0.25">
      <c r="E326" s="52"/>
      <c r="F326" s="52"/>
      <c r="G326" s="52"/>
      <c r="H326" s="52"/>
      <c r="I326" s="52"/>
      <c r="J326" s="52"/>
      <c r="K326" s="60"/>
      <c r="L326" s="60"/>
      <c r="M326" s="60"/>
      <c r="N326" s="60"/>
      <c r="O326" s="60"/>
      <c r="P326" s="60"/>
      <c r="Q326" s="52"/>
    </row>
    <row r="327" spans="2:18" thickBot="1" x14ac:dyDescent="0.3">
      <c r="K327" s="58"/>
      <c r="L327" s="58"/>
      <c r="M327" s="58"/>
      <c r="N327" s="59"/>
      <c r="O327" s="59"/>
      <c r="P327" s="59"/>
    </row>
    <row r="328" spans="2:18" ht="19.5" x14ac:dyDescent="0.25"/>
    <row r="329" spans="2:18" ht="19.5" x14ac:dyDescent="0.25"/>
    <row r="330" spans="2:18" ht="19.5" x14ac:dyDescent="0.25"/>
    <row r="331" spans="2:18" ht="19.5" x14ac:dyDescent="0.25"/>
    <row r="332" spans="2:18" ht="19.5" x14ac:dyDescent="0.25"/>
    <row r="333" spans="2:18" ht="19.5" x14ac:dyDescent="0.25"/>
    <row r="334" spans="2:18" ht="19.5" x14ac:dyDescent="0.25"/>
    <row r="335" spans="2:18" ht="19.5" x14ac:dyDescent="0.25"/>
  </sheetData>
  <autoFilter ref="B1:Q325" xr:uid="{AB6EB735-77F1-40C4-BEE9-7A73954776C1}"/>
  <phoneticPr fontId="4" type="noConversion"/>
  <pageMargins left="0.25" right="0.25" top="0.75" bottom="0.75" header="0.3" footer="0.3"/>
  <pageSetup paperSize="9" scale="91" fitToHeight="0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0F8E31-8242-46C6-9ABB-7F38BBBDEDD9}">
  <dimension ref="A1:R542"/>
  <sheetViews>
    <sheetView rightToLeft="1" zoomScale="130" zoomScaleNormal="130" workbookViewId="0">
      <pane ySplit="1" topLeftCell="A497" activePane="bottomLeft" state="frozen"/>
      <selection pane="bottomLeft" activeCell="A515" sqref="A515:IV515"/>
    </sheetView>
  </sheetViews>
  <sheetFormatPr defaultRowHeight="20.25" thickBottom="1" x14ac:dyDescent="0.3"/>
  <cols>
    <col min="1" max="1" width="9.140625" style="42"/>
    <col min="2" max="2" width="6.140625" style="42" customWidth="1"/>
    <col min="3" max="3" width="11" style="42" customWidth="1"/>
    <col min="4" max="4" width="15.42578125" style="42" customWidth="1"/>
    <col min="5" max="5" width="6" style="42" customWidth="1"/>
    <col min="6" max="6" width="5.140625" style="42" customWidth="1"/>
    <col min="7" max="7" width="8.42578125" style="42" customWidth="1"/>
    <col min="8" max="8" width="7" style="42" customWidth="1"/>
    <col min="9" max="9" width="6.85546875" style="42" customWidth="1"/>
    <col min="10" max="10" width="6" style="42" customWidth="1"/>
    <col min="11" max="11" width="8.85546875" style="40" customWidth="1"/>
    <col min="12" max="12" width="6.5703125" style="40" customWidth="1"/>
    <col min="13" max="13" width="9.85546875" style="40" customWidth="1"/>
    <col min="14" max="15" width="9.140625" style="41" customWidth="1"/>
    <col min="16" max="16" width="7.5703125" style="41" customWidth="1"/>
    <col min="17" max="17" width="28" style="42" customWidth="1"/>
    <col min="18" max="18" width="17.42578125" style="42" customWidth="1"/>
    <col min="19" max="16384" width="9.140625" style="42"/>
  </cols>
  <sheetData>
    <row r="1" spans="2:17" ht="56.25" customHeight="1" thickBot="1" x14ac:dyDescent="0.3">
      <c r="B1" s="82" t="s">
        <v>0</v>
      </c>
      <c r="C1" s="83" t="s">
        <v>420</v>
      </c>
      <c r="D1" s="38" t="s">
        <v>419</v>
      </c>
      <c r="E1" s="25" t="s">
        <v>1</v>
      </c>
      <c r="F1" s="25" t="s">
        <v>0</v>
      </c>
      <c r="G1" s="25" t="s">
        <v>2</v>
      </c>
      <c r="H1" s="25" t="s">
        <v>4</v>
      </c>
      <c r="I1" s="39" t="s">
        <v>27</v>
      </c>
      <c r="J1" s="39" t="s">
        <v>435</v>
      </c>
      <c r="K1" s="40" t="s">
        <v>438</v>
      </c>
      <c r="L1" s="40" t="s">
        <v>439</v>
      </c>
      <c r="M1" s="40" t="s">
        <v>440</v>
      </c>
      <c r="N1" s="41" t="s">
        <v>437</v>
      </c>
      <c r="O1" s="41" t="s">
        <v>436</v>
      </c>
      <c r="P1" s="41" t="s">
        <v>443</v>
      </c>
      <c r="Q1" s="26" t="s">
        <v>5</v>
      </c>
    </row>
    <row r="2" spans="2:17" thickBot="1" x14ac:dyDescent="0.3">
      <c r="B2" s="66">
        <v>1</v>
      </c>
      <c r="C2" s="66" t="s">
        <v>600</v>
      </c>
      <c r="D2" s="66" t="s">
        <v>6</v>
      </c>
      <c r="E2" s="66">
        <v>28</v>
      </c>
      <c r="F2" s="66">
        <v>6</v>
      </c>
      <c r="G2" s="66">
        <v>1</v>
      </c>
      <c r="H2" s="66" t="s">
        <v>12</v>
      </c>
      <c r="I2" s="66">
        <v>1</v>
      </c>
      <c r="J2" s="66"/>
      <c r="N2" s="41">
        <v>1</v>
      </c>
      <c r="Q2" s="66"/>
    </row>
    <row r="3" spans="2:17" thickBot="1" x14ac:dyDescent="0.3">
      <c r="B3" s="66">
        <v>2</v>
      </c>
      <c r="C3" s="67" t="s">
        <v>137</v>
      </c>
      <c r="D3" s="67" t="s">
        <v>1656</v>
      </c>
      <c r="E3" s="67">
        <v>28</v>
      </c>
      <c r="F3" s="67">
        <v>2</v>
      </c>
      <c r="G3" s="67">
        <v>10</v>
      </c>
      <c r="H3" s="67" t="s">
        <v>26</v>
      </c>
      <c r="I3" s="66">
        <v>0</v>
      </c>
      <c r="J3" s="67">
        <v>1</v>
      </c>
      <c r="M3" s="40">
        <v>1</v>
      </c>
      <c r="N3" s="41">
        <v>0</v>
      </c>
      <c r="Q3" s="67"/>
    </row>
    <row r="4" spans="2:17" thickBot="1" x14ac:dyDescent="0.3">
      <c r="B4" s="66">
        <v>3</v>
      </c>
      <c r="C4" s="67" t="s">
        <v>600</v>
      </c>
      <c r="D4" s="67" t="s">
        <v>6</v>
      </c>
      <c r="E4" s="67">
        <v>28</v>
      </c>
      <c r="F4" s="67">
        <v>12</v>
      </c>
      <c r="G4" s="67">
        <v>10</v>
      </c>
      <c r="H4" s="67" t="s">
        <v>26</v>
      </c>
      <c r="I4" s="67"/>
      <c r="J4" s="67">
        <v>1</v>
      </c>
      <c r="M4" s="40">
        <v>1</v>
      </c>
      <c r="Q4" s="71"/>
    </row>
    <row r="5" spans="2:17" thickBot="1" x14ac:dyDescent="0.3">
      <c r="B5" s="66">
        <v>4</v>
      </c>
      <c r="C5" s="66" t="s">
        <v>135</v>
      </c>
      <c r="D5" s="67" t="s">
        <v>1655</v>
      </c>
      <c r="E5" s="67">
        <v>28</v>
      </c>
      <c r="F5" s="67">
        <v>18</v>
      </c>
      <c r="G5" s="67">
        <v>10</v>
      </c>
      <c r="H5" s="67" t="s">
        <v>26</v>
      </c>
      <c r="I5" s="67"/>
      <c r="J5" s="67">
        <v>1</v>
      </c>
      <c r="Q5" s="168" t="s">
        <v>13</v>
      </c>
    </row>
    <row r="6" spans="2:17" thickBot="1" x14ac:dyDescent="0.3">
      <c r="B6" s="66">
        <v>5</v>
      </c>
      <c r="C6" s="67" t="s">
        <v>1654</v>
      </c>
      <c r="D6" s="67" t="s">
        <v>1087</v>
      </c>
      <c r="E6" s="67">
        <v>28</v>
      </c>
      <c r="F6" s="67">
        <v>23</v>
      </c>
      <c r="G6" s="67">
        <v>10</v>
      </c>
      <c r="H6" s="67" t="s">
        <v>26</v>
      </c>
      <c r="I6" s="67"/>
      <c r="J6" s="67">
        <v>1</v>
      </c>
      <c r="Q6" s="68" t="s">
        <v>14</v>
      </c>
    </row>
    <row r="7" spans="2:17" thickBot="1" x14ac:dyDescent="0.3">
      <c r="B7" s="66">
        <v>6</v>
      </c>
      <c r="C7" s="67" t="s">
        <v>1653</v>
      </c>
      <c r="D7" s="67" t="s">
        <v>1652</v>
      </c>
      <c r="E7" s="67">
        <v>28</v>
      </c>
      <c r="F7" s="67">
        <v>23</v>
      </c>
      <c r="G7" s="67">
        <v>9</v>
      </c>
      <c r="H7" s="67" t="s">
        <v>26</v>
      </c>
      <c r="I7" s="67"/>
      <c r="J7" s="67">
        <v>1</v>
      </c>
      <c r="Q7" s="168" t="s">
        <v>13</v>
      </c>
    </row>
    <row r="8" spans="2:17" thickBot="1" x14ac:dyDescent="0.3">
      <c r="B8" s="66">
        <v>7</v>
      </c>
      <c r="C8" s="66" t="s">
        <v>600</v>
      </c>
      <c r="D8" s="67" t="s">
        <v>6</v>
      </c>
      <c r="E8" s="67">
        <v>28</v>
      </c>
      <c r="F8" s="67">
        <v>13</v>
      </c>
      <c r="G8" s="67">
        <v>9</v>
      </c>
      <c r="H8" s="67" t="s">
        <v>12</v>
      </c>
      <c r="I8" s="66">
        <v>1</v>
      </c>
      <c r="J8" s="67"/>
      <c r="N8" s="41">
        <v>0</v>
      </c>
      <c r="P8" s="41">
        <v>1</v>
      </c>
      <c r="Q8" s="72"/>
    </row>
    <row r="9" spans="2:17" thickBot="1" x14ac:dyDescent="0.3">
      <c r="B9" s="66">
        <v>8</v>
      </c>
      <c r="C9" s="67" t="s">
        <v>280</v>
      </c>
      <c r="D9" s="67" t="s">
        <v>1651</v>
      </c>
      <c r="E9" s="67">
        <v>28</v>
      </c>
      <c r="F9" s="67">
        <v>9</v>
      </c>
      <c r="G9" s="67">
        <v>8</v>
      </c>
      <c r="H9" s="67" t="s">
        <v>26</v>
      </c>
      <c r="I9" s="67"/>
      <c r="J9" s="67">
        <v>1</v>
      </c>
      <c r="Q9" s="168" t="s">
        <v>13</v>
      </c>
    </row>
    <row r="10" spans="2:17" thickBot="1" x14ac:dyDescent="0.3">
      <c r="B10" s="66">
        <v>9</v>
      </c>
      <c r="C10" s="67" t="s">
        <v>682</v>
      </c>
      <c r="D10" s="67" t="s">
        <v>1650</v>
      </c>
      <c r="E10" s="67">
        <v>28</v>
      </c>
      <c r="F10" s="67">
        <v>33</v>
      </c>
      <c r="G10" s="67">
        <v>8</v>
      </c>
      <c r="H10" s="67" t="s">
        <v>26</v>
      </c>
      <c r="I10" s="67"/>
      <c r="J10" s="67">
        <v>1</v>
      </c>
      <c r="M10" s="40">
        <v>1</v>
      </c>
      <c r="Q10" s="66"/>
    </row>
    <row r="11" spans="2:17" thickBot="1" x14ac:dyDescent="0.3">
      <c r="B11" s="66">
        <v>10</v>
      </c>
      <c r="C11" s="66" t="s">
        <v>1649</v>
      </c>
      <c r="D11" s="67" t="s">
        <v>271</v>
      </c>
      <c r="E11" s="67">
        <v>28</v>
      </c>
      <c r="F11" s="67">
        <v>35</v>
      </c>
      <c r="G11" s="67">
        <v>7</v>
      </c>
      <c r="H11" s="67" t="s">
        <v>26</v>
      </c>
      <c r="I11" s="67"/>
      <c r="J11" s="67">
        <v>1</v>
      </c>
      <c r="Q11" s="71"/>
    </row>
    <row r="12" spans="2:17" thickBot="1" x14ac:dyDescent="0.3">
      <c r="B12" s="66">
        <v>11</v>
      </c>
      <c r="C12" s="67" t="s">
        <v>682</v>
      </c>
      <c r="D12" s="67" t="s">
        <v>930</v>
      </c>
      <c r="E12" s="67">
        <v>28</v>
      </c>
      <c r="F12" s="67">
        <v>24</v>
      </c>
      <c r="G12" s="67">
        <v>7</v>
      </c>
      <c r="H12" s="67" t="s">
        <v>26</v>
      </c>
      <c r="I12" s="67"/>
      <c r="J12" s="67">
        <v>1</v>
      </c>
      <c r="Q12" s="168" t="s">
        <v>13</v>
      </c>
    </row>
    <row r="13" spans="2:17" thickBot="1" x14ac:dyDescent="0.3">
      <c r="B13" s="66">
        <v>12</v>
      </c>
      <c r="C13" s="67" t="s">
        <v>166</v>
      </c>
      <c r="D13" s="67" t="s">
        <v>1648</v>
      </c>
      <c r="E13" s="67">
        <v>28</v>
      </c>
      <c r="F13" s="67">
        <v>23</v>
      </c>
      <c r="G13" s="67">
        <v>7</v>
      </c>
      <c r="H13" s="67" t="s">
        <v>26</v>
      </c>
      <c r="I13" s="67"/>
      <c r="J13" s="67">
        <v>1</v>
      </c>
      <c r="Q13" s="168" t="s">
        <v>13</v>
      </c>
    </row>
    <row r="14" spans="2:17" thickBot="1" x14ac:dyDescent="0.3">
      <c r="B14" s="66">
        <v>13</v>
      </c>
      <c r="C14" s="66" t="s">
        <v>1407</v>
      </c>
      <c r="D14" s="67" t="s">
        <v>985</v>
      </c>
      <c r="E14" s="67">
        <v>28</v>
      </c>
      <c r="F14" s="67">
        <v>32</v>
      </c>
      <c r="G14" s="67">
        <v>5</v>
      </c>
      <c r="H14" s="67" t="s">
        <v>26</v>
      </c>
      <c r="I14" s="67"/>
      <c r="J14" s="67">
        <v>1</v>
      </c>
      <c r="Q14" s="168" t="s">
        <v>13</v>
      </c>
    </row>
    <row r="15" spans="2:17" thickBot="1" x14ac:dyDescent="0.3">
      <c r="B15" s="66">
        <v>14</v>
      </c>
      <c r="C15" s="67" t="s">
        <v>123</v>
      </c>
      <c r="D15" s="67" t="s">
        <v>985</v>
      </c>
      <c r="E15" s="67">
        <v>28</v>
      </c>
      <c r="F15" s="67">
        <v>18</v>
      </c>
      <c r="G15" s="67">
        <v>4</v>
      </c>
      <c r="H15" s="67" t="s">
        <v>12</v>
      </c>
      <c r="I15" s="66">
        <v>1</v>
      </c>
      <c r="J15" s="67"/>
      <c r="N15" s="41">
        <v>1</v>
      </c>
      <c r="Q15" s="66" t="s">
        <v>14</v>
      </c>
    </row>
    <row r="16" spans="2:17" thickBot="1" x14ac:dyDescent="0.3">
      <c r="B16" s="66">
        <v>15</v>
      </c>
      <c r="C16" s="67" t="s">
        <v>1647</v>
      </c>
      <c r="D16" s="67" t="s">
        <v>1646</v>
      </c>
      <c r="E16" s="67">
        <v>28</v>
      </c>
      <c r="F16" s="67"/>
      <c r="G16" s="67"/>
      <c r="H16" s="67" t="s">
        <v>12</v>
      </c>
      <c r="I16" s="66">
        <v>1</v>
      </c>
      <c r="J16" s="67"/>
      <c r="N16" s="41">
        <v>1</v>
      </c>
      <c r="Q16" s="67"/>
    </row>
    <row r="17" spans="2:17" thickBot="1" x14ac:dyDescent="0.3">
      <c r="B17" s="66">
        <v>16</v>
      </c>
      <c r="C17" s="66" t="s">
        <v>135</v>
      </c>
      <c r="D17" s="67" t="s">
        <v>515</v>
      </c>
      <c r="E17" s="67">
        <v>28</v>
      </c>
      <c r="F17" s="67">
        <v>17</v>
      </c>
      <c r="G17" s="67">
        <v>4</v>
      </c>
      <c r="H17" s="67" t="s">
        <v>26</v>
      </c>
      <c r="I17" s="67"/>
      <c r="J17" s="67">
        <v>1</v>
      </c>
      <c r="M17" s="40">
        <v>1</v>
      </c>
      <c r="Q17" s="71"/>
    </row>
    <row r="18" spans="2:17" thickBot="1" x14ac:dyDescent="0.3">
      <c r="B18" s="66">
        <v>17</v>
      </c>
      <c r="C18" s="67" t="s">
        <v>1055</v>
      </c>
      <c r="D18" s="67" t="s">
        <v>279</v>
      </c>
      <c r="E18" s="67">
        <v>28</v>
      </c>
      <c r="F18" s="67">
        <v>18</v>
      </c>
      <c r="G18" s="67">
        <v>4</v>
      </c>
      <c r="H18" s="67" t="s">
        <v>26</v>
      </c>
      <c r="I18" s="67"/>
      <c r="J18" s="67">
        <v>1</v>
      </c>
      <c r="Q18" s="168" t="s">
        <v>13</v>
      </c>
    </row>
    <row r="19" spans="2:17" thickBot="1" x14ac:dyDescent="0.3">
      <c r="B19" s="66">
        <v>18</v>
      </c>
      <c r="C19" s="67" t="s">
        <v>1645</v>
      </c>
      <c r="D19" s="67" t="s">
        <v>532</v>
      </c>
      <c r="E19" s="67">
        <v>28</v>
      </c>
      <c r="F19" s="67">
        <v>26</v>
      </c>
      <c r="G19" s="67">
        <v>4</v>
      </c>
      <c r="H19" s="67" t="s">
        <v>26</v>
      </c>
      <c r="I19" s="67"/>
      <c r="J19" s="67">
        <v>1</v>
      </c>
      <c r="Q19" s="168" t="s">
        <v>13</v>
      </c>
    </row>
    <row r="20" spans="2:17" thickBot="1" x14ac:dyDescent="0.3">
      <c r="B20" s="66">
        <v>19</v>
      </c>
      <c r="C20" s="66" t="s">
        <v>280</v>
      </c>
      <c r="D20" s="67" t="s">
        <v>1644</v>
      </c>
      <c r="E20" s="67">
        <v>28</v>
      </c>
      <c r="F20" s="67">
        <v>28</v>
      </c>
      <c r="G20" s="67">
        <v>4</v>
      </c>
      <c r="H20" s="67" t="s">
        <v>26</v>
      </c>
      <c r="I20" s="67"/>
      <c r="J20" s="67">
        <v>1</v>
      </c>
      <c r="M20" s="40">
        <v>1</v>
      </c>
      <c r="Q20" s="72"/>
    </row>
    <row r="21" spans="2:17" thickBot="1" x14ac:dyDescent="0.3">
      <c r="B21" s="66">
        <v>20</v>
      </c>
      <c r="C21" s="67" t="s">
        <v>131</v>
      </c>
      <c r="D21" s="67" t="s">
        <v>542</v>
      </c>
      <c r="E21" s="67">
        <v>28</v>
      </c>
      <c r="F21" s="67">
        <v>31</v>
      </c>
      <c r="G21" s="67">
        <v>4</v>
      </c>
      <c r="H21" s="67" t="s">
        <v>26</v>
      </c>
      <c r="I21" s="67"/>
      <c r="J21" s="67">
        <v>1</v>
      </c>
      <c r="Q21" s="168" t="s">
        <v>13</v>
      </c>
    </row>
    <row r="22" spans="2:17" thickBot="1" x14ac:dyDescent="0.3">
      <c r="B22" s="66">
        <v>21</v>
      </c>
      <c r="C22" s="67" t="s">
        <v>135</v>
      </c>
      <c r="D22" s="67" t="s">
        <v>836</v>
      </c>
      <c r="E22" s="67">
        <v>28</v>
      </c>
      <c r="F22" s="67">
        <v>33</v>
      </c>
      <c r="G22" s="67">
        <v>4</v>
      </c>
      <c r="H22" s="67" t="s">
        <v>26</v>
      </c>
      <c r="I22" s="67"/>
      <c r="J22" s="67">
        <v>1</v>
      </c>
      <c r="Q22" s="66"/>
    </row>
    <row r="23" spans="2:17" thickBot="1" x14ac:dyDescent="0.3">
      <c r="B23" s="66">
        <v>22</v>
      </c>
      <c r="C23" s="66" t="s">
        <v>143</v>
      </c>
      <c r="D23" s="67" t="s">
        <v>1141</v>
      </c>
      <c r="E23" s="67">
        <v>28</v>
      </c>
      <c r="F23" s="67"/>
      <c r="G23" s="67"/>
      <c r="H23" s="67" t="s">
        <v>26</v>
      </c>
      <c r="I23" s="67"/>
      <c r="J23" s="67">
        <v>1</v>
      </c>
      <c r="Q23" s="67"/>
    </row>
    <row r="24" spans="2:17" thickBot="1" x14ac:dyDescent="0.3">
      <c r="B24" s="66">
        <v>23</v>
      </c>
      <c r="C24" s="67" t="s">
        <v>712</v>
      </c>
      <c r="D24" s="67" t="s">
        <v>1643</v>
      </c>
      <c r="E24" s="67">
        <v>28</v>
      </c>
      <c r="F24" s="67">
        <v>31</v>
      </c>
      <c r="G24" s="67">
        <v>3</v>
      </c>
      <c r="H24" s="67" t="s">
        <v>26</v>
      </c>
      <c r="I24" s="67"/>
      <c r="J24" s="67">
        <v>1</v>
      </c>
      <c r="Q24" s="67"/>
    </row>
    <row r="25" spans="2:17" thickBot="1" x14ac:dyDescent="0.3">
      <c r="B25" s="66">
        <v>24</v>
      </c>
      <c r="C25" s="67" t="s">
        <v>1642</v>
      </c>
      <c r="D25" s="67" t="s">
        <v>1641</v>
      </c>
      <c r="E25" s="67">
        <v>28</v>
      </c>
      <c r="F25" s="67">
        <v>30</v>
      </c>
      <c r="G25" s="67">
        <v>3</v>
      </c>
      <c r="H25" s="67" t="s">
        <v>26</v>
      </c>
      <c r="I25" s="66">
        <v>0</v>
      </c>
      <c r="J25" s="67">
        <v>1</v>
      </c>
      <c r="M25" s="40">
        <v>1</v>
      </c>
      <c r="N25" s="41">
        <v>0</v>
      </c>
      <c r="O25" s="41">
        <v>0</v>
      </c>
      <c r="Q25" s="67"/>
    </row>
    <row r="26" spans="2:17" thickBot="1" x14ac:dyDescent="0.3">
      <c r="B26" s="66">
        <v>25</v>
      </c>
      <c r="C26" s="66" t="s">
        <v>1640</v>
      </c>
      <c r="D26" s="67" t="s">
        <v>1639</v>
      </c>
      <c r="E26" s="67">
        <v>28</v>
      </c>
      <c r="F26" s="67">
        <v>11</v>
      </c>
      <c r="G26" s="67">
        <v>2</v>
      </c>
      <c r="H26" s="67" t="s">
        <v>26</v>
      </c>
      <c r="I26" s="67"/>
      <c r="J26" s="67">
        <v>1</v>
      </c>
      <c r="M26" s="40">
        <v>1</v>
      </c>
      <c r="Q26" s="67"/>
    </row>
    <row r="27" spans="2:17" thickBot="1" x14ac:dyDescent="0.3">
      <c r="B27" s="66">
        <v>26</v>
      </c>
      <c r="C27" s="67" t="s">
        <v>132</v>
      </c>
      <c r="D27" s="67" t="s">
        <v>1421</v>
      </c>
      <c r="E27" s="67">
        <v>28</v>
      </c>
      <c r="F27" s="67">
        <v>33</v>
      </c>
      <c r="G27" s="67">
        <v>2</v>
      </c>
      <c r="H27" s="67" t="s">
        <v>26</v>
      </c>
      <c r="I27" s="66">
        <v>0</v>
      </c>
      <c r="J27" s="67">
        <v>1</v>
      </c>
      <c r="M27" s="40">
        <v>1</v>
      </c>
      <c r="Q27" s="67"/>
    </row>
    <row r="28" spans="2:17" thickBot="1" x14ac:dyDescent="0.3">
      <c r="B28" s="66">
        <v>27</v>
      </c>
      <c r="C28" s="67" t="s">
        <v>135</v>
      </c>
      <c r="D28" s="67" t="s">
        <v>732</v>
      </c>
      <c r="E28" s="67">
        <v>28</v>
      </c>
      <c r="F28" s="67">
        <v>29</v>
      </c>
      <c r="G28" s="67">
        <v>2</v>
      </c>
      <c r="H28" s="67" t="s">
        <v>12</v>
      </c>
      <c r="I28" s="66">
        <v>1</v>
      </c>
      <c r="J28" s="67"/>
      <c r="N28" s="41">
        <v>1</v>
      </c>
      <c r="Q28" s="71"/>
    </row>
    <row r="29" spans="2:17" thickBot="1" x14ac:dyDescent="0.3">
      <c r="B29" s="66">
        <v>28</v>
      </c>
      <c r="C29" s="66" t="s">
        <v>132</v>
      </c>
      <c r="D29" s="67" t="s">
        <v>1638</v>
      </c>
      <c r="E29" s="67">
        <v>28</v>
      </c>
      <c r="F29" s="67">
        <v>19</v>
      </c>
      <c r="G29" s="67">
        <v>2</v>
      </c>
      <c r="H29" s="67" t="s">
        <v>26</v>
      </c>
      <c r="I29" s="67"/>
      <c r="J29" s="67">
        <v>1</v>
      </c>
      <c r="Q29" s="168" t="s">
        <v>13</v>
      </c>
    </row>
    <row r="30" spans="2:17" thickBot="1" x14ac:dyDescent="0.3">
      <c r="B30" s="66">
        <v>29</v>
      </c>
      <c r="C30" s="67" t="s">
        <v>1637</v>
      </c>
      <c r="D30" s="67" t="s">
        <v>3311</v>
      </c>
      <c r="E30" s="67">
        <v>28</v>
      </c>
      <c r="F30" s="67">
        <v>8</v>
      </c>
      <c r="G30" s="67">
        <v>1</v>
      </c>
      <c r="H30" s="67" t="s">
        <v>26</v>
      </c>
      <c r="I30" s="67"/>
      <c r="J30" s="67">
        <v>1</v>
      </c>
      <c r="M30" s="40">
        <v>1</v>
      </c>
      <c r="Q30" s="72"/>
    </row>
    <row r="31" spans="2:17" thickBot="1" x14ac:dyDescent="0.3">
      <c r="B31" s="66">
        <v>30</v>
      </c>
      <c r="C31" s="67" t="s">
        <v>1553</v>
      </c>
      <c r="D31" s="67" t="s">
        <v>271</v>
      </c>
      <c r="E31" s="67">
        <v>28</v>
      </c>
      <c r="F31" s="67">
        <v>27</v>
      </c>
      <c r="G31" s="67">
        <v>1</v>
      </c>
      <c r="H31" s="67" t="s">
        <v>26</v>
      </c>
      <c r="I31" s="67"/>
      <c r="J31" s="67">
        <v>1</v>
      </c>
      <c r="Q31" s="168" t="s">
        <v>13</v>
      </c>
    </row>
    <row r="32" spans="2:17" thickBot="1" x14ac:dyDescent="0.3">
      <c r="B32" s="66">
        <v>31</v>
      </c>
      <c r="C32" s="66" t="s">
        <v>135</v>
      </c>
      <c r="D32" s="67" t="s">
        <v>1636</v>
      </c>
      <c r="E32" s="67">
        <v>28</v>
      </c>
      <c r="F32" s="67">
        <v>23</v>
      </c>
      <c r="G32" s="67">
        <v>2</v>
      </c>
      <c r="H32" s="67" t="s">
        <v>26</v>
      </c>
      <c r="I32" s="67"/>
      <c r="J32" s="67">
        <v>1</v>
      </c>
      <c r="Q32" s="168" t="s">
        <v>13</v>
      </c>
    </row>
    <row r="33" spans="2:17" thickBot="1" x14ac:dyDescent="0.3">
      <c r="B33" s="66">
        <v>32</v>
      </c>
      <c r="C33" s="67" t="s">
        <v>217</v>
      </c>
      <c r="D33" s="67" t="s">
        <v>1635</v>
      </c>
      <c r="E33" s="67">
        <v>28</v>
      </c>
      <c r="F33" s="67">
        <v>5</v>
      </c>
      <c r="G33" s="67">
        <v>1</v>
      </c>
      <c r="H33" s="67" t="s">
        <v>26</v>
      </c>
      <c r="I33" s="66">
        <v>0</v>
      </c>
      <c r="J33" s="67">
        <v>1</v>
      </c>
      <c r="M33" s="40">
        <v>1</v>
      </c>
      <c r="N33" s="41">
        <v>0</v>
      </c>
      <c r="Q33" s="66"/>
    </row>
    <row r="34" spans="2:17" thickBot="1" x14ac:dyDescent="0.3">
      <c r="B34" s="66">
        <v>33</v>
      </c>
      <c r="C34" s="67" t="s">
        <v>128</v>
      </c>
      <c r="D34" s="67" t="s">
        <v>1634</v>
      </c>
      <c r="E34" s="67">
        <v>28</v>
      </c>
      <c r="F34" s="67">
        <v>20</v>
      </c>
      <c r="G34" s="67">
        <v>1</v>
      </c>
      <c r="H34" s="67" t="s">
        <v>26</v>
      </c>
      <c r="I34" s="66">
        <v>0</v>
      </c>
      <c r="J34" s="67">
        <v>1</v>
      </c>
      <c r="M34" s="40">
        <v>1</v>
      </c>
      <c r="N34" s="41">
        <v>0</v>
      </c>
      <c r="Q34" s="67"/>
    </row>
    <row r="35" spans="2:17" thickBot="1" x14ac:dyDescent="0.3">
      <c r="B35" s="66">
        <v>34</v>
      </c>
      <c r="C35" s="66" t="s">
        <v>1633</v>
      </c>
      <c r="D35" s="67" t="s">
        <v>1632</v>
      </c>
      <c r="E35" s="67">
        <v>28</v>
      </c>
      <c r="F35" s="67">
        <v>21</v>
      </c>
      <c r="G35" s="67">
        <v>1</v>
      </c>
      <c r="H35" s="67" t="s">
        <v>26</v>
      </c>
      <c r="I35" s="67"/>
      <c r="J35" s="67">
        <v>1</v>
      </c>
      <c r="Q35" s="67"/>
    </row>
    <row r="36" spans="2:17" thickBot="1" x14ac:dyDescent="0.3">
      <c r="B36" s="66">
        <v>35</v>
      </c>
      <c r="C36" s="67" t="s">
        <v>132</v>
      </c>
      <c r="D36" s="67" t="s">
        <v>1631</v>
      </c>
      <c r="E36" s="67">
        <v>28</v>
      </c>
      <c r="F36" s="67">
        <v>11</v>
      </c>
      <c r="G36" s="67">
        <v>1</v>
      </c>
      <c r="H36" s="67" t="s">
        <v>26</v>
      </c>
      <c r="I36" s="66">
        <v>0</v>
      </c>
      <c r="J36" s="67">
        <v>1</v>
      </c>
      <c r="M36" s="40">
        <v>1</v>
      </c>
      <c r="N36" s="41">
        <v>0</v>
      </c>
      <c r="Q36" s="67"/>
    </row>
    <row r="37" spans="2:17" thickBot="1" x14ac:dyDescent="0.3">
      <c r="B37" s="66">
        <v>36</v>
      </c>
      <c r="C37" s="66" t="s">
        <v>123</v>
      </c>
      <c r="D37" s="67" t="s">
        <v>742</v>
      </c>
      <c r="E37" s="67">
        <v>28</v>
      </c>
      <c r="F37" s="67">
        <v>16</v>
      </c>
      <c r="G37" s="67">
        <v>4</v>
      </c>
      <c r="H37" s="67" t="s">
        <v>26</v>
      </c>
      <c r="I37" s="67"/>
      <c r="J37" s="67">
        <v>1</v>
      </c>
      <c r="M37" s="40">
        <v>1</v>
      </c>
      <c r="Q37" s="67"/>
    </row>
    <row r="38" spans="2:17" thickBot="1" x14ac:dyDescent="0.3">
      <c r="B38" s="66">
        <v>37</v>
      </c>
      <c r="C38" s="67" t="s">
        <v>1194</v>
      </c>
      <c r="D38" s="67" t="s">
        <v>1629</v>
      </c>
      <c r="E38" s="67">
        <v>28</v>
      </c>
      <c r="F38" s="67">
        <v>28</v>
      </c>
      <c r="G38" s="67">
        <v>7</v>
      </c>
      <c r="H38" s="67" t="s">
        <v>26</v>
      </c>
      <c r="I38" s="67"/>
      <c r="J38" s="67">
        <v>1</v>
      </c>
      <c r="M38" s="40">
        <v>1</v>
      </c>
      <c r="Q38" s="67" t="s">
        <v>14</v>
      </c>
    </row>
    <row r="39" spans="2:17" thickBot="1" x14ac:dyDescent="0.3">
      <c r="B39" s="66">
        <v>38</v>
      </c>
      <c r="C39" s="67" t="s">
        <v>131</v>
      </c>
      <c r="D39" s="67" t="s">
        <v>1628</v>
      </c>
      <c r="E39" s="67">
        <v>28</v>
      </c>
      <c r="F39" s="67">
        <v>57</v>
      </c>
      <c r="G39" s="67">
        <v>3</v>
      </c>
      <c r="H39" s="67" t="s">
        <v>26</v>
      </c>
      <c r="I39" s="67"/>
      <c r="J39" s="67">
        <v>1</v>
      </c>
      <c r="Q39" s="67"/>
    </row>
    <row r="40" spans="2:17" thickBot="1" x14ac:dyDescent="0.3">
      <c r="B40" s="66">
        <v>39</v>
      </c>
      <c r="C40" s="66" t="s">
        <v>815</v>
      </c>
      <c r="D40" s="67" t="s">
        <v>1627</v>
      </c>
      <c r="E40" s="67">
        <v>28</v>
      </c>
      <c r="F40" s="67">
        <v>51</v>
      </c>
      <c r="G40" s="67">
        <v>2</v>
      </c>
      <c r="H40" s="67" t="s">
        <v>26</v>
      </c>
      <c r="I40" s="67"/>
      <c r="J40" s="67">
        <v>1</v>
      </c>
      <c r="Q40" s="67"/>
    </row>
    <row r="41" spans="2:17" thickBot="1" x14ac:dyDescent="0.3">
      <c r="B41" s="66">
        <v>40</v>
      </c>
      <c r="C41" s="67" t="s">
        <v>135</v>
      </c>
      <c r="D41" s="67" t="s">
        <v>1626</v>
      </c>
      <c r="E41" s="67">
        <v>28</v>
      </c>
      <c r="F41" s="67">
        <v>52</v>
      </c>
      <c r="G41" s="67">
        <v>2</v>
      </c>
      <c r="H41" s="67" t="s">
        <v>26</v>
      </c>
      <c r="I41" s="67"/>
      <c r="J41" s="67">
        <v>1</v>
      </c>
      <c r="Q41" s="67"/>
    </row>
    <row r="42" spans="2:17" thickBot="1" x14ac:dyDescent="0.3">
      <c r="B42" s="66">
        <v>41</v>
      </c>
      <c r="C42" s="67" t="s">
        <v>812</v>
      </c>
      <c r="D42" s="67" t="s">
        <v>1625</v>
      </c>
      <c r="E42" s="67">
        <v>28</v>
      </c>
      <c r="F42" s="67">
        <v>57</v>
      </c>
      <c r="G42" s="67">
        <v>3</v>
      </c>
      <c r="H42" s="67" t="s">
        <v>26</v>
      </c>
      <c r="I42" s="67"/>
      <c r="J42" s="67">
        <v>1</v>
      </c>
      <c r="Q42" s="67"/>
    </row>
    <row r="43" spans="2:17" thickBot="1" x14ac:dyDescent="0.3">
      <c r="B43" s="66">
        <v>42</v>
      </c>
      <c r="C43" s="66" t="s">
        <v>135</v>
      </c>
      <c r="D43" s="67" t="s">
        <v>1624</v>
      </c>
      <c r="E43" s="67">
        <v>28</v>
      </c>
      <c r="F43" s="67">
        <v>58</v>
      </c>
      <c r="G43" s="67">
        <v>3</v>
      </c>
      <c r="H43" s="67" t="s">
        <v>26</v>
      </c>
      <c r="I43" s="67"/>
      <c r="J43" s="67">
        <v>1</v>
      </c>
      <c r="Q43" s="67"/>
    </row>
    <row r="44" spans="2:17" thickBot="1" x14ac:dyDescent="0.3">
      <c r="B44" s="66">
        <v>43</v>
      </c>
      <c r="C44" s="67" t="s">
        <v>132</v>
      </c>
      <c r="D44" s="67" t="s">
        <v>1623</v>
      </c>
      <c r="E44" s="67">
        <v>28</v>
      </c>
      <c r="F44" s="67">
        <v>52</v>
      </c>
      <c r="G44" s="67">
        <v>4</v>
      </c>
      <c r="H44" s="67" t="s">
        <v>26</v>
      </c>
      <c r="I44" s="67"/>
      <c r="J44" s="67">
        <v>1</v>
      </c>
      <c r="Q44" s="67"/>
    </row>
    <row r="45" spans="2:17" thickBot="1" x14ac:dyDescent="0.3">
      <c r="B45" s="66">
        <v>44</v>
      </c>
      <c r="C45" s="67" t="s">
        <v>125</v>
      </c>
      <c r="D45" s="67" t="s">
        <v>1622</v>
      </c>
      <c r="E45" s="67">
        <v>28</v>
      </c>
      <c r="F45" s="67">
        <v>43</v>
      </c>
      <c r="G45" s="67">
        <v>5</v>
      </c>
      <c r="H45" s="67" t="s">
        <v>26</v>
      </c>
      <c r="I45" s="67"/>
      <c r="J45" s="67">
        <v>1</v>
      </c>
      <c r="Q45" s="67"/>
    </row>
    <row r="46" spans="2:17" thickBot="1" x14ac:dyDescent="0.3">
      <c r="B46" s="66">
        <v>45</v>
      </c>
      <c r="C46" s="66" t="s">
        <v>1621</v>
      </c>
      <c r="D46" s="67" t="s">
        <v>1620</v>
      </c>
      <c r="E46" s="67">
        <v>28</v>
      </c>
      <c r="F46" s="67">
        <v>40</v>
      </c>
      <c r="G46" s="67">
        <v>8</v>
      </c>
      <c r="H46" s="67" t="s">
        <v>118</v>
      </c>
      <c r="I46" s="67"/>
      <c r="J46" s="67"/>
      <c r="Q46" s="67" t="s">
        <v>442</v>
      </c>
    </row>
    <row r="47" spans="2:17" thickBot="1" x14ac:dyDescent="0.3">
      <c r="B47" s="66">
        <v>46</v>
      </c>
      <c r="C47" s="67" t="s">
        <v>1619</v>
      </c>
      <c r="D47" s="67" t="s">
        <v>1618</v>
      </c>
      <c r="E47" s="67">
        <v>28</v>
      </c>
      <c r="F47" s="67">
        <v>42</v>
      </c>
      <c r="G47" s="67">
        <v>8</v>
      </c>
      <c r="H47" s="67" t="s">
        <v>12</v>
      </c>
      <c r="I47" s="66">
        <v>1</v>
      </c>
      <c r="J47" s="67"/>
      <c r="N47" s="41">
        <v>1</v>
      </c>
      <c r="Q47" s="67"/>
    </row>
    <row r="48" spans="2:17" thickBot="1" x14ac:dyDescent="0.3">
      <c r="B48" s="66">
        <v>47</v>
      </c>
      <c r="C48" s="67" t="s">
        <v>1617</v>
      </c>
      <c r="D48" s="67" t="s">
        <v>1616</v>
      </c>
      <c r="E48" s="67">
        <v>28</v>
      </c>
      <c r="F48" s="67">
        <v>46</v>
      </c>
      <c r="G48" s="67">
        <v>8</v>
      </c>
      <c r="H48" s="67" t="s">
        <v>12</v>
      </c>
      <c r="I48" s="66">
        <v>1</v>
      </c>
      <c r="J48" s="67"/>
      <c r="N48" s="41">
        <v>1</v>
      </c>
      <c r="Q48" s="67"/>
    </row>
    <row r="49" spans="2:17" thickBot="1" x14ac:dyDescent="0.3">
      <c r="B49" s="66">
        <v>48</v>
      </c>
      <c r="C49" s="66" t="s">
        <v>123</v>
      </c>
      <c r="D49" s="67" t="s">
        <v>1615</v>
      </c>
      <c r="E49" s="67">
        <v>28</v>
      </c>
      <c r="F49" s="67">
        <v>49</v>
      </c>
      <c r="G49" s="67">
        <v>8</v>
      </c>
      <c r="H49" s="67" t="s">
        <v>12</v>
      </c>
      <c r="I49" s="66">
        <v>1</v>
      </c>
      <c r="J49" s="67"/>
      <c r="N49" s="41">
        <v>1</v>
      </c>
      <c r="Q49" s="67"/>
    </row>
    <row r="50" spans="2:17" thickBot="1" x14ac:dyDescent="0.3">
      <c r="B50" s="66">
        <v>49</v>
      </c>
      <c r="C50" s="67" t="s">
        <v>600</v>
      </c>
      <c r="D50" s="67" t="s">
        <v>6</v>
      </c>
      <c r="E50" s="67">
        <v>28</v>
      </c>
      <c r="F50" s="67">
        <v>52</v>
      </c>
      <c r="G50" s="67">
        <v>9</v>
      </c>
      <c r="H50" s="67" t="s">
        <v>26</v>
      </c>
      <c r="I50" s="67"/>
      <c r="J50" s="67">
        <v>1</v>
      </c>
      <c r="Q50" s="67"/>
    </row>
    <row r="51" spans="2:17" thickBot="1" x14ac:dyDescent="0.3">
      <c r="B51" s="66">
        <v>50</v>
      </c>
      <c r="C51" s="67" t="s">
        <v>712</v>
      </c>
      <c r="D51" s="67" t="s">
        <v>999</v>
      </c>
      <c r="E51" s="67">
        <v>28</v>
      </c>
      <c r="F51" s="67">
        <v>38</v>
      </c>
      <c r="G51" s="67">
        <v>10</v>
      </c>
      <c r="H51" s="67" t="s">
        <v>26</v>
      </c>
      <c r="I51" s="66">
        <v>0</v>
      </c>
      <c r="J51" s="67">
        <v>1</v>
      </c>
      <c r="M51" s="40">
        <v>1</v>
      </c>
      <c r="P51" s="41">
        <v>0</v>
      </c>
      <c r="Q51" s="67"/>
    </row>
    <row r="52" spans="2:17" thickBot="1" x14ac:dyDescent="0.3">
      <c r="B52" s="66">
        <v>51</v>
      </c>
      <c r="C52" s="66" t="s">
        <v>662</v>
      </c>
      <c r="D52" s="84" t="s">
        <v>1614</v>
      </c>
      <c r="E52" s="84">
        <v>28</v>
      </c>
      <c r="F52" s="84">
        <v>55</v>
      </c>
      <c r="G52" s="84">
        <v>2</v>
      </c>
      <c r="H52" s="67" t="s">
        <v>26</v>
      </c>
      <c r="I52" s="67"/>
      <c r="J52" s="67">
        <v>1</v>
      </c>
      <c r="Q52" s="67"/>
    </row>
    <row r="53" spans="2:17" thickBot="1" x14ac:dyDescent="0.3">
      <c r="B53" s="66">
        <v>52</v>
      </c>
      <c r="C53" s="67" t="s">
        <v>1613</v>
      </c>
      <c r="D53" s="84" t="s">
        <v>1612</v>
      </c>
      <c r="E53" s="84">
        <v>28</v>
      </c>
      <c r="F53" s="84">
        <v>58</v>
      </c>
      <c r="G53" s="84">
        <v>2</v>
      </c>
      <c r="H53" s="67" t="s">
        <v>12</v>
      </c>
      <c r="I53" s="66">
        <v>1</v>
      </c>
      <c r="J53" s="67"/>
      <c r="N53" s="41">
        <v>1</v>
      </c>
      <c r="Q53" s="67"/>
    </row>
    <row r="54" spans="2:17" thickBot="1" x14ac:dyDescent="0.3">
      <c r="B54" s="66">
        <v>53</v>
      </c>
      <c r="C54" s="67" t="s">
        <v>131</v>
      </c>
      <c r="D54" s="84" t="s">
        <v>1611</v>
      </c>
      <c r="E54" s="84">
        <v>28</v>
      </c>
      <c r="F54" s="84">
        <v>49</v>
      </c>
      <c r="G54" s="84">
        <v>10</v>
      </c>
      <c r="H54" s="67" t="s">
        <v>12</v>
      </c>
      <c r="I54" s="66">
        <v>1</v>
      </c>
      <c r="J54" s="67"/>
      <c r="N54" s="41">
        <v>1</v>
      </c>
      <c r="Q54" s="67"/>
    </row>
    <row r="55" spans="2:17" thickBot="1" x14ac:dyDescent="0.3">
      <c r="B55" s="66">
        <v>54</v>
      </c>
      <c r="C55" s="66" t="s">
        <v>1286</v>
      </c>
      <c r="D55" s="67" t="s">
        <v>999</v>
      </c>
      <c r="E55" s="67">
        <v>28</v>
      </c>
      <c r="F55" s="67">
        <v>75</v>
      </c>
      <c r="G55" s="67">
        <v>10</v>
      </c>
      <c r="H55" s="67" t="s">
        <v>12</v>
      </c>
      <c r="I55" s="66">
        <v>1</v>
      </c>
      <c r="J55" s="67"/>
      <c r="N55" s="41">
        <v>1</v>
      </c>
      <c r="Q55" s="67"/>
    </row>
    <row r="56" spans="2:17" thickBot="1" x14ac:dyDescent="0.3">
      <c r="B56" s="66">
        <v>55</v>
      </c>
      <c r="C56" s="67" t="s">
        <v>1414</v>
      </c>
      <c r="D56" s="67" t="s">
        <v>1610</v>
      </c>
      <c r="E56" s="67">
        <v>28</v>
      </c>
      <c r="F56" s="67">
        <v>78</v>
      </c>
      <c r="G56" s="67">
        <v>10</v>
      </c>
      <c r="H56" s="67" t="s">
        <v>12</v>
      </c>
      <c r="I56" s="66">
        <v>1</v>
      </c>
      <c r="J56" s="67"/>
      <c r="N56" s="41">
        <v>1</v>
      </c>
      <c r="Q56" s="67" t="s">
        <v>14</v>
      </c>
    </row>
    <row r="57" spans="2:17" thickBot="1" x14ac:dyDescent="0.3">
      <c r="B57" s="66">
        <v>56</v>
      </c>
      <c r="C57" s="67" t="s">
        <v>1609</v>
      </c>
      <c r="D57" s="67" t="s">
        <v>1608</v>
      </c>
      <c r="E57" s="67">
        <v>28</v>
      </c>
      <c r="F57" s="67">
        <v>83</v>
      </c>
      <c r="G57" s="67">
        <v>10</v>
      </c>
      <c r="H57" s="67" t="s">
        <v>12</v>
      </c>
      <c r="I57" s="66">
        <v>1</v>
      </c>
      <c r="J57" s="67"/>
      <c r="N57" s="41">
        <v>1</v>
      </c>
      <c r="Q57" s="67"/>
    </row>
    <row r="58" spans="2:17" thickBot="1" x14ac:dyDescent="0.3">
      <c r="B58" s="66">
        <v>57</v>
      </c>
      <c r="C58" s="66" t="s">
        <v>138</v>
      </c>
      <c r="D58" s="67" t="s">
        <v>1607</v>
      </c>
      <c r="E58" s="67">
        <v>28</v>
      </c>
      <c r="F58" s="67">
        <v>84</v>
      </c>
      <c r="G58" s="67">
        <v>9</v>
      </c>
      <c r="H58" s="67" t="s">
        <v>26</v>
      </c>
      <c r="I58" s="67"/>
      <c r="J58" s="67">
        <v>1</v>
      </c>
      <c r="M58" s="40">
        <v>1</v>
      </c>
      <c r="Q58" s="67" t="s">
        <v>2957</v>
      </c>
    </row>
    <row r="59" spans="2:17" thickBot="1" x14ac:dyDescent="0.3">
      <c r="B59" s="66">
        <v>58</v>
      </c>
      <c r="C59" s="67" t="s">
        <v>123</v>
      </c>
      <c r="D59" s="67" t="s">
        <v>1081</v>
      </c>
      <c r="E59" s="67">
        <v>28</v>
      </c>
      <c r="F59" s="67">
        <v>80</v>
      </c>
      <c r="G59" s="67">
        <v>9</v>
      </c>
      <c r="H59" s="67" t="s">
        <v>26</v>
      </c>
      <c r="I59" s="67"/>
      <c r="J59" s="67">
        <v>1</v>
      </c>
      <c r="M59" s="40">
        <v>1</v>
      </c>
      <c r="Q59" s="67" t="s">
        <v>13</v>
      </c>
    </row>
    <row r="60" spans="2:17" thickBot="1" x14ac:dyDescent="0.3">
      <c r="B60" s="66">
        <v>59</v>
      </c>
      <c r="C60" s="67" t="s">
        <v>154</v>
      </c>
      <c r="D60" s="67" t="s">
        <v>515</v>
      </c>
      <c r="E60" s="67">
        <v>28</v>
      </c>
      <c r="F60" s="67">
        <v>75</v>
      </c>
      <c r="G60" s="67">
        <v>9</v>
      </c>
      <c r="H60" s="67" t="s">
        <v>26</v>
      </c>
      <c r="I60" s="67"/>
      <c r="J60" s="67">
        <v>1</v>
      </c>
      <c r="M60" s="40">
        <v>1</v>
      </c>
      <c r="Q60" s="67" t="s">
        <v>13</v>
      </c>
    </row>
    <row r="61" spans="2:17" thickBot="1" x14ac:dyDescent="0.3">
      <c r="B61" s="66">
        <v>60</v>
      </c>
      <c r="C61" s="66" t="s">
        <v>646</v>
      </c>
      <c r="D61" s="67" t="s">
        <v>1679</v>
      </c>
      <c r="E61" s="67">
        <v>28</v>
      </c>
      <c r="F61" s="68">
        <v>74</v>
      </c>
      <c r="G61" s="68">
        <v>9</v>
      </c>
      <c r="H61" s="67" t="s">
        <v>26</v>
      </c>
      <c r="I61" s="67"/>
      <c r="J61" s="67">
        <v>1</v>
      </c>
      <c r="M61" s="40">
        <v>1</v>
      </c>
      <c r="Q61" s="67"/>
    </row>
    <row r="62" spans="2:17" thickBot="1" x14ac:dyDescent="0.3">
      <c r="B62" s="66">
        <v>61</v>
      </c>
      <c r="C62" s="67" t="s">
        <v>600</v>
      </c>
      <c r="D62" s="67" t="s">
        <v>6</v>
      </c>
      <c r="E62" s="67">
        <v>28</v>
      </c>
      <c r="F62" s="67">
        <v>67</v>
      </c>
      <c r="G62" s="67">
        <v>8</v>
      </c>
      <c r="H62" s="67" t="s">
        <v>118</v>
      </c>
      <c r="I62" s="67"/>
      <c r="J62" s="67"/>
      <c r="Q62" s="67" t="s">
        <v>442</v>
      </c>
    </row>
    <row r="63" spans="2:17" thickBot="1" x14ac:dyDescent="0.3">
      <c r="B63" s="66">
        <v>62</v>
      </c>
      <c r="C63" s="67" t="s">
        <v>138</v>
      </c>
      <c r="D63" s="67" t="s">
        <v>1678</v>
      </c>
      <c r="E63" s="67">
        <v>28</v>
      </c>
      <c r="F63" s="67">
        <v>67</v>
      </c>
      <c r="G63" s="67">
        <v>7</v>
      </c>
      <c r="H63" s="67" t="s">
        <v>26</v>
      </c>
      <c r="I63" s="67"/>
      <c r="J63" s="67">
        <v>1</v>
      </c>
      <c r="M63" s="40">
        <v>1</v>
      </c>
      <c r="Q63" s="67" t="s">
        <v>2957</v>
      </c>
    </row>
    <row r="64" spans="2:17" thickBot="1" x14ac:dyDescent="0.3">
      <c r="B64" s="66">
        <v>63</v>
      </c>
      <c r="C64" s="66" t="s">
        <v>123</v>
      </c>
      <c r="D64" s="67" t="s">
        <v>999</v>
      </c>
      <c r="E64" s="67">
        <v>28</v>
      </c>
      <c r="F64" s="67">
        <v>81</v>
      </c>
      <c r="G64" s="67">
        <v>5</v>
      </c>
      <c r="H64" s="67" t="s">
        <v>26</v>
      </c>
      <c r="I64" s="67"/>
      <c r="J64" s="67">
        <v>1</v>
      </c>
      <c r="M64" s="40">
        <v>1</v>
      </c>
      <c r="Q64" s="67" t="s">
        <v>13</v>
      </c>
    </row>
    <row r="65" spans="2:17" thickBot="1" x14ac:dyDescent="0.3">
      <c r="B65" s="66">
        <v>64</v>
      </c>
      <c r="C65" s="67" t="s">
        <v>284</v>
      </c>
      <c r="D65" s="67" t="s">
        <v>542</v>
      </c>
      <c r="E65" s="67">
        <v>28</v>
      </c>
      <c r="F65" s="67">
        <v>78</v>
      </c>
      <c r="G65" s="67">
        <v>5</v>
      </c>
      <c r="H65" s="67" t="s">
        <v>26</v>
      </c>
      <c r="I65" s="67"/>
      <c r="J65" s="67">
        <v>1</v>
      </c>
      <c r="M65" s="40">
        <v>1</v>
      </c>
      <c r="Q65" s="67"/>
    </row>
    <row r="66" spans="2:17" thickBot="1" x14ac:dyDescent="0.3">
      <c r="B66" s="66">
        <v>65</v>
      </c>
      <c r="C66" s="67" t="s">
        <v>296</v>
      </c>
      <c r="D66" s="67" t="s">
        <v>1677</v>
      </c>
      <c r="E66" s="67">
        <v>28</v>
      </c>
      <c r="F66" s="67">
        <v>62</v>
      </c>
      <c r="G66" s="67">
        <v>5</v>
      </c>
      <c r="H66" s="67" t="s">
        <v>26</v>
      </c>
      <c r="I66" s="67"/>
      <c r="J66" s="67">
        <v>1</v>
      </c>
      <c r="M66" s="40">
        <v>1</v>
      </c>
      <c r="Q66" s="67"/>
    </row>
    <row r="67" spans="2:17" thickBot="1" x14ac:dyDescent="0.3">
      <c r="B67" s="66">
        <v>66</v>
      </c>
      <c r="C67" s="66" t="s">
        <v>1246</v>
      </c>
      <c r="D67" s="67" t="s">
        <v>727</v>
      </c>
      <c r="E67" s="67">
        <v>28</v>
      </c>
      <c r="F67" s="67">
        <v>72</v>
      </c>
      <c r="G67" s="67">
        <v>4</v>
      </c>
      <c r="H67" s="67" t="s">
        <v>26</v>
      </c>
      <c r="I67" s="67"/>
      <c r="J67" s="67">
        <v>1</v>
      </c>
      <c r="M67" s="40">
        <v>1</v>
      </c>
      <c r="Q67" s="67" t="s">
        <v>13</v>
      </c>
    </row>
    <row r="68" spans="2:17" thickBot="1" x14ac:dyDescent="0.3">
      <c r="B68" s="66">
        <v>67</v>
      </c>
      <c r="C68" s="67" t="s">
        <v>270</v>
      </c>
      <c r="D68" s="67" t="s">
        <v>1676</v>
      </c>
      <c r="E68" s="67">
        <v>28</v>
      </c>
      <c r="F68" s="67">
        <v>83</v>
      </c>
      <c r="G68" s="67">
        <v>4</v>
      </c>
      <c r="H68" s="67" t="s">
        <v>12</v>
      </c>
      <c r="I68" s="66">
        <v>1</v>
      </c>
      <c r="J68" s="67"/>
      <c r="N68" s="41">
        <v>1</v>
      </c>
      <c r="Q68" s="67"/>
    </row>
    <row r="69" spans="2:17" thickBot="1" x14ac:dyDescent="0.3">
      <c r="B69" s="66">
        <v>68</v>
      </c>
      <c r="C69" s="67" t="s">
        <v>1675</v>
      </c>
      <c r="D69" s="67" t="s">
        <v>3308</v>
      </c>
      <c r="E69" s="67">
        <v>28</v>
      </c>
      <c r="F69" s="67">
        <v>76</v>
      </c>
      <c r="G69" s="67">
        <v>4</v>
      </c>
      <c r="H69" s="67" t="s">
        <v>26</v>
      </c>
      <c r="I69" s="67"/>
      <c r="J69" s="67">
        <v>1</v>
      </c>
      <c r="M69" s="40">
        <v>1</v>
      </c>
      <c r="Q69" s="67" t="s">
        <v>13</v>
      </c>
    </row>
    <row r="70" spans="2:17" thickBot="1" x14ac:dyDescent="0.3">
      <c r="B70" s="66">
        <v>69</v>
      </c>
      <c r="C70" s="66" t="s">
        <v>137</v>
      </c>
      <c r="D70" s="67" t="s">
        <v>426</v>
      </c>
      <c r="E70" s="67">
        <v>28</v>
      </c>
      <c r="F70" s="67">
        <v>74</v>
      </c>
      <c r="G70" s="67">
        <v>4</v>
      </c>
      <c r="H70" s="67" t="s">
        <v>26</v>
      </c>
      <c r="I70" s="67"/>
      <c r="J70" s="67">
        <v>1</v>
      </c>
      <c r="Q70" s="67" t="s">
        <v>14</v>
      </c>
    </row>
    <row r="71" spans="2:17" thickBot="1" x14ac:dyDescent="0.3">
      <c r="B71" s="66">
        <v>70</v>
      </c>
      <c r="C71" s="67" t="s">
        <v>187</v>
      </c>
      <c r="D71" s="67" t="s">
        <v>1140</v>
      </c>
      <c r="E71" s="67">
        <v>28</v>
      </c>
      <c r="F71" s="67">
        <v>71</v>
      </c>
      <c r="G71" s="67">
        <v>4</v>
      </c>
      <c r="H71" s="67" t="s">
        <v>12</v>
      </c>
      <c r="I71" s="66">
        <v>1</v>
      </c>
      <c r="J71" s="67"/>
      <c r="N71" s="41">
        <v>1</v>
      </c>
      <c r="Q71" s="67"/>
    </row>
    <row r="72" spans="2:17" thickBot="1" x14ac:dyDescent="0.3">
      <c r="B72" s="66">
        <v>71</v>
      </c>
      <c r="C72" s="67" t="s">
        <v>123</v>
      </c>
      <c r="D72" s="67" t="s">
        <v>1674</v>
      </c>
      <c r="E72" s="67">
        <v>28</v>
      </c>
      <c r="F72" s="67">
        <v>70</v>
      </c>
      <c r="G72" s="67">
        <v>4</v>
      </c>
      <c r="H72" s="67" t="s">
        <v>26</v>
      </c>
      <c r="I72" s="67"/>
      <c r="J72" s="67">
        <v>1</v>
      </c>
      <c r="M72" s="40">
        <v>1</v>
      </c>
      <c r="Q72" s="67" t="s">
        <v>2957</v>
      </c>
    </row>
    <row r="73" spans="2:17" thickBot="1" x14ac:dyDescent="0.3">
      <c r="B73" s="66">
        <v>72</v>
      </c>
      <c r="C73" s="66" t="s">
        <v>166</v>
      </c>
      <c r="D73" s="67" t="s">
        <v>857</v>
      </c>
      <c r="E73" s="67">
        <v>28</v>
      </c>
      <c r="F73" s="67">
        <v>66</v>
      </c>
      <c r="G73" s="67">
        <v>2</v>
      </c>
      <c r="H73" s="67" t="s">
        <v>118</v>
      </c>
      <c r="I73" s="67"/>
      <c r="J73" s="67"/>
      <c r="Q73" s="67" t="s">
        <v>442</v>
      </c>
    </row>
    <row r="74" spans="2:17" thickBot="1" x14ac:dyDescent="0.3">
      <c r="B74" s="66">
        <v>73</v>
      </c>
      <c r="C74" s="67" t="s">
        <v>137</v>
      </c>
      <c r="D74" s="67" t="s">
        <v>1673</v>
      </c>
      <c r="E74" s="67">
        <v>28</v>
      </c>
      <c r="F74" s="67">
        <v>81</v>
      </c>
      <c r="G74" s="67">
        <v>1</v>
      </c>
      <c r="H74" s="67" t="s">
        <v>12</v>
      </c>
      <c r="I74" s="66">
        <v>1</v>
      </c>
      <c r="J74" s="67"/>
      <c r="N74" s="41">
        <v>1</v>
      </c>
      <c r="Q74" s="67"/>
    </row>
    <row r="75" spans="2:17" thickBot="1" x14ac:dyDescent="0.3">
      <c r="B75" s="66">
        <v>74</v>
      </c>
      <c r="C75" s="67" t="s">
        <v>1286</v>
      </c>
      <c r="D75" s="67" t="s">
        <v>1672</v>
      </c>
      <c r="E75" s="67">
        <v>28</v>
      </c>
      <c r="F75" s="67"/>
      <c r="G75" s="67"/>
      <c r="H75" s="67" t="s">
        <v>12</v>
      </c>
      <c r="I75" s="66">
        <v>1</v>
      </c>
      <c r="J75" s="67"/>
      <c r="N75" s="41">
        <v>1</v>
      </c>
      <c r="Q75" s="67"/>
    </row>
    <row r="76" spans="2:17" thickBot="1" x14ac:dyDescent="0.3">
      <c r="B76" s="66">
        <v>75</v>
      </c>
      <c r="C76" s="66" t="s">
        <v>677</v>
      </c>
      <c r="D76" s="67" t="s">
        <v>1671</v>
      </c>
      <c r="E76" s="67">
        <v>28</v>
      </c>
      <c r="F76" s="67">
        <v>90</v>
      </c>
      <c r="G76" s="67">
        <v>1</v>
      </c>
      <c r="H76" s="67" t="s">
        <v>12</v>
      </c>
      <c r="I76" s="66">
        <v>1</v>
      </c>
      <c r="J76" s="67"/>
      <c r="N76" s="41">
        <v>1</v>
      </c>
      <c r="Q76" s="67"/>
    </row>
    <row r="77" spans="2:17" thickBot="1" x14ac:dyDescent="0.3">
      <c r="B77" s="66">
        <v>76</v>
      </c>
      <c r="C77" s="67" t="s">
        <v>1670</v>
      </c>
      <c r="D77" s="67" t="s">
        <v>1669</v>
      </c>
      <c r="E77" s="67">
        <v>28</v>
      </c>
      <c r="F77" s="67">
        <v>90</v>
      </c>
      <c r="G77" s="67">
        <v>1</v>
      </c>
      <c r="H77" s="67" t="s">
        <v>12</v>
      </c>
      <c r="I77" s="66">
        <v>1</v>
      </c>
      <c r="J77" s="67"/>
      <c r="N77" s="41">
        <v>1</v>
      </c>
      <c r="Q77" s="67"/>
    </row>
    <row r="78" spans="2:17" thickBot="1" x14ac:dyDescent="0.3">
      <c r="B78" s="66">
        <v>77</v>
      </c>
      <c r="C78" s="67" t="s">
        <v>125</v>
      </c>
      <c r="D78" s="67" t="s">
        <v>1668</v>
      </c>
      <c r="E78" s="67">
        <v>28</v>
      </c>
      <c r="F78" s="67">
        <v>1</v>
      </c>
      <c r="G78" s="67">
        <v>87</v>
      </c>
      <c r="H78" s="67" t="s">
        <v>12</v>
      </c>
      <c r="I78" s="66">
        <v>1</v>
      </c>
      <c r="J78" s="67"/>
      <c r="N78" s="41">
        <v>1</v>
      </c>
      <c r="Q78" s="67" t="s">
        <v>14</v>
      </c>
    </row>
    <row r="79" spans="2:17" thickBot="1" x14ac:dyDescent="0.3">
      <c r="B79" s="66">
        <v>78</v>
      </c>
      <c r="C79" s="66" t="s">
        <v>187</v>
      </c>
      <c r="D79" s="67" t="s">
        <v>742</v>
      </c>
      <c r="E79" s="67">
        <v>28</v>
      </c>
      <c r="F79" s="67">
        <v>89</v>
      </c>
      <c r="G79" s="67">
        <v>1</v>
      </c>
      <c r="H79" s="67" t="s">
        <v>26</v>
      </c>
      <c r="I79" s="66">
        <v>0</v>
      </c>
      <c r="J79" s="67">
        <v>1</v>
      </c>
      <c r="M79" s="40">
        <v>1</v>
      </c>
      <c r="N79" s="41">
        <v>0</v>
      </c>
      <c r="Q79" s="67"/>
    </row>
    <row r="80" spans="2:17" thickBot="1" x14ac:dyDescent="0.3">
      <c r="B80" s="66">
        <v>79</v>
      </c>
      <c r="C80" s="67" t="s">
        <v>138</v>
      </c>
      <c r="D80" s="67" t="s">
        <v>1667</v>
      </c>
      <c r="E80" s="67">
        <v>28</v>
      </c>
      <c r="F80" s="67">
        <v>91</v>
      </c>
      <c r="G80" s="67">
        <v>1</v>
      </c>
      <c r="H80" s="67" t="s">
        <v>12</v>
      </c>
      <c r="I80" s="66">
        <v>1</v>
      </c>
      <c r="J80" s="67"/>
      <c r="N80" s="41">
        <v>1</v>
      </c>
      <c r="Q80" s="67"/>
    </row>
    <row r="81" spans="2:17" thickBot="1" x14ac:dyDescent="0.3">
      <c r="B81" s="66">
        <v>80</v>
      </c>
      <c r="C81" s="67" t="s">
        <v>1085</v>
      </c>
      <c r="D81" s="67" t="s">
        <v>1666</v>
      </c>
      <c r="E81" s="67">
        <v>28</v>
      </c>
      <c r="F81" s="67">
        <v>94</v>
      </c>
      <c r="G81" s="67">
        <v>1</v>
      </c>
      <c r="H81" s="67" t="s">
        <v>26</v>
      </c>
      <c r="I81" s="67"/>
      <c r="J81" s="67">
        <v>1</v>
      </c>
      <c r="Q81" s="67" t="s">
        <v>14</v>
      </c>
    </row>
    <row r="82" spans="2:17" thickBot="1" x14ac:dyDescent="0.3">
      <c r="B82" s="66">
        <v>81</v>
      </c>
      <c r="C82" s="66" t="s">
        <v>659</v>
      </c>
      <c r="D82" s="67" t="s">
        <v>1665</v>
      </c>
      <c r="E82" s="67">
        <v>28</v>
      </c>
      <c r="F82" s="67">
        <v>3</v>
      </c>
      <c r="G82" s="67">
        <v>1</v>
      </c>
      <c r="H82" s="67" t="s">
        <v>12</v>
      </c>
      <c r="I82" s="66">
        <v>1</v>
      </c>
      <c r="J82" s="67"/>
      <c r="N82" s="41">
        <v>1</v>
      </c>
      <c r="Q82" s="67"/>
    </row>
    <row r="83" spans="2:17" thickBot="1" x14ac:dyDescent="0.3">
      <c r="B83" s="66">
        <v>82</v>
      </c>
      <c r="C83" s="67" t="s">
        <v>697</v>
      </c>
      <c r="D83" s="67" t="s">
        <v>1664</v>
      </c>
      <c r="E83" s="67">
        <v>28</v>
      </c>
      <c r="F83" s="67">
        <v>101</v>
      </c>
      <c r="G83" s="67">
        <v>3</v>
      </c>
      <c r="H83" s="67" t="s">
        <v>12</v>
      </c>
      <c r="I83" s="66">
        <v>1</v>
      </c>
      <c r="J83" s="67"/>
      <c r="N83" s="41">
        <v>1</v>
      </c>
      <c r="Q83" s="67" t="s">
        <v>14</v>
      </c>
    </row>
    <row r="84" spans="2:17" thickBot="1" x14ac:dyDescent="0.3">
      <c r="B84" s="66">
        <v>83</v>
      </c>
      <c r="C84" s="67" t="s">
        <v>1663</v>
      </c>
      <c r="D84" s="67" t="s">
        <v>851</v>
      </c>
      <c r="E84" s="67">
        <v>28</v>
      </c>
      <c r="F84" s="67"/>
      <c r="G84" s="67"/>
      <c r="H84" s="67" t="s">
        <v>26</v>
      </c>
      <c r="I84" s="67"/>
      <c r="J84" s="67">
        <v>1</v>
      </c>
      <c r="Q84" s="67"/>
    </row>
    <row r="85" spans="2:17" thickBot="1" x14ac:dyDescent="0.3">
      <c r="B85" s="66">
        <v>84</v>
      </c>
      <c r="C85" s="66" t="s">
        <v>131</v>
      </c>
      <c r="D85" s="67" t="s">
        <v>1213</v>
      </c>
      <c r="E85" s="67">
        <v>28</v>
      </c>
      <c r="F85" s="67">
        <v>99</v>
      </c>
      <c r="G85" s="67">
        <v>3</v>
      </c>
      <c r="H85" s="67" t="s">
        <v>26</v>
      </c>
      <c r="I85" s="67"/>
      <c r="J85" s="67">
        <v>1</v>
      </c>
      <c r="M85" s="40">
        <v>1</v>
      </c>
      <c r="Q85" s="67" t="s">
        <v>13</v>
      </c>
    </row>
    <row r="86" spans="2:17" thickBot="1" x14ac:dyDescent="0.3">
      <c r="B86" s="66">
        <v>85</v>
      </c>
      <c r="C86" s="67" t="s">
        <v>1662</v>
      </c>
      <c r="D86" s="67" t="s">
        <v>1661</v>
      </c>
      <c r="E86" s="67">
        <v>28</v>
      </c>
      <c r="F86" s="67">
        <v>98</v>
      </c>
      <c r="G86" s="67">
        <v>3</v>
      </c>
      <c r="H86" s="67" t="s">
        <v>26</v>
      </c>
      <c r="I86" s="67"/>
      <c r="J86" s="67">
        <v>1</v>
      </c>
      <c r="M86" s="40">
        <v>1</v>
      </c>
      <c r="Q86" s="67"/>
    </row>
    <row r="87" spans="2:17" thickBot="1" x14ac:dyDescent="0.3">
      <c r="B87" s="66">
        <v>86</v>
      </c>
      <c r="C87" s="67" t="s">
        <v>296</v>
      </c>
      <c r="D87" s="67" t="s">
        <v>378</v>
      </c>
      <c r="E87" s="67">
        <v>28</v>
      </c>
      <c r="F87" s="67">
        <v>98</v>
      </c>
      <c r="G87" s="67">
        <v>3</v>
      </c>
      <c r="H87" s="67" t="s">
        <v>118</v>
      </c>
      <c r="I87" s="67"/>
      <c r="J87" s="67"/>
      <c r="Q87" s="67" t="s">
        <v>442</v>
      </c>
    </row>
    <row r="88" spans="2:17" thickBot="1" x14ac:dyDescent="0.3">
      <c r="B88" s="66">
        <v>87</v>
      </c>
      <c r="C88" s="66" t="s">
        <v>131</v>
      </c>
      <c r="D88" s="67" t="s">
        <v>509</v>
      </c>
      <c r="E88" s="67">
        <v>28</v>
      </c>
      <c r="F88" s="67">
        <v>99</v>
      </c>
      <c r="G88" s="67">
        <v>3</v>
      </c>
      <c r="H88" s="67" t="s">
        <v>118</v>
      </c>
      <c r="I88" s="67"/>
      <c r="J88" s="67"/>
      <c r="Q88" s="67" t="s">
        <v>442</v>
      </c>
    </row>
    <row r="89" spans="2:17" thickBot="1" x14ac:dyDescent="0.3">
      <c r="B89" s="66">
        <v>88</v>
      </c>
      <c r="C89" s="67" t="s">
        <v>166</v>
      </c>
      <c r="D89" s="67" t="s">
        <v>1660</v>
      </c>
      <c r="E89" s="67">
        <v>28</v>
      </c>
      <c r="F89" s="67">
        <v>96</v>
      </c>
      <c r="G89" s="67">
        <v>3</v>
      </c>
      <c r="H89" s="67" t="s">
        <v>12</v>
      </c>
      <c r="I89" s="66">
        <v>1</v>
      </c>
      <c r="J89" s="67"/>
      <c r="N89" s="41">
        <v>1</v>
      </c>
      <c r="Q89" s="67"/>
    </row>
    <row r="90" spans="2:17" thickBot="1" x14ac:dyDescent="0.3">
      <c r="B90" s="66">
        <v>89</v>
      </c>
      <c r="C90" s="67" t="s">
        <v>136</v>
      </c>
      <c r="D90" s="67" t="s">
        <v>1658</v>
      </c>
      <c r="E90" s="67">
        <v>28</v>
      </c>
      <c r="F90" s="67">
        <v>91</v>
      </c>
      <c r="G90" s="67">
        <v>3</v>
      </c>
      <c r="H90" s="67" t="s">
        <v>26</v>
      </c>
      <c r="I90" s="67"/>
      <c r="J90" s="67">
        <v>1</v>
      </c>
      <c r="M90" s="40">
        <v>1</v>
      </c>
      <c r="Q90" s="67" t="s">
        <v>13</v>
      </c>
    </row>
    <row r="91" spans="2:17" thickBot="1" x14ac:dyDescent="0.3">
      <c r="B91" s="66">
        <v>90</v>
      </c>
      <c r="C91" s="66" t="s">
        <v>125</v>
      </c>
      <c r="D91" s="67" t="s">
        <v>1659</v>
      </c>
      <c r="E91" s="67">
        <v>28</v>
      </c>
      <c r="F91" s="67"/>
      <c r="G91" s="67"/>
      <c r="H91" s="67" t="s">
        <v>118</v>
      </c>
      <c r="I91" s="67"/>
      <c r="J91" s="67"/>
      <c r="Q91" s="67" t="s">
        <v>442</v>
      </c>
    </row>
    <row r="92" spans="2:17" thickBot="1" x14ac:dyDescent="0.3">
      <c r="B92" s="66">
        <v>91</v>
      </c>
      <c r="C92" s="67" t="s">
        <v>781</v>
      </c>
      <c r="D92" s="67" t="s">
        <v>1657</v>
      </c>
      <c r="E92" s="67">
        <v>28</v>
      </c>
      <c r="F92" s="67">
        <v>88</v>
      </c>
      <c r="G92" s="67">
        <v>4</v>
      </c>
      <c r="H92" s="67" t="s">
        <v>26</v>
      </c>
      <c r="I92" s="67"/>
      <c r="J92" s="67">
        <v>1</v>
      </c>
      <c r="Q92" s="67"/>
    </row>
    <row r="93" spans="2:17" thickBot="1" x14ac:dyDescent="0.3">
      <c r="B93" s="66">
        <v>92</v>
      </c>
      <c r="C93" s="67" t="s">
        <v>1603</v>
      </c>
      <c r="D93" s="67" t="s">
        <v>1602</v>
      </c>
      <c r="E93" s="67">
        <v>28</v>
      </c>
      <c r="F93" s="67">
        <v>98</v>
      </c>
      <c r="G93" s="67">
        <v>3</v>
      </c>
      <c r="H93" s="67" t="s">
        <v>12</v>
      </c>
      <c r="I93" s="66">
        <v>1</v>
      </c>
      <c r="J93" s="67"/>
      <c r="N93" s="41">
        <v>1</v>
      </c>
      <c r="Q93" s="67" t="s">
        <v>14</v>
      </c>
    </row>
    <row r="94" spans="2:17" thickBot="1" x14ac:dyDescent="0.3">
      <c r="B94" s="66">
        <v>93</v>
      </c>
      <c r="C94" s="66" t="s">
        <v>125</v>
      </c>
      <c r="D94" s="67" t="s">
        <v>1716</v>
      </c>
      <c r="E94" s="67">
        <v>28</v>
      </c>
      <c r="F94" s="67">
        <v>102</v>
      </c>
      <c r="G94" s="67">
        <v>3</v>
      </c>
      <c r="H94" s="67" t="s">
        <v>26</v>
      </c>
      <c r="I94" s="67"/>
      <c r="J94" s="67">
        <v>1</v>
      </c>
      <c r="Q94" s="67" t="s">
        <v>13</v>
      </c>
    </row>
    <row r="95" spans="2:17" thickBot="1" x14ac:dyDescent="0.3">
      <c r="B95" s="66">
        <v>94</v>
      </c>
      <c r="C95" s="67" t="s">
        <v>1088</v>
      </c>
      <c r="D95" s="67" t="s">
        <v>538</v>
      </c>
      <c r="E95" s="67">
        <v>28</v>
      </c>
      <c r="F95" s="67">
        <v>97</v>
      </c>
      <c r="G95" s="67">
        <v>4</v>
      </c>
      <c r="H95" s="67" t="s">
        <v>118</v>
      </c>
      <c r="I95" s="67"/>
      <c r="J95" s="67"/>
      <c r="Q95" s="67" t="s">
        <v>442</v>
      </c>
    </row>
    <row r="96" spans="2:17" ht="24" customHeight="1" thickBot="1" x14ac:dyDescent="0.3">
      <c r="B96" s="66">
        <v>95</v>
      </c>
      <c r="C96" s="67" t="s">
        <v>483</v>
      </c>
      <c r="D96" s="84" t="s">
        <v>1527</v>
      </c>
      <c r="E96" s="84">
        <v>28</v>
      </c>
      <c r="F96" s="84" t="s">
        <v>3307</v>
      </c>
      <c r="G96" s="84">
        <v>5</v>
      </c>
      <c r="H96" s="67" t="s">
        <v>2372</v>
      </c>
      <c r="I96" s="67">
        <v>1</v>
      </c>
      <c r="J96" s="67"/>
      <c r="M96" s="40">
        <v>1</v>
      </c>
      <c r="Q96" s="67"/>
    </row>
    <row r="97" spans="2:17" thickBot="1" x14ac:dyDescent="0.3">
      <c r="B97" s="66">
        <v>96</v>
      </c>
      <c r="C97" s="66" t="s">
        <v>825</v>
      </c>
      <c r="D97" s="84" t="s">
        <v>1715</v>
      </c>
      <c r="E97" s="84">
        <v>28</v>
      </c>
      <c r="F97" s="84">
        <v>104</v>
      </c>
      <c r="G97" s="84">
        <v>5</v>
      </c>
      <c r="H97" s="67" t="s">
        <v>12</v>
      </c>
      <c r="I97" s="66">
        <v>1</v>
      </c>
      <c r="J97" s="67"/>
      <c r="N97" s="41">
        <v>1</v>
      </c>
      <c r="Q97" s="67" t="s">
        <v>14</v>
      </c>
    </row>
    <row r="98" spans="2:17" thickBot="1" x14ac:dyDescent="0.3">
      <c r="B98" s="66">
        <v>97</v>
      </c>
      <c r="C98" s="67" t="s">
        <v>280</v>
      </c>
      <c r="D98" s="84" t="s">
        <v>1081</v>
      </c>
      <c r="E98" s="84">
        <v>28</v>
      </c>
      <c r="F98" s="84">
        <v>89</v>
      </c>
      <c r="G98" s="84">
        <v>5</v>
      </c>
      <c r="H98" s="67" t="s">
        <v>12</v>
      </c>
      <c r="I98" s="66">
        <v>1</v>
      </c>
      <c r="J98" s="67"/>
      <c r="N98" s="41">
        <v>1</v>
      </c>
      <c r="Q98" s="67"/>
    </row>
    <row r="99" spans="2:17" thickBot="1" x14ac:dyDescent="0.3">
      <c r="B99" s="66">
        <v>98</v>
      </c>
      <c r="C99" s="67" t="s">
        <v>1714</v>
      </c>
      <c r="D99" s="84" t="s">
        <v>1026</v>
      </c>
      <c r="E99" s="84">
        <v>28</v>
      </c>
      <c r="F99" s="84">
        <v>98</v>
      </c>
      <c r="G99" s="84">
        <v>7</v>
      </c>
      <c r="H99" s="67" t="s">
        <v>26</v>
      </c>
      <c r="I99" s="67"/>
      <c r="J99" s="67">
        <v>1</v>
      </c>
      <c r="M99" s="40">
        <v>1</v>
      </c>
      <c r="Q99" s="67"/>
    </row>
    <row r="100" spans="2:17" thickBot="1" x14ac:dyDescent="0.3">
      <c r="B100" s="66">
        <v>99</v>
      </c>
      <c r="C100" s="66" t="s">
        <v>1238</v>
      </c>
      <c r="D100" s="84" t="s">
        <v>1713</v>
      </c>
      <c r="E100" s="84">
        <v>28</v>
      </c>
      <c r="F100" s="84">
        <v>105</v>
      </c>
      <c r="G100" s="84">
        <v>6</v>
      </c>
      <c r="H100" s="67" t="s">
        <v>118</v>
      </c>
      <c r="I100" s="67"/>
      <c r="J100" s="67"/>
      <c r="Q100" s="67" t="s">
        <v>442</v>
      </c>
    </row>
    <row r="101" spans="2:17" thickBot="1" x14ac:dyDescent="0.3">
      <c r="B101" s="66">
        <v>100</v>
      </c>
      <c r="C101" s="67" t="s">
        <v>131</v>
      </c>
      <c r="D101" s="84" t="s">
        <v>1712</v>
      </c>
      <c r="E101" s="84">
        <v>28</v>
      </c>
      <c r="F101" s="84">
        <v>105</v>
      </c>
      <c r="G101" s="84">
        <v>7</v>
      </c>
      <c r="H101" s="67" t="s">
        <v>12</v>
      </c>
      <c r="I101" s="66">
        <v>1</v>
      </c>
      <c r="J101" s="67"/>
      <c r="N101" s="41">
        <v>1</v>
      </c>
      <c r="Q101" s="67"/>
    </row>
    <row r="102" spans="2:17" thickBot="1" x14ac:dyDescent="0.3">
      <c r="B102" s="66">
        <v>101</v>
      </c>
      <c r="C102" s="67" t="s">
        <v>138</v>
      </c>
      <c r="D102" s="84" t="s">
        <v>1711</v>
      </c>
      <c r="E102" s="84">
        <v>28</v>
      </c>
      <c r="F102" s="84">
        <v>105</v>
      </c>
      <c r="G102" s="84">
        <v>7</v>
      </c>
      <c r="H102" s="67" t="s">
        <v>26</v>
      </c>
      <c r="I102" s="67"/>
      <c r="J102" s="67">
        <v>1</v>
      </c>
      <c r="Q102" s="67"/>
    </row>
    <row r="103" spans="2:17" thickBot="1" x14ac:dyDescent="0.3">
      <c r="B103" s="66">
        <v>102</v>
      </c>
      <c r="C103" s="66" t="s">
        <v>1272</v>
      </c>
      <c r="D103" s="67" t="s">
        <v>467</v>
      </c>
      <c r="E103" s="67">
        <v>28</v>
      </c>
      <c r="F103" s="67">
        <v>27</v>
      </c>
      <c r="G103" s="67">
        <v>22</v>
      </c>
      <c r="H103" s="67" t="s">
        <v>26</v>
      </c>
      <c r="I103" s="67"/>
      <c r="J103" s="67">
        <v>1</v>
      </c>
      <c r="Q103" s="67"/>
    </row>
    <row r="104" spans="2:17" thickBot="1" x14ac:dyDescent="0.3">
      <c r="B104" s="66">
        <v>103</v>
      </c>
      <c r="C104" s="67" t="s">
        <v>736</v>
      </c>
      <c r="D104" s="67" t="s">
        <v>1710</v>
      </c>
      <c r="E104" s="67">
        <v>28</v>
      </c>
      <c r="F104" s="67">
        <v>28</v>
      </c>
      <c r="G104" s="67">
        <v>22</v>
      </c>
      <c r="H104" s="67" t="s">
        <v>26</v>
      </c>
      <c r="I104" s="67"/>
      <c r="J104" s="67">
        <v>1</v>
      </c>
      <c r="Q104" s="67"/>
    </row>
    <row r="105" spans="2:17" thickBot="1" x14ac:dyDescent="0.3">
      <c r="B105" s="66">
        <v>104</v>
      </c>
      <c r="C105" s="67" t="s">
        <v>131</v>
      </c>
      <c r="D105" s="67" t="s">
        <v>1709</v>
      </c>
      <c r="E105" s="67">
        <v>28</v>
      </c>
      <c r="F105" s="67">
        <v>9</v>
      </c>
      <c r="G105" s="67">
        <v>22</v>
      </c>
      <c r="H105" s="67" t="s">
        <v>12</v>
      </c>
      <c r="I105" s="66">
        <v>1</v>
      </c>
      <c r="J105" s="67"/>
      <c r="N105" s="41">
        <v>1</v>
      </c>
      <c r="Q105" s="67"/>
    </row>
    <row r="106" spans="2:17" thickBot="1" x14ac:dyDescent="0.3">
      <c r="B106" s="66">
        <v>105</v>
      </c>
      <c r="C106" s="66" t="s">
        <v>131</v>
      </c>
      <c r="D106" s="67" t="s">
        <v>1708</v>
      </c>
      <c r="E106" s="67">
        <v>28</v>
      </c>
      <c r="F106" s="67">
        <v>23</v>
      </c>
      <c r="G106" s="67">
        <v>21</v>
      </c>
      <c r="H106" s="67" t="s">
        <v>12</v>
      </c>
      <c r="I106" s="66">
        <v>1</v>
      </c>
      <c r="J106" s="67"/>
      <c r="N106" s="41">
        <v>1</v>
      </c>
      <c r="Q106" s="67"/>
    </row>
    <row r="107" spans="2:17" thickBot="1" x14ac:dyDescent="0.3">
      <c r="B107" s="66">
        <v>106</v>
      </c>
      <c r="C107" s="67" t="s">
        <v>166</v>
      </c>
      <c r="D107" s="67" t="s">
        <v>936</v>
      </c>
      <c r="E107" s="67">
        <v>28</v>
      </c>
      <c r="F107" s="67">
        <v>29</v>
      </c>
      <c r="G107" s="67">
        <v>21</v>
      </c>
      <c r="H107" s="67" t="s">
        <v>26</v>
      </c>
      <c r="I107" s="67"/>
      <c r="J107" s="67">
        <v>1</v>
      </c>
      <c r="Q107" s="67"/>
    </row>
    <row r="108" spans="2:17" thickBot="1" x14ac:dyDescent="0.3">
      <c r="B108" s="66">
        <v>107</v>
      </c>
      <c r="C108" s="67" t="s">
        <v>136</v>
      </c>
      <c r="D108" s="67" t="s">
        <v>1707</v>
      </c>
      <c r="E108" s="67">
        <v>28</v>
      </c>
      <c r="F108" s="67">
        <v>11</v>
      </c>
      <c r="G108" s="67">
        <v>20</v>
      </c>
      <c r="H108" s="67" t="s">
        <v>12</v>
      </c>
      <c r="I108" s="66">
        <v>1</v>
      </c>
      <c r="J108" s="67"/>
      <c r="N108" s="41">
        <v>1</v>
      </c>
      <c r="Q108" s="67"/>
    </row>
    <row r="109" spans="2:17" thickBot="1" x14ac:dyDescent="0.3">
      <c r="B109" s="66">
        <v>108</v>
      </c>
      <c r="C109" s="66" t="s">
        <v>131</v>
      </c>
      <c r="D109" s="67" t="s">
        <v>1706</v>
      </c>
      <c r="E109" s="67">
        <v>28</v>
      </c>
      <c r="F109" s="67">
        <v>10</v>
      </c>
      <c r="G109" s="67">
        <v>20</v>
      </c>
      <c r="H109" s="67" t="s">
        <v>26</v>
      </c>
      <c r="I109" s="67"/>
      <c r="J109" s="67">
        <v>1</v>
      </c>
      <c r="Q109" s="67"/>
    </row>
    <row r="110" spans="2:17" thickBot="1" x14ac:dyDescent="0.3">
      <c r="B110" s="66">
        <v>109</v>
      </c>
      <c r="C110" s="67" t="s">
        <v>125</v>
      </c>
      <c r="D110" s="67" t="s">
        <v>1705</v>
      </c>
      <c r="E110" s="67">
        <v>28</v>
      </c>
      <c r="F110" s="67">
        <v>4</v>
      </c>
      <c r="G110" s="67">
        <v>20</v>
      </c>
      <c r="H110" s="67" t="s">
        <v>12</v>
      </c>
      <c r="I110" s="66">
        <v>1</v>
      </c>
      <c r="J110" s="67"/>
      <c r="N110" s="41">
        <v>1</v>
      </c>
      <c r="Q110" s="67"/>
    </row>
    <row r="111" spans="2:17" thickBot="1" x14ac:dyDescent="0.3">
      <c r="B111" s="66">
        <v>110</v>
      </c>
      <c r="C111" s="67" t="s">
        <v>135</v>
      </c>
      <c r="D111" s="67" t="s">
        <v>1318</v>
      </c>
      <c r="E111" s="67">
        <v>28</v>
      </c>
      <c r="F111" s="67">
        <v>5</v>
      </c>
      <c r="G111" s="67">
        <v>19</v>
      </c>
      <c r="H111" s="67" t="s">
        <v>118</v>
      </c>
      <c r="I111" s="67"/>
      <c r="J111" s="67"/>
      <c r="Q111" s="67" t="s">
        <v>442</v>
      </c>
    </row>
    <row r="112" spans="2:17" thickBot="1" x14ac:dyDescent="0.3">
      <c r="B112" s="66">
        <v>111</v>
      </c>
      <c r="C112" s="66" t="s">
        <v>131</v>
      </c>
      <c r="D112" s="67" t="s">
        <v>1704</v>
      </c>
      <c r="E112" s="67">
        <v>28</v>
      </c>
      <c r="F112" s="67">
        <v>31</v>
      </c>
      <c r="G112" s="67">
        <v>18</v>
      </c>
      <c r="H112" s="67" t="s">
        <v>26</v>
      </c>
      <c r="I112" s="67"/>
      <c r="J112" s="67">
        <v>1</v>
      </c>
      <c r="Q112" s="67"/>
    </row>
    <row r="113" spans="2:17" thickBot="1" x14ac:dyDescent="0.3">
      <c r="B113" s="66">
        <v>112</v>
      </c>
      <c r="C113" s="67" t="s">
        <v>1703</v>
      </c>
      <c r="D113" s="67" t="s">
        <v>1702</v>
      </c>
      <c r="E113" s="67">
        <v>28</v>
      </c>
      <c r="F113" s="67">
        <v>23</v>
      </c>
      <c r="G113" s="67">
        <v>28</v>
      </c>
      <c r="H113" s="67" t="s">
        <v>26</v>
      </c>
      <c r="I113" s="67"/>
      <c r="J113" s="67">
        <v>1</v>
      </c>
      <c r="Q113" s="67"/>
    </row>
    <row r="114" spans="2:17" thickBot="1" x14ac:dyDescent="0.3">
      <c r="B114" s="66">
        <v>113</v>
      </c>
      <c r="C114" s="67" t="s">
        <v>135</v>
      </c>
      <c r="D114" s="67" t="s">
        <v>1701</v>
      </c>
      <c r="E114" s="67">
        <v>28</v>
      </c>
      <c r="F114" s="67">
        <v>5</v>
      </c>
      <c r="G114" s="67">
        <v>17</v>
      </c>
      <c r="H114" s="67" t="s">
        <v>26</v>
      </c>
      <c r="I114" s="67"/>
      <c r="J114" s="67">
        <v>1</v>
      </c>
      <c r="Q114" s="67" t="s">
        <v>13</v>
      </c>
    </row>
    <row r="115" spans="2:17" thickBot="1" x14ac:dyDescent="0.3">
      <c r="B115" s="66">
        <v>114</v>
      </c>
      <c r="C115" s="66" t="s">
        <v>677</v>
      </c>
      <c r="D115" s="67" t="s">
        <v>1700</v>
      </c>
      <c r="E115" s="67">
        <v>28</v>
      </c>
      <c r="F115" s="67">
        <v>30</v>
      </c>
      <c r="G115" s="67">
        <v>15</v>
      </c>
      <c r="H115" s="67" t="s">
        <v>26</v>
      </c>
      <c r="I115" s="67"/>
      <c r="J115" s="67">
        <v>1</v>
      </c>
      <c r="Q115" s="67"/>
    </row>
    <row r="116" spans="2:17" thickBot="1" x14ac:dyDescent="0.3">
      <c r="B116" s="66">
        <v>115</v>
      </c>
      <c r="C116" s="67" t="s">
        <v>1699</v>
      </c>
      <c r="D116" s="67" t="s">
        <v>1698</v>
      </c>
      <c r="E116" s="67">
        <v>28</v>
      </c>
      <c r="F116" s="67">
        <v>11</v>
      </c>
      <c r="G116" s="67">
        <v>15</v>
      </c>
      <c r="H116" s="67" t="s">
        <v>26</v>
      </c>
      <c r="I116" s="67"/>
      <c r="J116" s="67">
        <v>1</v>
      </c>
      <c r="Q116" s="67" t="s">
        <v>13</v>
      </c>
    </row>
    <row r="117" spans="2:17" thickBot="1" x14ac:dyDescent="0.3">
      <c r="B117" s="66">
        <v>116</v>
      </c>
      <c r="C117" s="67" t="s">
        <v>166</v>
      </c>
      <c r="D117" s="67" t="s">
        <v>1697</v>
      </c>
      <c r="E117" s="67">
        <v>28</v>
      </c>
      <c r="F117" s="67">
        <v>28</v>
      </c>
      <c r="G117" s="67">
        <v>13</v>
      </c>
      <c r="H117" s="67" t="s">
        <v>118</v>
      </c>
      <c r="I117" s="67"/>
      <c r="J117" s="67"/>
      <c r="Q117" s="67" t="s">
        <v>442</v>
      </c>
    </row>
    <row r="118" spans="2:17" thickBot="1" x14ac:dyDescent="0.3">
      <c r="B118" s="66">
        <v>117</v>
      </c>
      <c r="C118" s="66" t="s">
        <v>138</v>
      </c>
      <c r="D118" s="67" t="s">
        <v>509</v>
      </c>
      <c r="E118" s="67">
        <v>28</v>
      </c>
      <c r="F118" s="67">
        <v>23</v>
      </c>
      <c r="G118" s="67">
        <v>13</v>
      </c>
      <c r="H118" s="67" t="s">
        <v>12</v>
      </c>
      <c r="I118" s="66">
        <v>1</v>
      </c>
      <c r="J118" s="67"/>
      <c r="N118" s="41">
        <v>1</v>
      </c>
      <c r="Q118" s="67"/>
    </row>
    <row r="119" spans="2:17" thickBot="1" x14ac:dyDescent="0.3">
      <c r="B119" s="66">
        <v>118</v>
      </c>
      <c r="C119" s="67" t="s">
        <v>263</v>
      </c>
      <c r="D119" s="67" t="s">
        <v>1696</v>
      </c>
      <c r="E119" s="67">
        <v>28</v>
      </c>
      <c r="F119" s="67">
        <v>7</v>
      </c>
      <c r="G119" s="67">
        <v>12</v>
      </c>
      <c r="H119" s="67" t="s">
        <v>26</v>
      </c>
      <c r="I119" s="67"/>
      <c r="J119" s="67">
        <v>1</v>
      </c>
      <c r="M119" s="40">
        <v>1</v>
      </c>
      <c r="Q119" s="67"/>
    </row>
    <row r="120" spans="2:17" thickBot="1" x14ac:dyDescent="0.3">
      <c r="B120" s="66">
        <v>119</v>
      </c>
      <c r="C120" s="67" t="s">
        <v>781</v>
      </c>
      <c r="D120" s="67" t="s">
        <v>1695</v>
      </c>
      <c r="E120" s="67">
        <v>28</v>
      </c>
      <c r="F120" s="67">
        <v>3</v>
      </c>
      <c r="G120" s="67">
        <v>11</v>
      </c>
      <c r="H120" s="67" t="s">
        <v>26</v>
      </c>
      <c r="I120" s="67"/>
      <c r="J120" s="67">
        <v>1</v>
      </c>
      <c r="Q120" s="67" t="s">
        <v>13</v>
      </c>
    </row>
    <row r="121" spans="2:17" thickBot="1" x14ac:dyDescent="0.3">
      <c r="B121" s="66">
        <v>120</v>
      </c>
      <c r="C121" s="66" t="s">
        <v>712</v>
      </c>
      <c r="D121" s="67" t="s">
        <v>1694</v>
      </c>
      <c r="E121" s="67">
        <v>28</v>
      </c>
      <c r="F121" s="67">
        <v>13</v>
      </c>
      <c r="G121" s="67">
        <v>23</v>
      </c>
      <c r="H121" s="67" t="s">
        <v>12</v>
      </c>
      <c r="I121" s="66">
        <v>1</v>
      </c>
      <c r="J121" s="67"/>
      <c r="P121" s="41">
        <v>1</v>
      </c>
      <c r="Q121" s="67" t="s">
        <v>1049</v>
      </c>
    </row>
    <row r="122" spans="2:17" thickBot="1" x14ac:dyDescent="0.3">
      <c r="B122" s="66">
        <v>121</v>
      </c>
      <c r="C122" s="67" t="s">
        <v>123</v>
      </c>
      <c r="D122" s="67" t="s">
        <v>1693</v>
      </c>
      <c r="E122" s="67">
        <v>28</v>
      </c>
      <c r="F122" s="67">
        <v>40</v>
      </c>
      <c r="G122" s="67">
        <v>13</v>
      </c>
      <c r="H122" s="67" t="s">
        <v>118</v>
      </c>
      <c r="I122" s="67"/>
      <c r="J122" s="67"/>
      <c r="Q122" s="67" t="s">
        <v>442</v>
      </c>
    </row>
    <row r="123" spans="2:17" thickBot="1" x14ac:dyDescent="0.3">
      <c r="B123" s="66">
        <v>122</v>
      </c>
      <c r="C123" s="67" t="s">
        <v>640</v>
      </c>
      <c r="D123" s="67" t="s">
        <v>1692</v>
      </c>
      <c r="E123" s="67">
        <v>28</v>
      </c>
      <c r="F123" s="67">
        <v>56</v>
      </c>
      <c r="G123" s="67">
        <v>17</v>
      </c>
      <c r="H123" s="67" t="s">
        <v>26</v>
      </c>
      <c r="I123" s="67"/>
      <c r="J123" s="67">
        <v>1</v>
      </c>
      <c r="Q123" s="67" t="s">
        <v>13</v>
      </c>
    </row>
    <row r="124" spans="2:17" thickBot="1" x14ac:dyDescent="0.3">
      <c r="B124" s="66">
        <v>123</v>
      </c>
      <c r="C124" s="66" t="s">
        <v>812</v>
      </c>
      <c r="D124" s="67" t="s">
        <v>1691</v>
      </c>
      <c r="E124" s="67">
        <v>28</v>
      </c>
      <c r="F124" s="67">
        <v>43</v>
      </c>
      <c r="G124" s="67">
        <v>15</v>
      </c>
      <c r="H124" s="67" t="s">
        <v>26</v>
      </c>
      <c r="I124" s="67"/>
      <c r="J124" s="67">
        <v>1</v>
      </c>
      <c r="Q124" s="67" t="s">
        <v>13</v>
      </c>
    </row>
    <row r="125" spans="2:17" thickBot="1" x14ac:dyDescent="0.3">
      <c r="B125" s="66">
        <v>124</v>
      </c>
      <c r="C125" s="67" t="s">
        <v>640</v>
      </c>
      <c r="D125" s="67" t="s">
        <v>426</v>
      </c>
      <c r="E125" s="67">
        <v>28</v>
      </c>
      <c r="F125" s="67">
        <v>41</v>
      </c>
      <c r="G125" s="67">
        <v>18</v>
      </c>
      <c r="H125" s="67" t="s">
        <v>12</v>
      </c>
      <c r="I125" s="66">
        <v>1</v>
      </c>
      <c r="J125" s="67"/>
      <c r="N125" s="41">
        <v>1</v>
      </c>
      <c r="Q125" s="67" t="s">
        <v>14</v>
      </c>
    </row>
    <row r="126" spans="2:17" thickBot="1" x14ac:dyDescent="0.3">
      <c r="B126" s="66">
        <v>125</v>
      </c>
      <c r="C126" s="67" t="s">
        <v>918</v>
      </c>
      <c r="D126" s="67" t="s">
        <v>1690</v>
      </c>
      <c r="E126" s="67">
        <v>28</v>
      </c>
      <c r="F126" s="67">
        <v>5</v>
      </c>
      <c r="G126" s="67">
        <v>18</v>
      </c>
      <c r="H126" s="67" t="s">
        <v>26</v>
      </c>
      <c r="I126" s="67"/>
      <c r="J126" s="67">
        <v>1</v>
      </c>
      <c r="Q126" s="67" t="s">
        <v>13</v>
      </c>
    </row>
    <row r="127" spans="2:17" thickBot="1" x14ac:dyDescent="0.3">
      <c r="B127" s="66">
        <v>126</v>
      </c>
      <c r="C127" s="66" t="s">
        <v>131</v>
      </c>
      <c r="D127" s="67" t="s">
        <v>1689</v>
      </c>
      <c r="E127" s="67">
        <v>28</v>
      </c>
      <c r="F127" s="67">
        <v>46</v>
      </c>
      <c r="G127" s="67">
        <v>20</v>
      </c>
      <c r="H127" s="67" t="s">
        <v>26</v>
      </c>
      <c r="I127" s="67"/>
      <c r="J127" s="67">
        <v>1</v>
      </c>
      <c r="Q127" s="67" t="s">
        <v>13</v>
      </c>
    </row>
    <row r="128" spans="2:17" thickBot="1" x14ac:dyDescent="0.3">
      <c r="B128" s="66">
        <v>127</v>
      </c>
      <c r="C128" s="67" t="s">
        <v>125</v>
      </c>
      <c r="D128" s="67" t="s">
        <v>1174</v>
      </c>
      <c r="E128" s="67">
        <v>28</v>
      </c>
      <c r="F128" s="67">
        <v>54</v>
      </c>
      <c r="G128" s="67">
        <v>20</v>
      </c>
      <c r="H128" s="67" t="s">
        <v>118</v>
      </c>
      <c r="I128" s="67"/>
      <c r="J128" s="67"/>
      <c r="Q128" s="67" t="s">
        <v>442</v>
      </c>
    </row>
    <row r="129" spans="2:17" thickBot="1" x14ac:dyDescent="0.3">
      <c r="B129" s="66">
        <v>128</v>
      </c>
      <c r="C129" s="67" t="s">
        <v>606</v>
      </c>
      <c r="D129" s="67" t="s">
        <v>1688</v>
      </c>
      <c r="E129" s="67">
        <v>28</v>
      </c>
      <c r="F129" s="67">
        <v>54</v>
      </c>
      <c r="G129" s="67">
        <v>21</v>
      </c>
      <c r="H129" s="67" t="s">
        <v>26</v>
      </c>
      <c r="I129" s="67"/>
      <c r="J129" s="67">
        <v>1</v>
      </c>
      <c r="Q129" s="67"/>
    </row>
    <row r="130" spans="2:17" thickBot="1" x14ac:dyDescent="0.3">
      <c r="B130" s="66">
        <v>129</v>
      </c>
      <c r="C130" s="66" t="s">
        <v>166</v>
      </c>
      <c r="D130" s="67" t="s">
        <v>1687</v>
      </c>
      <c r="E130" s="67">
        <v>28</v>
      </c>
      <c r="F130" s="67">
        <v>48</v>
      </c>
      <c r="G130" s="67">
        <v>22</v>
      </c>
      <c r="H130" s="67" t="s">
        <v>26</v>
      </c>
      <c r="I130" s="67"/>
      <c r="J130" s="67">
        <v>1</v>
      </c>
      <c r="Q130" s="67" t="s">
        <v>13</v>
      </c>
    </row>
    <row r="131" spans="2:17" thickBot="1" x14ac:dyDescent="0.3">
      <c r="B131" s="66">
        <v>130</v>
      </c>
      <c r="C131" s="67" t="s">
        <v>1088</v>
      </c>
      <c r="D131" s="67" t="s">
        <v>1686</v>
      </c>
      <c r="E131" s="67">
        <v>28</v>
      </c>
      <c r="F131" s="67">
        <v>56</v>
      </c>
      <c r="G131" s="67">
        <v>22</v>
      </c>
      <c r="H131" s="67" t="s">
        <v>26</v>
      </c>
      <c r="I131" s="67"/>
      <c r="J131" s="67">
        <v>1</v>
      </c>
      <c r="Q131" s="67"/>
    </row>
    <row r="132" spans="2:17" thickBot="1" x14ac:dyDescent="0.3">
      <c r="B132" s="66">
        <v>131</v>
      </c>
      <c r="C132" s="67" t="s">
        <v>135</v>
      </c>
      <c r="D132" s="67" t="s">
        <v>1685</v>
      </c>
      <c r="E132" s="67">
        <v>28</v>
      </c>
      <c r="F132" s="67">
        <v>58</v>
      </c>
      <c r="G132" s="67">
        <v>22</v>
      </c>
      <c r="H132" s="67" t="s">
        <v>26</v>
      </c>
      <c r="I132" s="67"/>
      <c r="J132" s="67">
        <v>1</v>
      </c>
      <c r="Q132" s="67"/>
    </row>
    <row r="133" spans="2:17" thickBot="1" x14ac:dyDescent="0.3">
      <c r="B133" s="66">
        <v>132</v>
      </c>
      <c r="C133" s="66" t="s">
        <v>712</v>
      </c>
      <c r="D133" s="67" t="s">
        <v>1685</v>
      </c>
      <c r="E133" s="67">
        <v>28</v>
      </c>
      <c r="F133" s="67">
        <v>59</v>
      </c>
      <c r="G133" s="67">
        <v>22</v>
      </c>
      <c r="H133" s="67" t="s">
        <v>26</v>
      </c>
      <c r="I133" s="67"/>
      <c r="J133" s="67">
        <v>1</v>
      </c>
      <c r="Q133" s="67"/>
    </row>
    <row r="134" spans="2:17" thickBot="1" x14ac:dyDescent="0.3">
      <c r="B134" s="66">
        <v>133</v>
      </c>
      <c r="C134" s="67" t="s">
        <v>600</v>
      </c>
      <c r="D134" s="67" t="s">
        <v>6</v>
      </c>
      <c r="E134" s="67">
        <v>28</v>
      </c>
      <c r="F134" s="67">
        <v>82</v>
      </c>
      <c r="G134" s="67">
        <v>22</v>
      </c>
      <c r="H134" s="67" t="s">
        <v>118</v>
      </c>
      <c r="I134" s="67"/>
      <c r="J134" s="67"/>
      <c r="Q134" s="67" t="s">
        <v>442</v>
      </c>
    </row>
    <row r="135" spans="2:17" thickBot="1" x14ac:dyDescent="0.3">
      <c r="B135" s="66">
        <v>134</v>
      </c>
      <c r="C135" s="67" t="s">
        <v>123</v>
      </c>
      <c r="D135" s="67" t="s">
        <v>1684</v>
      </c>
      <c r="E135" s="67">
        <v>28</v>
      </c>
      <c r="F135" s="67">
        <v>64</v>
      </c>
      <c r="G135" s="67">
        <v>22</v>
      </c>
      <c r="H135" s="67" t="s">
        <v>26</v>
      </c>
      <c r="I135" s="67"/>
      <c r="J135" s="67">
        <v>1</v>
      </c>
      <c r="Q135" s="67"/>
    </row>
    <row r="136" spans="2:17" thickBot="1" x14ac:dyDescent="0.3">
      <c r="B136" s="66">
        <v>135</v>
      </c>
      <c r="C136" s="66" t="s">
        <v>135</v>
      </c>
      <c r="D136" s="67" t="s">
        <v>1367</v>
      </c>
      <c r="E136" s="67">
        <v>28</v>
      </c>
      <c r="F136" s="67">
        <v>63</v>
      </c>
      <c r="G136" s="67">
        <v>22</v>
      </c>
      <c r="H136" s="67" t="s">
        <v>118</v>
      </c>
      <c r="I136" s="67"/>
      <c r="J136" s="67"/>
      <c r="Q136" s="67" t="s">
        <v>442</v>
      </c>
    </row>
    <row r="137" spans="2:17" thickBot="1" x14ac:dyDescent="0.3">
      <c r="B137" s="66">
        <v>136</v>
      </c>
      <c r="C137" s="67" t="s">
        <v>1683</v>
      </c>
      <c r="D137" s="67" t="s">
        <v>1019</v>
      </c>
      <c r="E137" s="67">
        <v>28</v>
      </c>
      <c r="F137" s="67">
        <v>64</v>
      </c>
      <c r="G137" s="67">
        <v>20</v>
      </c>
      <c r="H137" s="67" t="s">
        <v>118</v>
      </c>
      <c r="I137" s="67"/>
      <c r="J137" s="67"/>
      <c r="Q137" s="67" t="s">
        <v>442</v>
      </c>
    </row>
    <row r="138" spans="2:17" thickBot="1" x14ac:dyDescent="0.3">
      <c r="B138" s="66">
        <v>137</v>
      </c>
      <c r="C138" s="67" t="s">
        <v>1682</v>
      </c>
      <c r="D138" s="67" t="s">
        <v>1681</v>
      </c>
      <c r="E138" s="67">
        <v>28</v>
      </c>
      <c r="F138" s="67">
        <v>65</v>
      </c>
      <c r="G138" s="67">
        <v>16</v>
      </c>
      <c r="H138" s="67" t="s">
        <v>26</v>
      </c>
      <c r="I138" s="67"/>
      <c r="J138" s="67">
        <v>1</v>
      </c>
      <c r="M138" s="40">
        <v>1</v>
      </c>
      <c r="Q138" s="67"/>
    </row>
    <row r="139" spans="2:17" thickBot="1" x14ac:dyDescent="0.3">
      <c r="B139" s="66">
        <v>138</v>
      </c>
      <c r="C139" s="66" t="s">
        <v>832</v>
      </c>
      <c r="D139" s="67" t="s">
        <v>999</v>
      </c>
      <c r="E139" s="67">
        <v>28</v>
      </c>
      <c r="F139" s="67">
        <v>72</v>
      </c>
      <c r="G139" s="67">
        <v>15</v>
      </c>
      <c r="H139" s="67" t="s">
        <v>26</v>
      </c>
      <c r="I139" s="67"/>
      <c r="J139" s="67">
        <v>1</v>
      </c>
      <c r="Q139" s="67" t="s">
        <v>13</v>
      </c>
    </row>
    <row r="140" spans="2:17" thickBot="1" x14ac:dyDescent="0.3">
      <c r="B140" s="66">
        <v>139</v>
      </c>
      <c r="C140" s="67" t="s">
        <v>136</v>
      </c>
      <c r="D140" s="67" t="s">
        <v>1680</v>
      </c>
      <c r="E140" s="67">
        <v>28</v>
      </c>
      <c r="F140" s="67">
        <v>81</v>
      </c>
      <c r="G140" s="67">
        <v>14</v>
      </c>
      <c r="H140" s="67" t="s">
        <v>26</v>
      </c>
      <c r="I140" s="67"/>
      <c r="J140" s="67">
        <v>1</v>
      </c>
      <c r="M140" s="40">
        <v>1</v>
      </c>
      <c r="Q140" s="67" t="s">
        <v>13</v>
      </c>
    </row>
    <row r="141" spans="2:17" thickBot="1" x14ac:dyDescent="0.3">
      <c r="B141" s="66">
        <v>140</v>
      </c>
      <c r="C141" s="67" t="s">
        <v>362</v>
      </c>
      <c r="D141" s="67" t="s">
        <v>1540</v>
      </c>
      <c r="E141" s="67">
        <v>28</v>
      </c>
      <c r="F141" s="67">
        <v>65</v>
      </c>
      <c r="G141" s="67">
        <v>11</v>
      </c>
      <c r="H141" s="67" t="s">
        <v>26</v>
      </c>
      <c r="I141" s="67"/>
      <c r="J141" s="67">
        <v>1</v>
      </c>
      <c r="Q141" s="67"/>
    </row>
    <row r="142" spans="2:17" thickBot="1" x14ac:dyDescent="0.3">
      <c r="B142" s="66">
        <v>141</v>
      </c>
      <c r="C142" s="66" t="s">
        <v>187</v>
      </c>
      <c r="D142" s="67" t="s">
        <v>1081</v>
      </c>
      <c r="E142" s="67">
        <v>28</v>
      </c>
      <c r="F142" s="67">
        <v>79</v>
      </c>
      <c r="G142" s="67">
        <v>21</v>
      </c>
      <c r="H142" s="67" t="s">
        <v>26</v>
      </c>
      <c r="I142" s="67"/>
      <c r="J142" s="67">
        <v>1</v>
      </c>
      <c r="Q142" s="67"/>
    </row>
    <row r="143" spans="2:17" thickBot="1" x14ac:dyDescent="0.3">
      <c r="B143" s="66">
        <v>142</v>
      </c>
      <c r="C143" s="67" t="s">
        <v>280</v>
      </c>
      <c r="D143" s="67" t="s">
        <v>985</v>
      </c>
      <c r="E143" s="67">
        <v>28</v>
      </c>
      <c r="F143" s="67">
        <v>77</v>
      </c>
      <c r="G143" s="67">
        <v>2</v>
      </c>
      <c r="H143" s="67" t="s">
        <v>26</v>
      </c>
      <c r="I143" s="67"/>
      <c r="J143" s="67">
        <v>1</v>
      </c>
      <c r="Q143" s="67" t="s">
        <v>13</v>
      </c>
    </row>
    <row r="144" spans="2:17" thickBot="1" x14ac:dyDescent="0.3">
      <c r="B144" s="66">
        <v>143</v>
      </c>
      <c r="C144" s="67" t="s">
        <v>1755</v>
      </c>
      <c r="D144" s="67" t="s">
        <v>1754</v>
      </c>
      <c r="E144" s="67">
        <v>28</v>
      </c>
      <c r="F144" s="67">
        <v>89</v>
      </c>
      <c r="G144" s="67">
        <v>7</v>
      </c>
      <c r="H144" s="67" t="s">
        <v>118</v>
      </c>
      <c r="I144" s="67"/>
      <c r="J144" s="67"/>
      <c r="Q144" s="67" t="s">
        <v>442</v>
      </c>
    </row>
    <row r="145" spans="2:17" thickBot="1" x14ac:dyDescent="0.3">
      <c r="B145" s="66">
        <v>144</v>
      </c>
      <c r="C145" s="66" t="s">
        <v>682</v>
      </c>
      <c r="D145" s="67" t="s">
        <v>1753</v>
      </c>
      <c r="E145" s="67">
        <v>28</v>
      </c>
      <c r="F145" s="67">
        <v>99</v>
      </c>
      <c r="G145" s="67">
        <v>9</v>
      </c>
      <c r="H145" s="67" t="s">
        <v>12</v>
      </c>
      <c r="I145" s="66">
        <v>1</v>
      </c>
      <c r="J145" s="67"/>
      <c r="N145" s="41">
        <v>1</v>
      </c>
      <c r="Q145" s="67"/>
    </row>
    <row r="146" spans="2:17" thickBot="1" x14ac:dyDescent="0.3">
      <c r="B146" s="66">
        <v>145</v>
      </c>
      <c r="C146" s="67" t="s">
        <v>1752</v>
      </c>
      <c r="D146" s="67" t="s">
        <v>1751</v>
      </c>
      <c r="E146" s="67">
        <v>28</v>
      </c>
      <c r="F146" s="67">
        <v>107</v>
      </c>
      <c r="G146" s="67">
        <v>10</v>
      </c>
      <c r="H146" s="67" t="s">
        <v>12</v>
      </c>
      <c r="I146" s="66">
        <v>1</v>
      </c>
      <c r="J146" s="67"/>
      <c r="N146" s="41">
        <v>1</v>
      </c>
      <c r="Q146" s="67" t="s">
        <v>14</v>
      </c>
    </row>
    <row r="147" spans="2:17" thickBot="1" x14ac:dyDescent="0.3">
      <c r="B147" s="66">
        <v>146</v>
      </c>
      <c r="C147" s="67" t="s">
        <v>128</v>
      </c>
      <c r="D147" s="67" t="s">
        <v>1750</v>
      </c>
      <c r="E147" s="67">
        <v>28</v>
      </c>
      <c r="F147" s="67">
        <v>123</v>
      </c>
      <c r="G147" s="67">
        <v>11</v>
      </c>
      <c r="H147" s="67" t="s">
        <v>118</v>
      </c>
      <c r="I147" s="67"/>
      <c r="J147" s="67"/>
      <c r="Q147" s="67" t="s">
        <v>442</v>
      </c>
    </row>
    <row r="148" spans="2:17" thickBot="1" x14ac:dyDescent="0.3">
      <c r="B148" s="66">
        <v>147</v>
      </c>
      <c r="C148" s="66" t="s">
        <v>1749</v>
      </c>
      <c r="D148" s="67" t="s">
        <v>1748</v>
      </c>
      <c r="E148" s="67">
        <v>28</v>
      </c>
      <c r="F148" s="67">
        <v>103</v>
      </c>
      <c r="G148" s="67">
        <v>5</v>
      </c>
      <c r="H148" s="67" t="s">
        <v>118</v>
      </c>
      <c r="I148" s="67"/>
      <c r="J148" s="67"/>
      <c r="Q148" s="67" t="s">
        <v>442</v>
      </c>
    </row>
    <row r="149" spans="2:17" thickBot="1" x14ac:dyDescent="0.3">
      <c r="B149" s="66">
        <v>148</v>
      </c>
      <c r="C149" s="67" t="s">
        <v>832</v>
      </c>
      <c r="D149" s="67" t="s">
        <v>628</v>
      </c>
      <c r="E149" s="67">
        <v>28</v>
      </c>
      <c r="F149" s="67">
        <v>119</v>
      </c>
      <c r="G149" s="67">
        <v>6</v>
      </c>
      <c r="H149" s="67" t="s">
        <v>12</v>
      </c>
      <c r="I149" s="66">
        <v>1</v>
      </c>
      <c r="J149" s="67"/>
      <c r="N149" s="41">
        <v>1</v>
      </c>
      <c r="Q149" s="67"/>
    </row>
    <row r="150" spans="2:17" thickBot="1" x14ac:dyDescent="0.3">
      <c r="B150" s="66">
        <v>149</v>
      </c>
      <c r="C150" s="69" t="s">
        <v>1747</v>
      </c>
      <c r="D150" s="69" t="s">
        <v>1746</v>
      </c>
      <c r="E150" s="68">
        <v>28</v>
      </c>
      <c r="F150" s="68"/>
      <c r="G150" s="68"/>
      <c r="H150" s="67" t="s">
        <v>12</v>
      </c>
      <c r="I150" s="66">
        <v>1</v>
      </c>
      <c r="J150" s="67"/>
      <c r="N150" s="41">
        <v>1</v>
      </c>
      <c r="Q150" s="68" t="s">
        <v>8</v>
      </c>
    </row>
    <row r="151" spans="2:17" thickBot="1" x14ac:dyDescent="0.3">
      <c r="B151" s="66">
        <v>150</v>
      </c>
      <c r="C151" s="66" t="s">
        <v>1745</v>
      </c>
      <c r="D151" s="67" t="s">
        <v>1744</v>
      </c>
      <c r="E151" s="67">
        <v>28</v>
      </c>
      <c r="F151" s="67">
        <v>106</v>
      </c>
      <c r="G151" s="67">
        <v>13</v>
      </c>
      <c r="H151" s="67" t="s">
        <v>12</v>
      </c>
      <c r="I151" s="66">
        <v>1</v>
      </c>
      <c r="J151" s="67"/>
      <c r="N151" s="41">
        <v>1</v>
      </c>
      <c r="Q151" s="67"/>
    </row>
    <row r="152" spans="2:17" thickBot="1" x14ac:dyDescent="0.3">
      <c r="B152" s="66">
        <v>151</v>
      </c>
      <c r="C152" s="67" t="s">
        <v>1150</v>
      </c>
      <c r="D152" s="67" t="s">
        <v>1743</v>
      </c>
      <c r="E152" s="67">
        <v>28</v>
      </c>
      <c r="F152" s="67">
        <v>20</v>
      </c>
      <c r="G152" s="67">
        <v>9</v>
      </c>
      <c r="H152" s="67" t="s">
        <v>26</v>
      </c>
      <c r="I152" s="67"/>
      <c r="J152" s="67">
        <v>1</v>
      </c>
      <c r="Q152" s="67"/>
    </row>
    <row r="153" spans="2:17" thickBot="1" x14ac:dyDescent="0.3">
      <c r="B153" s="66">
        <v>152</v>
      </c>
      <c r="C153" s="67" t="s">
        <v>1742</v>
      </c>
      <c r="D153" s="67" t="s">
        <v>1741</v>
      </c>
      <c r="E153" s="67">
        <v>28</v>
      </c>
      <c r="F153" s="67">
        <v>122</v>
      </c>
      <c r="G153" s="67">
        <v>11</v>
      </c>
      <c r="H153" s="67" t="s">
        <v>12</v>
      </c>
      <c r="I153" s="66">
        <v>1</v>
      </c>
      <c r="J153" s="67"/>
      <c r="N153" s="41">
        <v>1</v>
      </c>
      <c r="Q153" s="67" t="s">
        <v>14</v>
      </c>
    </row>
    <row r="154" spans="2:17" thickBot="1" x14ac:dyDescent="0.3">
      <c r="B154" s="66">
        <v>153</v>
      </c>
      <c r="C154" s="66" t="s">
        <v>682</v>
      </c>
      <c r="D154" s="67" t="s">
        <v>1394</v>
      </c>
      <c r="E154" s="67">
        <v>28</v>
      </c>
      <c r="F154" s="67">
        <v>109</v>
      </c>
      <c r="G154" s="67">
        <v>11</v>
      </c>
      <c r="H154" s="67" t="s">
        <v>26</v>
      </c>
      <c r="I154" s="67"/>
      <c r="J154" s="67">
        <v>1</v>
      </c>
      <c r="Q154" s="67"/>
    </row>
    <row r="155" spans="2:17" thickBot="1" x14ac:dyDescent="0.3">
      <c r="B155" s="66">
        <v>154</v>
      </c>
      <c r="C155" s="67" t="s">
        <v>1069</v>
      </c>
      <c r="D155" s="67" t="s">
        <v>1740</v>
      </c>
      <c r="E155" s="67">
        <v>28</v>
      </c>
      <c r="F155" s="67">
        <v>105</v>
      </c>
      <c r="G155" s="67">
        <v>11</v>
      </c>
      <c r="H155" s="67" t="s">
        <v>26</v>
      </c>
      <c r="I155" s="67"/>
      <c r="J155" s="67">
        <v>1</v>
      </c>
      <c r="M155" s="40">
        <v>1</v>
      </c>
      <c r="Q155" s="67" t="s">
        <v>13</v>
      </c>
    </row>
    <row r="156" spans="2:17" thickBot="1" x14ac:dyDescent="0.3">
      <c r="B156" s="66">
        <v>155</v>
      </c>
      <c r="C156" s="67" t="s">
        <v>402</v>
      </c>
      <c r="D156" s="67" t="s">
        <v>1739</v>
      </c>
      <c r="E156" s="67">
        <v>28</v>
      </c>
      <c r="F156" s="67">
        <v>99</v>
      </c>
      <c r="G156" s="67">
        <v>12</v>
      </c>
      <c r="H156" s="67" t="s">
        <v>26</v>
      </c>
      <c r="I156" s="67"/>
      <c r="J156" s="67">
        <v>1</v>
      </c>
      <c r="M156" s="40">
        <v>1</v>
      </c>
      <c r="Q156" s="67"/>
    </row>
    <row r="157" spans="2:17" thickBot="1" x14ac:dyDescent="0.3">
      <c r="B157" s="66">
        <v>156</v>
      </c>
      <c r="C157" s="66" t="s">
        <v>1738</v>
      </c>
      <c r="D157" s="67" t="s">
        <v>1737</v>
      </c>
      <c r="E157" s="67">
        <v>28</v>
      </c>
      <c r="F157" s="67">
        <v>110</v>
      </c>
      <c r="G157" s="67">
        <v>12</v>
      </c>
      <c r="H157" s="67" t="s">
        <v>12</v>
      </c>
      <c r="I157" s="66">
        <v>1</v>
      </c>
      <c r="J157" s="67"/>
      <c r="N157" s="41">
        <v>1</v>
      </c>
      <c r="Q157" s="67"/>
    </row>
    <row r="158" spans="2:17" thickBot="1" x14ac:dyDescent="0.3">
      <c r="B158" s="66">
        <v>157</v>
      </c>
      <c r="C158" s="67" t="s">
        <v>136</v>
      </c>
      <c r="D158" s="67" t="s">
        <v>714</v>
      </c>
      <c r="E158" s="67">
        <v>28</v>
      </c>
      <c r="F158" s="67">
        <v>110</v>
      </c>
      <c r="G158" s="67">
        <v>12</v>
      </c>
      <c r="H158" s="67" t="s">
        <v>118</v>
      </c>
      <c r="I158" s="67"/>
      <c r="J158" s="67"/>
      <c r="Q158" s="67" t="s">
        <v>442</v>
      </c>
    </row>
    <row r="159" spans="2:17" thickBot="1" x14ac:dyDescent="0.3">
      <c r="B159" s="66">
        <v>158</v>
      </c>
      <c r="C159" s="67" t="s">
        <v>136</v>
      </c>
      <c r="D159" s="67" t="s">
        <v>1736</v>
      </c>
      <c r="E159" s="67">
        <v>28</v>
      </c>
      <c r="F159" s="67">
        <v>129</v>
      </c>
      <c r="G159" s="67">
        <v>12</v>
      </c>
      <c r="H159" s="67" t="s">
        <v>12</v>
      </c>
      <c r="I159" s="66">
        <v>1</v>
      </c>
      <c r="J159" s="67"/>
      <c r="N159" s="41">
        <v>1</v>
      </c>
      <c r="Q159" s="67"/>
    </row>
    <row r="160" spans="2:17" thickBot="1" x14ac:dyDescent="0.3">
      <c r="B160" s="66">
        <v>159</v>
      </c>
      <c r="C160" s="66" t="s">
        <v>600</v>
      </c>
      <c r="D160" s="67" t="s">
        <v>9</v>
      </c>
      <c r="E160" s="67">
        <v>28</v>
      </c>
      <c r="F160" s="67">
        <v>121</v>
      </c>
      <c r="G160" s="67">
        <v>13</v>
      </c>
      <c r="H160" s="67" t="s">
        <v>118</v>
      </c>
      <c r="I160" s="67"/>
      <c r="J160" s="67"/>
      <c r="Q160" s="67" t="s">
        <v>442</v>
      </c>
    </row>
    <row r="161" spans="2:17" thickBot="1" x14ac:dyDescent="0.3">
      <c r="B161" s="66">
        <v>160</v>
      </c>
      <c r="C161" s="67" t="s">
        <v>131</v>
      </c>
      <c r="D161" s="67" t="s">
        <v>1735</v>
      </c>
      <c r="E161" s="67">
        <v>28</v>
      </c>
      <c r="F161" s="67">
        <v>111</v>
      </c>
      <c r="G161" s="67">
        <v>13</v>
      </c>
      <c r="H161" s="67" t="s">
        <v>26</v>
      </c>
      <c r="I161" s="67"/>
      <c r="J161" s="67">
        <v>1</v>
      </c>
      <c r="M161" s="40">
        <v>1</v>
      </c>
      <c r="Q161" s="67"/>
    </row>
    <row r="162" spans="2:17" thickBot="1" x14ac:dyDescent="0.3">
      <c r="B162" s="66">
        <v>161</v>
      </c>
      <c r="C162" s="66" t="s">
        <v>1272</v>
      </c>
      <c r="D162" s="67" t="s">
        <v>10</v>
      </c>
      <c r="E162" s="67">
        <v>28</v>
      </c>
      <c r="F162" s="67">
        <v>110</v>
      </c>
      <c r="G162" s="67">
        <v>13</v>
      </c>
      <c r="H162" s="67" t="s">
        <v>118</v>
      </c>
      <c r="I162" s="67"/>
      <c r="J162" s="67"/>
      <c r="Q162" s="67" t="s">
        <v>442</v>
      </c>
    </row>
    <row r="163" spans="2:17" thickBot="1" x14ac:dyDescent="0.3">
      <c r="B163" s="66">
        <v>162</v>
      </c>
      <c r="C163" s="66" t="s">
        <v>123</v>
      </c>
      <c r="D163" s="67" t="s">
        <v>1734</v>
      </c>
      <c r="E163" s="67">
        <v>28</v>
      </c>
      <c r="F163" s="67">
        <v>108</v>
      </c>
      <c r="G163" s="67">
        <v>13</v>
      </c>
      <c r="H163" s="67" t="s">
        <v>26</v>
      </c>
      <c r="I163" s="67"/>
      <c r="J163" s="67">
        <v>1</v>
      </c>
      <c r="M163" s="40">
        <v>1</v>
      </c>
      <c r="Q163" s="67" t="s">
        <v>13</v>
      </c>
    </row>
    <row r="164" spans="2:17" thickBot="1" x14ac:dyDescent="0.3">
      <c r="B164" s="66">
        <v>163</v>
      </c>
      <c r="C164" s="67" t="s">
        <v>296</v>
      </c>
      <c r="D164" s="67" t="s">
        <v>1423</v>
      </c>
      <c r="E164" s="67">
        <v>28</v>
      </c>
      <c r="F164" s="67">
        <v>94</v>
      </c>
      <c r="G164" s="67">
        <v>12</v>
      </c>
      <c r="H164" s="67" t="s">
        <v>26</v>
      </c>
      <c r="I164" s="67"/>
      <c r="J164" s="67">
        <v>1</v>
      </c>
      <c r="M164" s="40">
        <v>1</v>
      </c>
      <c r="Q164" s="67" t="s">
        <v>13</v>
      </c>
    </row>
    <row r="165" spans="2:17" thickBot="1" x14ac:dyDescent="0.3">
      <c r="B165" s="66">
        <v>164</v>
      </c>
      <c r="C165" s="67" t="s">
        <v>483</v>
      </c>
      <c r="D165" s="67" t="s">
        <v>1733</v>
      </c>
      <c r="E165" s="67">
        <v>28</v>
      </c>
      <c r="F165" s="67">
        <v>93</v>
      </c>
      <c r="G165" s="67">
        <v>14</v>
      </c>
      <c r="H165" s="67" t="s">
        <v>118</v>
      </c>
      <c r="I165" s="67"/>
      <c r="J165" s="67"/>
      <c r="Q165" s="67" t="s">
        <v>442</v>
      </c>
    </row>
    <row r="166" spans="2:17" thickBot="1" x14ac:dyDescent="0.3">
      <c r="B166" s="66">
        <v>165</v>
      </c>
      <c r="C166" s="66" t="s">
        <v>1121</v>
      </c>
      <c r="D166" s="67" t="s">
        <v>1732</v>
      </c>
      <c r="E166" s="67">
        <v>28</v>
      </c>
      <c r="F166" s="67">
        <v>117</v>
      </c>
      <c r="G166" s="67">
        <v>14</v>
      </c>
      <c r="H166" s="67" t="s">
        <v>12</v>
      </c>
      <c r="I166" s="66">
        <v>1</v>
      </c>
      <c r="J166" s="67"/>
      <c r="N166" s="41">
        <v>1</v>
      </c>
      <c r="Q166" s="67"/>
    </row>
    <row r="167" spans="2:17" thickBot="1" x14ac:dyDescent="0.3">
      <c r="B167" s="66">
        <v>166</v>
      </c>
      <c r="C167" s="67" t="s">
        <v>602</v>
      </c>
      <c r="D167" s="67" t="s">
        <v>515</v>
      </c>
      <c r="E167" s="67">
        <v>28</v>
      </c>
      <c r="F167" s="67">
        <v>98</v>
      </c>
      <c r="G167" s="67">
        <v>15</v>
      </c>
      <c r="H167" s="67" t="s">
        <v>26</v>
      </c>
      <c r="I167" s="67"/>
      <c r="J167" s="67">
        <v>1</v>
      </c>
      <c r="Q167" s="67"/>
    </row>
    <row r="168" spans="2:17" thickBot="1" x14ac:dyDescent="0.3">
      <c r="B168" s="66">
        <v>167</v>
      </c>
      <c r="C168" s="67" t="s">
        <v>1478</v>
      </c>
      <c r="D168" s="67" t="s">
        <v>1318</v>
      </c>
      <c r="E168" s="67">
        <v>28</v>
      </c>
      <c r="F168" s="67">
        <v>97</v>
      </c>
      <c r="G168" s="67">
        <v>15</v>
      </c>
      <c r="H168" s="67" t="s">
        <v>26</v>
      </c>
      <c r="I168" s="67"/>
      <c r="J168" s="67">
        <v>1</v>
      </c>
      <c r="Q168" s="67"/>
    </row>
    <row r="169" spans="2:17" thickBot="1" x14ac:dyDescent="0.3">
      <c r="B169" s="66">
        <v>168</v>
      </c>
      <c r="C169" s="66" t="s">
        <v>799</v>
      </c>
      <c r="D169" s="67" t="s">
        <v>1604</v>
      </c>
      <c r="E169" s="67">
        <v>28</v>
      </c>
      <c r="F169" s="67">
        <v>97</v>
      </c>
      <c r="G169" s="67">
        <v>15</v>
      </c>
      <c r="H169" s="67" t="s">
        <v>12</v>
      </c>
      <c r="I169" s="66">
        <v>1</v>
      </c>
      <c r="J169" s="67"/>
      <c r="P169" s="41">
        <v>1</v>
      </c>
      <c r="Q169" s="67"/>
    </row>
    <row r="170" spans="2:17" thickBot="1" x14ac:dyDescent="0.3">
      <c r="B170" s="66">
        <v>169</v>
      </c>
      <c r="C170" s="67" t="s">
        <v>166</v>
      </c>
      <c r="D170" s="67" t="s">
        <v>1731</v>
      </c>
      <c r="E170" s="67">
        <v>28</v>
      </c>
      <c r="F170" s="67">
        <v>93</v>
      </c>
      <c r="G170" s="67">
        <v>15</v>
      </c>
      <c r="H170" s="67" t="s">
        <v>12</v>
      </c>
      <c r="I170" s="66">
        <v>1</v>
      </c>
      <c r="J170" s="67"/>
      <c r="N170" s="41">
        <v>1</v>
      </c>
      <c r="Q170" s="67" t="s">
        <v>14</v>
      </c>
    </row>
    <row r="171" spans="2:17" thickBot="1" x14ac:dyDescent="0.3">
      <c r="B171" s="66">
        <v>170</v>
      </c>
      <c r="C171" s="67" t="s">
        <v>852</v>
      </c>
      <c r="D171" s="67" t="s">
        <v>1730</v>
      </c>
      <c r="E171" s="67">
        <v>28</v>
      </c>
      <c r="F171" s="67">
        <v>16</v>
      </c>
      <c r="G171" s="67">
        <v>16</v>
      </c>
      <c r="H171" s="67" t="s">
        <v>26</v>
      </c>
      <c r="I171" s="67"/>
      <c r="J171" s="67">
        <v>1</v>
      </c>
      <c r="M171" s="40">
        <v>1</v>
      </c>
      <c r="Q171" s="67" t="s">
        <v>13</v>
      </c>
    </row>
    <row r="172" spans="2:17" thickBot="1" x14ac:dyDescent="0.3">
      <c r="B172" s="66">
        <v>171</v>
      </c>
      <c r="C172" s="66" t="s">
        <v>135</v>
      </c>
      <c r="D172" s="67" t="s">
        <v>1729</v>
      </c>
      <c r="E172" s="67">
        <v>28</v>
      </c>
      <c r="F172" s="67">
        <v>91</v>
      </c>
      <c r="G172" s="67">
        <v>16</v>
      </c>
      <c r="H172" s="67" t="s">
        <v>12</v>
      </c>
      <c r="I172" s="66">
        <v>1</v>
      </c>
      <c r="J172" s="67"/>
      <c r="N172" s="41">
        <v>1</v>
      </c>
      <c r="Q172" s="67"/>
    </row>
    <row r="173" spans="2:17" thickBot="1" x14ac:dyDescent="0.3">
      <c r="B173" s="66">
        <v>172</v>
      </c>
      <c r="C173" s="67" t="s">
        <v>280</v>
      </c>
      <c r="D173" s="67" t="s">
        <v>755</v>
      </c>
      <c r="E173" s="67">
        <v>28</v>
      </c>
      <c r="F173" s="67">
        <v>92</v>
      </c>
      <c r="G173" s="67">
        <v>16</v>
      </c>
      <c r="H173" s="67" t="s">
        <v>12</v>
      </c>
      <c r="I173" s="66">
        <v>1</v>
      </c>
      <c r="J173" s="67"/>
      <c r="N173" s="41">
        <v>1</v>
      </c>
      <c r="Q173" s="67" t="s">
        <v>14</v>
      </c>
    </row>
    <row r="174" spans="2:17" thickBot="1" x14ac:dyDescent="0.3">
      <c r="B174" s="66">
        <v>173</v>
      </c>
      <c r="C174" s="67" t="s">
        <v>1728</v>
      </c>
      <c r="D174" s="67" t="s">
        <v>930</v>
      </c>
      <c r="E174" s="67">
        <v>28</v>
      </c>
      <c r="F174" s="67"/>
      <c r="G174" s="67"/>
      <c r="H174" s="67" t="s">
        <v>26</v>
      </c>
      <c r="I174" s="67"/>
      <c r="J174" s="67">
        <v>1</v>
      </c>
      <c r="Q174" s="67"/>
    </row>
    <row r="175" spans="2:17" thickBot="1" x14ac:dyDescent="0.3">
      <c r="B175" s="66">
        <v>174</v>
      </c>
      <c r="C175" s="66" t="s">
        <v>135</v>
      </c>
      <c r="D175" s="67" t="s">
        <v>1727</v>
      </c>
      <c r="E175" s="67">
        <v>28</v>
      </c>
      <c r="F175" s="67">
        <v>126</v>
      </c>
      <c r="G175" s="67">
        <v>16</v>
      </c>
      <c r="H175" s="67" t="s">
        <v>26</v>
      </c>
      <c r="I175" s="67"/>
      <c r="J175" s="67">
        <v>1</v>
      </c>
      <c r="Q175" s="67" t="s">
        <v>14</v>
      </c>
    </row>
    <row r="176" spans="2:17" thickBot="1" x14ac:dyDescent="0.3">
      <c r="B176" s="66">
        <v>175</v>
      </c>
      <c r="C176" s="67" t="s">
        <v>135</v>
      </c>
      <c r="D176" s="67" t="s">
        <v>1726</v>
      </c>
      <c r="E176" s="67">
        <v>28</v>
      </c>
      <c r="F176" s="67">
        <v>126</v>
      </c>
      <c r="G176" s="67">
        <v>16</v>
      </c>
      <c r="H176" s="67" t="s">
        <v>26</v>
      </c>
      <c r="I176" s="67"/>
      <c r="J176" s="67">
        <v>1</v>
      </c>
      <c r="Q176" s="67"/>
    </row>
    <row r="177" spans="2:17" thickBot="1" x14ac:dyDescent="0.3">
      <c r="B177" s="66">
        <v>176</v>
      </c>
      <c r="C177" s="67" t="s">
        <v>1725</v>
      </c>
      <c r="D177" s="67" t="s">
        <v>784</v>
      </c>
      <c r="E177" s="67">
        <v>28</v>
      </c>
      <c r="F177" s="67">
        <v>121</v>
      </c>
      <c r="G177" s="67">
        <v>17</v>
      </c>
      <c r="H177" s="67" t="s">
        <v>26</v>
      </c>
      <c r="I177" s="67"/>
      <c r="J177" s="67">
        <v>1</v>
      </c>
      <c r="Q177" s="67"/>
    </row>
    <row r="178" spans="2:17" thickBot="1" x14ac:dyDescent="0.3">
      <c r="B178" s="66">
        <v>177</v>
      </c>
      <c r="C178" s="66" t="s">
        <v>132</v>
      </c>
      <c r="D178" s="67" t="s">
        <v>1724</v>
      </c>
      <c r="E178" s="67">
        <v>28</v>
      </c>
      <c r="F178" s="67">
        <v>106</v>
      </c>
      <c r="G178" s="67">
        <v>17</v>
      </c>
      <c r="H178" s="67" t="s">
        <v>12</v>
      </c>
      <c r="I178" s="66">
        <v>1</v>
      </c>
      <c r="J178" s="67"/>
      <c r="N178" s="41">
        <v>1</v>
      </c>
      <c r="Q178" s="67" t="s">
        <v>14</v>
      </c>
    </row>
    <row r="179" spans="2:17" thickBot="1" x14ac:dyDescent="0.3">
      <c r="B179" s="66">
        <v>178</v>
      </c>
      <c r="C179" s="67" t="s">
        <v>958</v>
      </c>
      <c r="D179" s="67" t="s">
        <v>1723</v>
      </c>
      <c r="E179" s="67">
        <v>28</v>
      </c>
      <c r="F179" s="67" t="s">
        <v>11</v>
      </c>
      <c r="G179" s="67">
        <v>17</v>
      </c>
      <c r="H179" s="67" t="s">
        <v>26</v>
      </c>
      <c r="I179" s="67"/>
      <c r="J179" s="67">
        <v>1</v>
      </c>
      <c r="Q179" s="67"/>
    </row>
    <row r="180" spans="2:17" thickBot="1" x14ac:dyDescent="0.3">
      <c r="B180" s="66">
        <v>179</v>
      </c>
      <c r="C180" s="67" t="s">
        <v>1338</v>
      </c>
      <c r="D180" s="67" t="s">
        <v>1722</v>
      </c>
      <c r="E180" s="67">
        <v>28</v>
      </c>
      <c r="F180" s="67">
        <v>104</v>
      </c>
      <c r="G180" s="67">
        <v>17</v>
      </c>
      <c r="H180" s="67" t="s">
        <v>12</v>
      </c>
      <c r="I180" s="66">
        <v>1</v>
      </c>
      <c r="J180" s="67"/>
      <c r="N180" s="41">
        <v>1</v>
      </c>
      <c r="Q180" s="67"/>
    </row>
    <row r="181" spans="2:17" thickBot="1" x14ac:dyDescent="0.3">
      <c r="B181" s="66">
        <v>180</v>
      </c>
      <c r="C181" s="66" t="s">
        <v>600</v>
      </c>
      <c r="D181" s="67" t="s">
        <v>6</v>
      </c>
      <c r="E181" s="67">
        <v>28</v>
      </c>
      <c r="F181" s="67">
        <v>96</v>
      </c>
      <c r="G181" s="67">
        <v>17</v>
      </c>
      <c r="H181" s="67" t="s">
        <v>12</v>
      </c>
      <c r="I181" s="66">
        <v>1</v>
      </c>
      <c r="J181" s="67"/>
      <c r="N181" s="41">
        <v>1</v>
      </c>
      <c r="Q181" s="67"/>
    </row>
    <row r="182" spans="2:17" thickBot="1" x14ac:dyDescent="0.3">
      <c r="B182" s="66">
        <v>181</v>
      </c>
      <c r="C182" s="67" t="s">
        <v>136</v>
      </c>
      <c r="D182" s="84" t="s">
        <v>1721</v>
      </c>
      <c r="E182" s="84">
        <v>28</v>
      </c>
      <c r="F182" s="84">
        <v>113</v>
      </c>
      <c r="G182" s="84">
        <v>18</v>
      </c>
      <c r="H182" s="67" t="s">
        <v>26</v>
      </c>
      <c r="I182" s="84"/>
      <c r="J182" s="67">
        <v>1</v>
      </c>
      <c r="M182" s="40">
        <v>1</v>
      </c>
      <c r="Q182" s="84"/>
    </row>
    <row r="183" spans="2:17" thickBot="1" x14ac:dyDescent="0.3">
      <c r="B183" s="66">
        <v>182</v>
      </c>
      <c r="C183" s="67" t="s">
        <v>131</v>
      </c>
      <c r="D183" s="84" t="s">
        <v>1720</v>
      </c>
      <c r="E183" s="84">
        <v>28</v>
      </c>
      <c r="F183" s="84">
        <v>121</v>
      </c>
      <c r="G183" s="84">
        <v>18</v>
      </c>
      <c r="H183" s="84" t="s">
        <v>12</v>
      </c>
      <c r="I183" s="66">
        <v>1</v>
      </c>
      <c r="J183" s="84"/>
      <c r="N183" s="41">
        <v>1</v>
      </c>
      <c r="Q183" s="84"/>
    </row>
    <row r="184" spans="2:17" thickBot="1" x14ac:dyDescent="0.3">
      <c r="B184" s="66">
        <v>183</v>
      </c>
      <c r="C184" s="66" t="s">
        <v>131</v>
      </c>
      <c r="D184" s="84" t="s">
        <v>1719</v>
      </c>
      <c r="E184" s="84">
        <v>28</v>
      </c>
      <c r="F184" s="84">
        <v>129</v>
      </c>
      <c r="G184" s="84">
        <v>18</v>
      </c>
      <c r="H184" s="84" t="s">
        <v>12</v>
      </c>
      <c r="I184" s="66">
        <v>1</v>
      </c>
      <c r="J184" s="84"/>
      <c r="N184" s="41">
        <v>1</v>
      </c>
      <c r="Q184" s="84"/>
    </row>
    <row r="185" spans="2:17" thickBot="1" x14ac:dyDescent="0.3">
      <c r="B185" s="66">
        <v>184</v>
      </c>
      <c r="C185" s="67" t="s">
        <v>1718</v>
      </c>
      <c r="D185" s="84" t="s">
        <v>1717</v>
      </c>
      <c r="E185" s="84">
        <v>28</v>
      </c>
      <c r="F185" s="84">
        <v>130</v>
      </c>
      <c r="G185" s="84">
        <v>18</v>
      </c>
      <c r="H185" s="84" t="s">
        <v>12</v>
      </c>
      <c r="I185" s="66">
        <v>1</v>
      </c>
      <c r="J185" s="84"/>
      <c r="N185" s="41">
        <v>1</v>
      </c>
      <c r="Q185" s="84"/>
    </row>
    <row r="186" spans="2:17" thickBot="1" x14ac:dyDescent="0.3">
      <c r="B186" s="66">
        <v>185</v>
      </c>
      <c r="C186" s="67" t="s">
        <v>137</v>
      </c>
      <c r="D186" s="84" t="s">
        <v>1766</v>
      </c>
      <c r="E186" s="84">
        <v>28</v>
      </c>
      <c r="F186" s="84">
        <v>131</v>
      </c>
      <c r="G186" s="84">
        <v>18</v>
      </c>
      <c r="H186" s="84" t="s">
        <v>12</v>
      </c>
      <c r="I186" s="66">
        <v>1</v>
      </c>
      <c r="J186" s="84"/>
      <c r="N186" s="41">
        <v>1</v>
      </c>
      <c r="Q186" s="84"/>
    </row>
    <row r="187" spans="2:17" thickBot="1" x14ac:dyDescent="0.3">
      <c r="B187" s="66">
        <v>186</v>
      </c>
      <c r="C187" s="66" t="s">
        <v>600</v>
      </c>
      <c r="D187" s="84" t="s">
        <v>6</v>
      </c>
      <c r="E187" s="84">
        <v>28</v>
      </c>
      <c r="F187" s="84">
        <v>104</v>
      </c>
      <c r="G187" s="84">
        <v>19</v>
      </c>
      <c r="H187" s="67" t="s">
        <v>26</v>
      </c>
      <c r="I187" s="84"/>
      <c r="J187" s="67">
        <v>1</v>
      </c>
      <c r="Q187" s="84"/>
    </row>
    <row r="188" spans="2:17" thickBot="1" x14ac:dyDescent="0.3">
      <c r="B188" s="66">
        <v>187</v>
      </c>
      <c r="C188" s="67" t="s">
        <v>137</v>
      </c>
      <c r="D188" s="84" t="s">
        <v>1581</v>
      </c>
      <c r="E188" s="84">
        <v>28</v>
      </c>
      <c r="F188" s="84">
        <v>85</v>
      </c>
      <c r="G188" s="84">
        <v>19</v>
      </c>
      <c r="H188" s="67" t="s">
        <v>26</v>
      </c>
      <c r="I188" s="84"/>
      <c r="J188" s="67">
        <v>1</v>
      </c>
      <c r="Q188" s="84" t="s">
        <v>14</v>
      </c>
    </row>
    <row r="189" spans="2:17" thickBot="1" x14ac:dyDescent="0.3">
      <c r="B189" s="66">
        <v>188</v>
      </c>
      <c r="C189" s="67" t="s">
        <v>1765</v>
      </c>
      <c r="D189" s="84" t="s">
        <v>1764</v>
      </c>
      <c r="E189" s="84">
        <v>28</v>
      </c>
      <c r="F189" s="84">
        <v>97</v>
      </c>
      <c r="G189" s="84">
        <v>20</v>
      </c>
      <c r="H189" s="67" t="s">
        <v>118</v>
      </c>
      <c r="I189" s="84"/>
      <c r="J189" s="84"/>
      <c r="Q189" s="67" t="s">
        <v>442</v>
      </c>
    </row>
    <row r="190" spans="2:17" thickBot="1" x14ac:dyDescent="0.3">
      <c r="B190" s="66">
        <v>189</v>
      </c>
      <c r="C190" s="66" t="s">
        <v>575</v>
      </c>
      <c r="D190" s="84" t="s">
        <v>1763</v>
      </c>
      <c r="E190" s="84">
        <v>28</v>
      </c>
      <c r="F190" s="84">
        <v>101</v>
      </c>
      <c r="G190" s="84">
        <v>20</v>
      </c>
      <c r="H190" s="67" t="s">
        <v>118</v>
      </c>
      <c r="I190" s="84"/>
      <c r="J190" s="84"/>
      <c r="Q190" s="67" t="s">
        <v>442</v>
      </c>
    </row>
    <row r="191" spans="2:17" thickBot="1" x14ac:dyDescent="0.3">
      <c r="B191" s="66">
        <v>190</v>
      </c>
      <c r="C191" s="67" t="s">
        <v>138</v>
      </c>
      <c r="D191" s="84" t="s">
        <v>930</v>
      </c>
      <c r="E191" s="84">
        <v>28</v>
      </c>
      <c r="F191" s="84">
        <v>114</v>
      </c>
      <c r="G191" s="84">
        <v>21</v>
      </c>
      <c r="H191" s="67" t="s">
        <v>26</v>
      </c>
      <c r="I191" s="84"/>
      <c r="J191" s="67">
        <v>1</v>
      </c>
      <c r="Q191" s="84"/>
    </row>
    <row r="192" spans="2:17" thickBot="1" x14ac:dyDescent="0.3">
      <c r="B192" s="66">
        <v>191</v>
      </c>
      <c r="C192" s="67" t="s">
        <v>311</v>
      </c>
      <c r="D192" s="84" t="s">
        <v>1762</v>
      </c>
      <c r="E192" s="84">
        <v>28</v>
      </c>
      <c r="F192" s="84">
        <v>102</v>
      </c>
      <c r="G192" s="84">
        <v>21</v>
      </c>
      <c r="H192" s="84" t="s">
        <v>12</v>
      </c>
      <c r="I192" s="66">
        <v>1</v>
      </c>
      <c r="J192" s="84"/>
      <c r="N192" s="41">
        <v>1</v>
      </c>
      <c r="Q192" s="84"/>
    </row>
    <row r="193" spans="1:17" thickBot="1" x14ac:dyDescent="0.3">
      <c r="B193" s="66">
        <v>192</v>
      </c>
      <c r="C193" s="66" t="s">
        <v>1761</v>
      </c>
      <c r="D193" s="84" t="s">
        <v>1743</v>
      </c>
      <c r="E193" s="84">
        <v>28</v>
      </c>
      <c r="F193" s="84">
        <v>102</v>
      </c>
      <c r="G193" s="84">
        <v>22</v>
      </c>
      <c r="H193" s="84" t="s">
        <v>12</v>
      </c>
      <c r="I193" s="66">
        <v>1</v>
      </c>
      <c r="J193" s="84"/>
      <c r="N193" s="41">
        <v>1</v>
      </c>
      <c r="Q193" s="84" t="s">
        <v>14</v>
      </c>
    </row>
    <row r="194" spans="1:17" ht="24.75" thickBot="1" x14ac:dyDescent="0.3">
      <c r="A194" s="85" t="s">
        <v>1760</v>
      </c>
      <c r="B194" s="66">
        <v>193</v>
      </c>
      <c r="C194" s="69" t="s">
        <v>1758</v>
      </c>
      <c r="D194" s="86" t="s">
        <v>1759</v>
      </c>
      <c r="E194" s="50">
        <v>28</v>
      </c>
      <c r="F194" s="50">
        <v>111</v>
      </c>
      <c r="G194" s="50">
        <v>8</v>
      </c>
      <c r="H194" s="50" t="s">
        <v>12</v>
      </c>
      <c r="I194" s="66">
        <v>1</v>
      </c>
      <c r="J194" s="50"/>
      <c r="P194" s="41">
        <v>1</v>
      </c>
      <c r="Q194" s="50" t="s">
        <v>36</v>
      </c>
    </row>
    <row r="195" spans="1:17" thickBot="1" x14ac:dyDescent="0.3">
      <c r="B195" s="66">
        <v>194</v>
      </c>
      <c r="C195" s="67" t="s">
        <v>1758</v>
      </c>
      <c r="D195" s="50" t="s">
        <v>1757</v>
      </c>
      <c r="E195" s="50">
        <v>28</v>
      </c>
      <c r="F195" s="50">
        <v>83</v>
      </c>
      <c r="G195" s="50">
        <v>22</v>
      </c>
      <c r="H195" s="50" t="s">
        <v>12</v>
      </c>
      <c r="I195" s="66">
        <v>1</v>
      </c>
      <c r="J195" s="50"/>
      <c r="P195" s="41">
        <v>1</v>
      </c>
      <c r="Q195" s="50" t="s">
        <v>36</v>
      </c>
    </row>
    <row r="196" spans="1:17" thickBot="1" x14ac:dyDescent="0.3">
      <c r="B196" s="66">
        <v>195</v>
      </c>
      <c r="C196" s="66" t="s">
        <v>1756</v>
      </c>
      <c r="D196" s="50" t="s">
        <v>398</v>
      </c>
      <c r="E196" s="50">
        <v>28</v>
      </c>
      <c r="F196" s="50">
        <v>16</v>
      </c>
      <c r="G196" s="50">
        <v>1</v>
      </c>
      <c r="H196" s="50" t="s">
        <v>12</v>
      </c>
      <c r="I196" s="66">
        <v>1</v>
      </c>
      <c r="J196" s="50"/>
      <c r="P196" s="41">
        <v>1</v>
      </c>
      <c r="Q196" s="50" t="s">
        <v>36</v>
      </c>
    </row>
    <row r="197" spans="1:17" thickBot="1" x14ac:dyDescent="0.3">
      <c r="B197" s="66">
        <v>196</v>
      </c>
      <c r="C197" s="67" t="s">
        <v>224</v>
      </c>
      <c r="D197" s="50" t="s">
        <v>1605</v>
      </c>
      <c r="E197" s="50">
        <v>28</v>
      </c>
      <c r="F197" s="50">
        <v>125</v>
      </c>
      <c r="G197" s="50">
        <v>11</v>
      </c>
      <c r="H197" s="50" t="s">
        <v>12</v>
      </c>
      <c r="I197" s="66">
        <v>1</v>
      </c>
      <c r="J197" s="50"/>
      <c r="P197" s="41">
        <v>1</v>
      </c>
      <c r="Q197" s="50" t="s">
        <v>36</v>
      </c>
    </row>
    <row r="198" spans="1:17" thickBot="1" x14ac:dyDescent="0.3">
      <c r="B198" s="66">
        <v>197</v>
      </c>
      <c r="C198" s="67" t="s">
        <v>224</v>
      </c>
      <c r="D198" s="50" t="s">
        <v>1606</v>
      </c>
      <c r="E198" s="50">
        <v>28</v>
      </c>
      <c r="F198" s="50">
        <v>124</v>
      </c>
      <c r="G198" s="50">
        <v>11</v>
      </c>
      <c r="H198" s="50" t="s">
        <v>12</v>
      </c>
      <c r="I198" s="66">
        <v>1</v>
      </c>
      <c r="J198" s="50"/>
      <c r="P198" s="41">
        <v>1</v>
      </c>
      <c r="Q198" s="50" t="s">
        <v>36</v>
      </c>
    </row>
    <row r="199" spans="1:17" thickBot="1" x14ac:dyDescent="0.3">
      <c r="B199" s="66">
        <v>198</v>
      </c>
      <c r="C199" s="66" t="s">
        <v>224</v>
      </c>
      <c r="D199" s="50" t="s">
        <v>1161</v>
      </c>
      <c r="E199" s="50">
        <v>28</v>
      </c>
      <c r="F199" s="50">
        <v>74</v>
      </c>
      <c r="G199" s="50">
        <v>17</v>
      </c>
      <c r="H199" s="50" t="s">
        <v>12</v>
      </c>
      <c r="I199" s="66">
        <v>1</v>
      </c>
      <c r="J199" s="50"/>
      <c r="P199" s="41">
        <v>1</v>
      </c>
      <c r="Q199" s="50" t="s">
        <v>36</v>
      </c>
    </row>
    <row r="200" spans="1:17" thickBot="1" x14ac:dyDescent="0.3">
      <c r="B200" s="66">
        <v>199</v>
      </c>
      <c r="C200" s="67" t="s">
        <v>799</v>
      </c>
      <c r="D200" s="50" t="s">
        <v>711</v>
      </c>
      <c r="E200" s="50">
        <v>28</v>
      </c>
      <c r="F200" s="50">
        <v>116</v>
      </c>
      <c r="G200" s="50">
        <v>11</v>
      </c>
      <c r="H200" s="50" t="s">
        <v>12</v>
      </c>
      <c r="I200" s="66">
        <v>1</v>
      </c>
      <c r="J200" s="50"/>
      <c r="P200" s="41">
        <v>1</v>
      </c>
      <c r="Q200" s="50" t="s">
        <v>36</v>
      </c>
    </row>
    <row r="201" spans="1:17" thickBot="1" x14ac:dyDescent="0.3">
      <c r="B201" s="66">
        <v>200</v>
      </c>
      <c r="C201" s="67" t="s">
        <v>799</v>
      </c>
      <c r="D201" s="50" t="s">
        <v>1155</v>
      </c>
      <c r="E201" s="50">
        <v>28</v>
      </c>
      <c r="F201" s="50">
        <v>98</v>
      </c>
      <c r="G201" s="50">
        <v>15</v>
      </c>
      <c r="H201" s="50" t="s">
        <v>12</v>
      </c>
      <c r="I201" s="66">
        <v>1</v>
      </c>
      <c r="J201" s="50"/>
      <c r="P201" s="41">
        <v>1</v>
      </c>
      <c r="Q201" s="50" t="s">
        <v>36</v>
      </c>
    </row>
    <row r="202" spans="1:17" thickBot="1" x14ac:dyDescent="0.3">
      <c r="B202" s="66">
        <v>201</v>
      </c>
      <c r="C202" s="66" t="s">
        <v>1803</v>
      </c>
      <c r="D202" s="50" t="s">
        <v>1802</v>
      </c>
      <c r="E202" s="50">
        <v>28</v>
      </c>
      <c r="F202" s="50">
        <v>13</v>
      </c>
      <c r="G202" s="50">
        <v>13</v>
      </c>
      <c r="H202" s="50" t="s">
        <v>12</v>
      </c>
      <c r="I202" s="66">
        <v>1</v>
      </c>
      <c r="J202" s="50"/>
      <c r="P202" s="41">
        <v>1</v>
      </c>
      <c r="Q202" s="50" t="s">
        <v>36</v>
      </c>
    </row>
    <row r="203" spans="1:17" thickBot="1" x14ac:dyDescent="0.3">
      <c r="B203" s="66">
        <v>202</v>
      </c>
      <c r="C203" s="67" t="s">
        <v>136</v>
      </c>
      <c r="D203" s="50" t="s">
        <v>1801</v>
      </c>
      <c r="E203" s="50">
        <v>28</v>
      </c>
      <c r="F203" s="50">
        <v>9</v>
      </c>
      <c r="G203" s="50">
        <v>14</v>
      </c>
      <c r="H203" s="50" t="s">
        <v>12</v>
      </c>
      <c r="I203" s="66">
        <v>1</v>
      </c>
      <c r="J203" s="50"/>
      <c r="P203" s="41">
        <v>1</v>
      </c>
      <c r="Q203" s="50" t="s">
        <v>36</v>
      </c>
    </row>
    <row r="204" spans="1:17" ht="38.25" thickBot="1" x14ac:dyDescent="0.3">
      <c r="B204" s="66">
        <v>203</v>
      </c>
      <c r="C204" s="67" t="s">
        <v>136</v>
      </c>
      <c r="D204" s="50" t="s">
        <v>1800</v>
      </c>
      <c r="E204" s="50">
        <v>28</v>
      </c>
      <c r="F204" s="50">
        <v>70</v>
      </c>
      <c r="G204" s="50">
        <v>1</v>
      </c>
      <c r="H204" s="50" t="s">
        <v>12</v>
      </c>
      <c r="I204" s="66">
        <v>1</v>
      </c>
      <c r="J204" s="50"/>
      <c r="P204" s="41">
        <v>1</v>
      </c>
      <c r="Q204" s="50" t="s">
        <v>36</v>
      </c>
    </row>
    <row r="205" spans="1:17" thickBot="1" x14ac:dyDescent="0.3">
      <c r="B205" s="66">
        <v>204</v>
      </c>
      <c r="C205" s="66" t="s">
        <v>1799</v>
      </c>
      <c r="D205" s="50" t="s">
        <v>1798</v>
      </c>
      <c r="E205" s="50">
        <v>28</v>
      </c>
      <c r="F205" s="50">
        <v>35</v>
      </c>
      <c r="G205" s="50" t="s">
        <v>20</v>
      </c>
      <c r="H205" s="50" t="s">
        <v>12</v>
      </c>
      <c r="I205" s="66">
        <v>1</v>
      </c>
      <c r="J205" s="50"/>
      <c r="P205" s="41">
        <v>1</v>
      </c>
      <c r="Q205" s="50" t="s">
        <v>36</v>
      </c>
    </row>
    <row r="206" spans="1:17" thickBot="1" x14ac:dyDescent="0.3">
      <c r="B206" s="66">
        <v>205</v>
      </c>
      <c r="C206" s="67" t="s">
        <v>1797</v>
      </c>
      <c r="D206" s="50" t="s">
        <v>1796</v>
      </c>
      <c r="E206" s="50">
        <v>28</v>
      </c>
      <c r="F206" s="50">
        <v>8</v>
      </c>
      <c r="G206" s="50">
        <v>12</v>
      </c>
      <c r="H206" s="50" t="s">
        <v>12</v>
      </c>
      <c r="I206" s="66">
        <v>1</v>
      </c>
      <c r="J206" s="50"/>
      <c r="P206" s="41">
        <v>1</v>
      </c>
      <c r="Q206" s="50" t="s">
        <v>36</v>
      </c>
    </row>
    <row r="207" spans="1:17" thickBot="1" x14ac:dyDescent="0.3">
      <c r="B207" s="66">
        <v>206</v>
      </c>
      <c r="C207" s="67" t="s">
        <v>253</v>
      </c>
      <c r="D207" s="50" t="s">
        <v>985</v>
      </c>
      <c r="E207" s="50">
        <v>28</v>
      </c>
      <c r="F207" s="50">
        <v>61</v>
      </c>
      <c r="G207" s="50">
        <v>22</v>
      </c>
      <c r="H207" s="50" t="s">
        <v>12</v>
      </c>
      <c r="I207" s="66">
        <v>1</v>
      </c>
      <c r="J207" s="50"/>
      <c r="P207" s="41">
        <v>1</v>
      </c>
      <c r="Q207" s="50" t="s">
        <v>36</v>
      </c>
    </row>
    <row r="208" spans="1:17" thickBot="1" x14ac:dyDescent="0.3">
      <c r="B208" s="66">
        <v>207</v>
      </c>
      <c r="C208" s="66" t="s">
        <v>253</v>
      </c>
      <c r="D208" s="50" t="s">
        <v>1795</v>
      </c>
      <c r="E208" s="50">
        <v>28</v>
      </c>
      <c r="F208" s="50">
        <v>28</v>
      </c>
      <c r="G208" s="50">
        <v>16</v>
      </c>
      <c r="H208" s="50" t="s">
        <v>12</v>
      </c>
      <c r="I208" s="66">
        <v>1</v>
      </c>
      <c r="J208" s="50"/>
      <c r="P208" s="41">
        <v>1</v>
      </c>
      <c r="Q208" s="50" t="s">
        <v>36</v>
      </c>
    </row>
    <row r="209" spans="2:17" thickBot="1" x14ac:dyDescent="0.3">
      <c r="B209" s="66">
        <v>208</v>
      </c>
      <c r="C209" s="67" t="s">
        <v>253</v>
      </c>
      <c r="D209" s="50" t="s">
        <v>1794</v>
      </c>
      <c r="E209" s="50">
        <v>28</v>
      </c>
      <c r="F209" s="50">
        <v>45</v>
      </c>
      <c r="G209" s="50">
        <v>21</v>
      </c>
      <c r="H209" s="50" t="s">
        <v>12</v>
      </c>
      <c r="I209" s="66">
        <v>1</v>
      </c>
      <c r="J209" s="50"/>
      <c r="P209" s="41">
        <v>1</v>
      </c>
      <c r="Q209" s="50" t="s">
        <v>36</v>
      </c>
    </row>
    <row r="210" spans="2:17" thickBot="1" x14ac:dyDescent="0.3">
      <c r="B210" s="66">
        <v>209</v>
      </c>
      <c r="C210" s="67" t="s">
        <v>483</v>
      </c>
      <c r="D210" s="50" t="s">
        <v>1793</v>
      </c>
      <c r="E210" s="50">
        <v>28</v>
      </c>
      <c r="F210" s="50">
        <v>5</v>
      </c>
      <c r="G210" s="50">
        <v>8</v>
      </c>
      <c r="H210" s="50" t="s">
        <v>12</v>
      </c>
      <c r="I210" s="66">
        <v>1</v>
      </c>
      <c r="J210" s="50"/>
      <c r="P210" s="41">
        <v>1</v>
      </c>
      <c r="Q210" s="50" t="s">
        <v>36</v>
      </c>
    </row>
    <row r="211" spans="2:17" thickBot="1" x14ac:dyDescent="0.3">
      <c r="B211" s="66">
        <v>210</v>
      </c>
      <c r="C211" s="66" t="s">
        <v>815</v>
      </c>
      <c r="D211" s="50" t="s">
        <v>77</v>
      </c>
      <c r="E211" s="50">
        <v>28</v>
      </c>
      <c r="F211" s="50">
        <v>61</v>
      </c>
      <c r="G211" s="50">
        <v>8</v>
      </c>
      <c r="H211" s="50" t="s">
        <v>12</v>
      </c>
      <c r="I211" s="66">
        <v>1</v>
      </c>
      <c r="J211" s="50"/>
      <c r="P211" s="41">
        <v>1</v>
      </c>
      <c r="Q211" s="50" t="s">
        <v>36</v>
      </c>
    </row>
    <row r="212" spans="2:17" thickBot="1" x14ac:dyDescent="0.3">
      <c r="B212" s="66">
        <v>211</v>
      </c>
      <c r="C212" s="67" t="s">
        <v>958</v>
      </c>
      <c r="D212" s="50" t="s">
        <v>711</v>
      </c>
      <c r="E212" s="50">
        <v>28</v>
      </c>
      <c r="F212" s="50">
        <v>36</v>
      </c>
      <c r="G212" s="50">
        <v>21</v>
      </c>
      <c r="H212" s="50" t="s">
        <v>12</v>
      </c>
      <c r="I212" s="66">
        <v>1</v>
      </c>
      <c r="J212" s="50"/>
      <c r="P212" s="41">
        <v>1</v>
      </c>
      <c r="Q212" s="50" t="s">
        <v>36</v>
      </c>
    </row>
    <row r="213" spans="2:17" thickBot="1" x14ac:dyDescent="0.3">
      <c r="B213" s="66">
        <v>212</v>
      </c>
      <c r="C213" s="67" t="s">
        <v>815</v>
      </c>
      <c r="D213" s="50" t="s">
        <v>1792</v>
      </c>
      <c r="E213" s="50">
        <v>28</v>
      </c>
      <c r="F213" s="50">
        <v>16</v>
      </c>
      <c r="G213" s="50">
        <v>22</v>
      </c>
      <c r="H213" s="50" t="s">
        <v>12</v>
      </c>
      <c r="I213" s="66">
        <v>1</v>
      </c>
      <c r="J213" s="50"/>
      <c r="P213" s="41">
        <v>1</v>
      </c>
      <c r="Q213" s="50" t="s">
        <v>36</v>
      </c>
    </row>
    <row r="214" spans="2:17" thickBot="1" x14ac:dyDescent="0.3">
      <c r="B214" s="66">
        <v>213</v>
      </c>
      <c r="C214" s="66" t="s">
        <v>815</v>
      </c>
      <c r="D214" s="50" t="s">
        <v>1583</v>
      </c>
      <c r="E214" s="50">
        <v>28</v>
      </c>
      <c r="F214" s="50">
        <v>55</v>
      </c>
      <c r="G214" s="50" t="s">
        <v>78</v>
      </c>
      <c r="H214" s="50" t="s">
        <v>12</v>
      </c>
      <c r="I214" s="66">
        <v>1</v>
      </c>
      <c r="J214" s="50"/>
      <c r="P214" s="41">
        <v>1</v>
      </c>
      <c r="Q214" s="50" t="s">
        <v>36</v>
      </c>
    </row>
    <row r="215" spans="2:17" thickBot="1" x14ac:dyDescent="0.3">
      <c r="B215" s="66">
        <v>214</v>
      </c>
      <c r="C215" s="67" t="s">
        <v>1791</v>
      </c>
      <c r="D215" s="50" t="s">
        <v>1104</v>
      </c>
      <c r="E215" s="50">
        <v>28</v>
      </c>
      <c r="F215" s="50">
        <v>20</v>
      </c>
      <c r="G215" s="50">
        <v>21</v>
      </c>
      <c r="H215" s="50" t="s">
        <v>12</v>
      </c>
      <c r="I215" s="66">
        <v>1</v>
      </c>
      <c r="J215" s="50"/>
      <c r="P215" s="41">
        <v>1</v>
      </c>
      <c r="Q215" s="50" t="s">
        <v>36</v>
      </c>
    </row>
    <row r="216" spans="2:17" thickBot="1" x14ac:dyDescent="0.3">
      <c r="B216" s="66">
        <v>215</v>
      </c>
      <c r="C216" s="67" t="s">
        <v>1383</v>
      </c>
      <c r="D216" s="50" t="s">
        <v>959</v>
      </c>
      <c r="E216" s="50">
        <v>28</v>
      </c>
      <c r="F216" s="50">
        <v>60</v>
      </c>
      <c r="G216" s="50">
        <v>6</v>
      </c>
      <c r="H216" s="50" t="s">
        <v>12</v>
      </c>
      <c r="I216" s="66">
        <v>1</v>
      </c>
      <c r="J216" s="50"/>
      <c r="P216" s="41">
        <v>1</v>
      </c>
      <c r="Q216" s="50" t="s">
        <v>36</v>
      </c>
    </row>
    <row r="217" spans="2:17" thickBot="1" x14ac:dyDescent="0.3">
      <c r="B217" s="66">
        <v>216</v>
      </c>
      <c r="C217" s="66" t="s">
        <v>1790</v>
      </c>
      <c r="D217" s="50" t="s">
        <v>1789</v>
      </c>
      <c r="E217" s="50">
        <v>28</v>
      </c>
      <c r="F217" s="50">
        <v>26</v>
      </c>
      <c r="G217" s="50">
        <v>10</v>
      </c>
      <c r="H217" s="50" t="s">
        <v>12</v>
      </c>
      <c r="I217" s="66">
        <v>1</v>
      </c>
      <c r="J217" s="50"/>
      <c r="P217" s="41">
        <v>1</v>
      </c>
      <c r="Q217" s="50" t="s">
        <v>36</v>
      </c>
    </row>
    <row r="218" spans="2:17" thickBot="1" x14ac:dyDescent="0.3">
      <c r="B218" s="66">
        <v>217</v>
      </c>
      <c r="C218" s="67" t="s">
        <v>319</v>
      </c>
      <c r="D218" s="50" t="s">
        <v>1788</v>
      </c>
      <c r="E218" s="50">
        <v>28</v>
      </c>
      <c r="F218" s="50">
        <v>35</v>
      </c>
      <c r="G218" s="50">
        <v>3</v>
      </c>
      <c r="H218" s="50" t="s">
        <v>12</v>
      </c>
      <c r="I218" s="66">
        <v>1</v>
      </c>
      <c r="J218" s="50"/>
      <c r="P218" s="41">
        <v>1</v>
      </c>
      <c r="Q218" s="50" t="s">
        <v>36</v>
      </c>
    </row>
    <row r="219" spans="2:17" thickBot="1" x14ac:dyDescent="0.3">
      <c r="B219" s="66">
        <v>218</v>
      </c>
      <c r="C219" s="67" t="s">
        <v>1105</v>
      </c>
      <c r="D219" s="50" t="s">
        <v>1787</v>
      </c>
      <c r="E219" s="50">
        <v>28</v>
      </c>
      <c r="F219" s="50">
        <v>22</v>
      </c>
      <c r="G219" s="50">
        <v>10</v>
      </c>
      <c r="H219" s="50" t="s">
        <v>12</v>
      </c>
      <c r="I219" s="66">
        <v>1</v>
      </c>
      <c r="J219" s="50"/>
      <c r="P219" s="41">
        <v>1</v>
      </c>
      <c r="Q219" s="50" t="s">
        <v>36</v>
      </c>
    </row>
    <row r="220" spans="2:17" thickBot="1" x14ac:dyDescent="0.3">
      <c r="B220" s="66">
        <v>219</v>
      </c>
      <c r="C220" s="66" t="s">
        <v>1105</v>
      </c>
      <c r="D220" s="50" t="s">
        <v>1786</v>
      </c>
      <c r="E220" s="50">
        <v>28</v>
      </c>
      <c r="F220" s="50">
        <v>23</v>
      </c>
      <c r="G220" s="50">
        <v>21</v>
      </c>
      <c r="H220" s="50" t="s">
        <v>12</v>
      </c>
      <c r="I220" s="66">
        <v>1</v>
      </c>
      <c r="J220" s="50"/>
      <c r="P220" s="41">
        <v>1</v>
      </c>
      <c r="Q220" s="50" t="s">
        <v>36</v>
      </c>
    </row>
    <row r="221" spans="2:17" thickBot="1" x14ac:dyDescent="0.3">
      <c r="B221" s="66">
        <v>220</v>
      </c>
      <c r="C221" s="67" t="s">
        <v>139</v>
      </c>
      <c r="D221" s="50" t="s">
        <v>1785</v>
      </c>
      <c r="E221" s="50">
        <v>28</v>
      </c>
      <c r="F221" s="50">
        <v>23</v>
      </c>
      <c r="G221" s="50">
        <v>21</v>
      </c>
      <c r="H221" s="50" t="s">
        <v>12</v>
      </c>
      <c r="I221" s="66">
        <v>1</v>
      </c>
      <c r="J221" s="50"/>
      <c r="P221" s="41">
        <v>1</v>
      </c>
      <c r="Q221" s="50" t="s">
        <v>36</v>
      </c>
    </row>
    <row r="222" spans="2:17" thickBot="1" x14ac:dyDescent="0.3">
      <c r="B222" s="66">
        <v>221</v>
      </c>
      <c r="C222" s="67" t="s">
        <v>139</v>
      </c>
      <c r="D222" s="50" t="s">
        <v>1784</v>
      </c>
      <c r="E222" s="50">
        <v>28</v>
      </c>
      <c r="F222" s="50">
        <v>48</v>
      </c>
      <c r="G222" s="50">
        <v>4</v>
      </c>
      <c r="H222" s="50" t="s">
        <v>12</v>
      </c>
      <c r="I222" s="66">
        <v>1</v>
      </c>
      <c r="J222" s="50"/>
      <c r="P222" s="41">
        <v>1</v>
      </c>
      <c r="Q222" s="50" t="s">
        <v>36</v>
      </c>
    </row>
    <row r="223" spans="2:17" thickBot="1" x14ac:dyDescent="0.3">
      <c r="B223" s="66">
        <v>222</v>
      </c>
      <c r="C223" s="66" t="s">
        <v>1100</v>
      </c>
      <c r="D223" s="50" t="s">
        <v>1783</v>
      </c>
      <c r="E223" s="50">
        <v>28</v>
      </c>
      <c r="F223" s="50">
        <v>31</v>
      </c>
      <c r="G223" s="50">
        <v>30</v>
      </c>
      <c r="H223" s="50" t="s">
        <v>12</v>
      </c>
      <c r="I223" s="66">
        <v>1</v>
      </c>
      <c r="J223" s="50"/>
      <c r="P223" s="41">
        <v>1</v>
      </c>
      <c r="Q223" s="50" t="s">
        <v>36</v>
      </c>
    </row>
    <row r="224" spans="2:17" thickBot="1" x14ac:dyDescent="0.3">
      <c r="B224" s="66">
        <v>223</v>
      </c>
      <c r="C224" s="67" t="s">
        <v>1586</v>
      </c>
      <c r="D224" s="50" t="s">
        <v>1782</v>
      </c>
      <c r="E224" s="50">
        <v>28</v>
      </c>
      <c r="F224" s="50">
        <v>15</v>
      </c>
      <c r="G224" s="50">
        <v>6</v>
      </c>
      <c r="H224" s="50" t="s">
        <v>12</v>
      </c>
      <c r="I224" s="66">
        <v>1</v>
      </c>
      <c r="J224" s="50"/>
      <c r="P224" s="41">
        <v>1</v>
      </c>
      <c r="Q224" s="50" t="s">
        <v>36</v>
      </c>
    </row>
    <row r="225" spans="2:17" thickBot="1" x14ac:dyDescent="0.3">
      <c r="B225" s="66">
        <v>224</v>
      </c>
      <c r="C225" s="67" t="s">
        <v>1586</v>
      </c>
      <c r="D225" s="50" t="s">
        <v>1781</v>
      </c>
      <c r="E225" s="50">
        <v>28</v>
      </c>
      <c r="F225" s="50">
        <v>71</v>
      </c>
      <c r="G225" s="50">
        <v>8</v>
      </c>
      <c r="H225" s="50" t="s">
        <v>12</v>
      </c>
      <c r="I225" s="66">
        <v>1</v>
      </c>
      <c r="J225" s="50"/>
      <c r="P225" s="41">
        <v>1</v>
      </c>
      <c r="Q225" s="50" t="s">
        <v>36</v>
      </c>
    </row>
    <row r="226" spans="2:17" thickBot="1" x14ac:dyDescent="0.3">
      <c r="B226" s="66">
        <v>225</v>
      </c>
      <c r="C226" s="66" t="s">
        <v>1369</v>
      </c>
      <c r="D226" s="50" t="s">
        <v>1780</v>
      </c>
      <c r="E226" s="50">
        <v>28</v>
      </c>
      <c r="F226" s="50">
        <v>90</v>
      </c>
      <c r="G226" s="50">
        <v>1</v>
      </c>
      <c r="H226" s="50" t="s">
        <v>12</v>
      </c>
      <c r="I226" s="66">
        <v>1</v>
      </c>
      <c r="J226" s="50"/>
      <c r="P226" s="41">
        <v>1</v>
      </c>
      <c r="Q226" s="50" t="s">
        <v>36</v>
      </c>
    </row>
    <row r="227" spans="2:17" thickBot="1" x14ac:dyDescent="0.3">
      <c r="B227" s="66">
        <v>226</v>
      </c>
      <c r="C227" s="67" t="s">
        <v>311</v>
      </c>
      <c r="D227" s="50" t="s">
        <v>1779</v>
      </c>
      <c r="E227" s="50">
        <v>28</v>
      </c>
      <c r="F227" s="50">
        <v>108</v>
      </c>
      <c r="G227" s="50">
        <v>1</v>
      </c>
      <c r="H227" s="50" t="s">
        <v>12</v>
      </c>
      <c r="I227" s="66">
        <v>1</v>
      </c>
      <c r="J227" s="50"/>
      <c r="P227" s="41">
        <v>1</v>
      </c>
      <c r="Q227" s="50" t="s">
        <v>36</v>
      </c>
    </row>
    <row r="228" spans="2:17" thickBot="1" x14ac:dyDescent="0.3">
      <c r="B228" s="66">
        <v>227</v>
      </c>
      <c r="C228" s="67" t="s">
        <v>1778</v>
      </c>
      <c r="D228" s="50" t="s">
        <v>1777</v>
      </c>
      <c r="E228" s="50">
        <v>28</v>
      </c>
      <c r="F228" s="50">
        <v>55</v>
      </c>
      <c r="G228" s="50">
        <v>21</v>
      </c>
      <c r="H228" s="50" t="s">
        <v>12</v>
      </c>
      <c r="I228" s="66">
        <v>1</v>
      </c>
      <c r="J228" s="50"/>
      <c r="P228" s="41">
        <v>1</v>
      </c>
      <c r="Q228" s="50" t="s">
        <v>36</v>
      </c>
    </row>
    <row r="229" spans="2:17" thickBot="1" x14ac:dyDescent="0.3">
      <c r="B229" s="66">
        <v>228</v>
      </c>
      <c r="C229" s="66" t="s">
        <v>612</v>
      </c>
      <c r="D229" s="50" t="s">
        <v>3281</v>
      </c>
      <c r="E229" s="50">
        <v>28</v>
      </c>
      <c r="F229" s="50">
        <v>9</v>
      </c>
      <c r="G229" s="50">
        <v>22</v>
      </c>
      <c r="H229" s="50" t="s">
        <v>12</v>
      </c>
      <c r="I229" s="66">
        <v>1</v>
      </c>
      <c r="J229" s="50"/>
      <c r="P229" s="41">
        <v>1</v>
      </c>
      <c r="Q229" s="50" t="s">
        <v>36</v>
      </c>
    </row>
    <row r="230" spans="2:17" thickBot="1" x14ac:dyDescent="0.3">
      <c r="B230" s="66">
        <v>229</v>
      </c>
      <c r="C230" s="67" t="s">
        <v>1776</v>
      </c>
      <c r="D230" s="50" t="s">
        <v>1093</v>
      </c>
      <c r="E230" s="50">
        <v>28</v>
      </c>
      <c r="F230" s="50">
        <v>104</v>
      </c>
      <c r="G230" s="50">
        <v>12</v>
      </c>
      <c r="H230" s="50" t="s">
        <v>12</v>
      </c>
      <c r="I230" s="66">
        <v>1</v>
      </c>
      <c r="J230" s="50"/>
      <c r="P230" s="41">
        <v>1</v>
      </c>
      <c r="Q230" s="50" t="s">
        <v>36</v>
      </c>
    </row>
    <row r="231" spans="2:17" thickBot="1" x14ac:dyDescent="0.3">
      <c r="B231" s="66">
        <v>230</v>
      </c>
      <c r="C231" s="67" t="s">
        <v>158</v>
      </c>
      <c r="D231" s="50" t="s">
        <v>3199</v>
      </c>
      <c r="E231" s="50">
        <v>28</v>
      </c>
      <c r="F231" s="50">
        <v>12</v>
      </c>
      <c r="G231" s="50">
        <v>1</v>
      </c>
      <c r="H231" s="50" t="s">
        <v>12</v>
      </c>
      <c r="I231" s="66">
        <v>1</v>
      </c>
      <c r="J231" s="50"/>
      <c r="P231" s="41">
        <v>1</v>
      </c>
      <c r="Q231" s="50" t="s">
        <v>36</v>
      </c>
    </row>
    <row r="232" spans="2:17" thickBot="1" x14ac:dyDescent="0.3">
      <c r="B232" s="66">
        <v>231</v>
      </c>
      <c r="C232" s="67" t="s">
        <v>158</v>
      </c>
      <c r="D232" s="50" t="s">
        <v>1775</v>
      </c>
      <c r="E232" s="50">
        <v>28</v>
      </c>
      <c r="F232" s="50">
        <v>37</v>
      </c>
      <c r="G232" s="50" t="s">
        <v>41</v>
      </c>
      <c r="H232" s="50" t="s">
        <v>12</v>
      </c>
      <c r="I232" s="66">
        <v>1</v>
      </c>
      <c r="J232" s="50"/>
      <c r="P232" s="41">
        <v>1</v>
      </c>
      <c r="Q232" s="50" t="s">
        <v>36</v>
      </c>
    </row>
    <row r="233" spans="2:17" thickBot="1" x14ac:dyDescent="0.3">
      <c r="B233" s="66">
        <v>232</v>
      </c>
      <c r="C233" s="67" t="s">
        <v>158</v>
      </c>
      <c r="D233" s="50" t="s">
        <v>1774</v>
      </c>
      <c r="E233" s="50">
        <v>28</v>
      </c>
      <c r="F233" s="50">
        <v>12</v>
      </c>
      <c r="G233" s="50">
        <v>1</v>
      </c>
      <c r="H233" s="50" t="s">
        <v>12</v>
      </c>
      <c r="I233" s="66">
        <v>1</v>
      </c>
      <c r="J233" s="50"/>
      <c r="P233" s="41">
        <v>1</v>
      </c>
      <c r="Q233" s="50" t="s">
        <v>36</v>
      </c>
    </row>
    <row r="234" spans="2:17" thickBot="1" x14ac:dyDescent="0.3">
      <c r="B234" s="66">
        <v>233</v>
      </c>
      <c r="C234" s="67" t="s">
        <v>123</v>
      </c>
      <c r="D234" s="50" t="s">
        <v>79</v>
      </c>
      <c r="E234" s="50">
        <v>28</v>
      </c>
      <c r="F234" s="50">
        <v>38</v>
      </c>
      <c r="G234" s="50">
        <v>16</v>
      </c>
      <c r="H234" s="50" t="s">
        <v>12</v>
      </c>
      <c r="I234" s="66">
        <v>1</v>
      </c>
      <c r="J234" s="50"/>
      <c r="P234" s="41">
        <v>1</v>
      </c>
      <c r="Q234" s="50" t="s">
        <v>36</v>
      </c>
    </row>
    <row r="235" spans="2:17" thickBot="1" x14ac:dyDescent="0.3">
      <c r="B235" s="66">
        <v>234</v>
      </c>
      <c r="C235" s="67" t="s">
        <v>123</v>
      </c>
      <c r="D235" s="50" t="s">
        <v>1773</v>
      </c>
      <c r="E235" s="50">
        <v>28</v>
      </c>
      <c r="F235" s="50">
        <v>91</v>
      </c>
      <c r="G235" s="50">
        <v>21</v>
      </c>
      <c r="H235" s="50" t="s">
        <v>12</v>
      </c>
      <c r="I235" s="66">
        <v>1</v>
      </c>
      <c r="J235" s="50"/>
      <c r="P235" s="41">
        <v>1</v>
      </c>
      <c r="Q235" s="50">
        <v>1404</v>
      </c>
    </row>
    <row r="236" spans="2:17" thickBot="1" x14ac:dyDescent="0.3">
      <c r="B236" s="66">
        <v>235</v>
      </c>
      <c r="C236" s="67" t="s">
        <v>123</v>
      </c>
      <c r="D236" s="50" t="s">
        <v>295</v>
      </c>
      <c r="E236" s="50">
        <v>28</v>
      </c>
      <c r="F236" s="50">
        <v>102</v>
      </c>
      <c r="G236" s="50">
        <v>4</v>
      </c>
      <c r="H236" s="50" t="s">
        <v>12</v>
      </c>
      <c r="I236" s="66">
        <v>1</v>
      </c>
      <c r="J236" s="50"/>
      <c r="P236" s="41">
        <v>1</v>
      </c>
      <c r="Q236" s="50">
        <v>1404</v>
      </c>
    </row>
    <row r="237" spans="2:17" thickBot="1" x14ac:dyDescent="0.3">
      <c r="B237" s="66">
        <v>236</v>
      </c>
      <c r="C237" s="67" t="s">
        <v>123</v>
      </c>
      <c r="D237" s="50" t="s">
        <v>1772</v>
      </c>
      <c r="E237" s="50">
        <v>28</v>
      </c>
      <c r="F237" s="50">
        <v>11</v>
      </c>
      <c r="G237" s="50">
        <v>13</v>
      </c>
      <c r="H237" s="50" t="s">
        <v>12</v>
      </c>
      <c r="I237" s="66">
        <v>1</v>
      </c>
      <c r="J237" s="50"/>
      <c r="P237" s="41">
        <v>1</v>
      </c>
      <c r="Q237" s="50">
        <v>1404</v>
      </c>
    </row>
    <row r="238" spans="2:17" thickBot="1" x14ac:dyDescent="0.3">
      <c r="B238" s="66">
        <v>237</v>
      </c>
      <c r="C238" s="67" t="s">
        <v>123</v>
      </c>
      <c r="D238" s="50" t="s">
        <v>523</v>
      </c>
      <c r="E238" s="50">
        <v>28</v>
      </c>
      <c r="F238" s="50">
        <v>106</v>
      </c>
      <c r="G238" s="50">
        <v>8</v>
      </c>
      <c r="H238" s="50" t="s">
        <v>12</v>
      </c>
      <c r="I238" s="66">
        <v>1</v>
      </c>
      <c r="J238" s="50"/>
      <c r="P238" s="41">
        <v>1</v>
      </c>
      <c r="Q238" s="50">
        <v>1404</v>
      </c>
    </row>
    <row r="239" spans="2:17" thickBot="1" x14ac:dyDescent="0.3">
      <c r="B239" s="66">
        <v>238</v>
      </c>
      <c r="C239" s="67" t="s">
        <v>123</v>
      </c>
      <c r="D239" s="50" t="s">
        <v>1771</v>
      </c>
      <c r="E239" s="50">
        <v>28</v>
      </c>
      <c r="F239" s="50">
        <v>59</v>
      </c>
      <c r="G239" s="50">
        <v>4</v>
      </c>
      <c r="H239" s="50" t="s">
        <v>12</v>
      </c>
      <c r="I239" s="66">
        <v>1</v>
      </c>
      <c r="J239" s="50"/>
      <c r="P239" s="41">
        <v>1</v>
      </c>
      <c r="Q239" s="50" t="s">
        <v>80</v>
      </c>
    </row>
    <row r="240" spans="2:17" thickBot="1" x14ac:dyDescent="0.3">
      <c r="B240" s="66">
        <v>239</v>
      </c>
      <c r="C240" s="67" t="s">
        <v>123</v>
      </c>
      <c r="D240" s="50" t="s">
        <v>1057</v>
      </c>
      <c r="E240" s="50">
        <v>28</v>
      </c>
      <c r="F240" s="50">
        <v>106</v>
      </c>
      <c r="G240" s="50">
        <v>3</v>
      </c>
      <c r="H240" s="50" t="s">
        <v>12</v>
      </c>
      <c r="I240" s="66">
        <v>1</v>
      </c>
      <c r="J240" s="50"/>
      <c r="P240" s="41">
        <v>1</v>
      </c>
      <c r="Q240" s="50">
        <v>1404</v>
      </c>
    </row>
    <row r="241" spans="2:17" thickBot="1" x14ac:dyDescent="0.3">
      <c r="B241" s="66">
        <v>240</v>
      </c>
      <c r="C241" s="67" t="s">
        <v>123</v>
      </c>
      <c r="D241" s="50" t="s">
        <v>1770</v>
      </c>
      <c r="E241" s="50">
        <v>28</v>
      </c>
      <c r="F241" s="50">
        <v>122</v>
      </c>
      <c r="G241" s="50">
        <v>13</v>
      </c>
      <c r="H241" s="50" t="s">
        <v>12</v>
      </c>
      <c r="I241" s="66">
        <v>1</v>
      </c>
      <c r="J241" s="50"/>
      <c r="P241" s="41">
        <v>1</v>
      </c>
      <c r="Q241" s="50">
        <v>1404</v>
      </c>
    </row>
    <row r="242" spans="2:17" thickBot="1" x14ac:dyDescent="0.3">
      <c r="B242" s="66">
        <v>241</v>
      </c>
      <c r="C242" s="67" t="s">
        <v>123</v>
      </c>
      <c r="D242" s="50" t="s">
        <v>785</v>
      </c>
      <c r="E242" s="50">
        <v>28</v>
      </c>
      <c r="F242" s="50">
        <v>94</v>
      </c>
      <c r="G242" s="50">
        <v>9</v>
      </c>
      <c r="H242" s="50" t="s">
        <v>12</v>
      </c>
      <c r="I242" s="66">
        <v>1</v>
      </c>
      <c r="J242" s="50"/>
      <c r="P242" s="41">
        <v>1</v>
      </c>
      <c r="Q242" s="50">
        <v>1404</v>
      </c>
    </row>
    <row r="243" spans="2:17" thickBot="1" x14ac:dyDescent="0.3">
      <c r="B243" s="66">
        <v>242</v>
      </c>
      <c r="C243" s="67" t="s">
        <v>123</v>
      </c>
      <c r="D243" s="50" t="s">
        <v>1769</v>
      </c>
      <c r="E243" s="50">
        <v>28</v>
      </c>
      <c r="F243" s="50">
        <v>29</v>
      </c>
      <c r="G243" s="50">
        <v>15</v>
      </c>
      <c r="H243" s="50" t="s">
        <v>12</v>
      </c>
      <c r="I243" s="66">
        <v>1</v>
      </c>
      <c r="J243" s="50"/>
      <c r="P243" s="41">
        <v>1</v>
      </c>
      <c r="Q243" s="50">
        <v>1404</v>
      </c>
    </row>
    <row r="244" spans="2:17" thickBot="1" x14ac:dyDescent="0.3">
      <c r="B244" s="66">
        <v>243</v>
      </c>
      <c r="C244" s="66" t="s">
        <v>1768</v>
      </c>
      <c r="D244" s="50" t="s">
        <v>1767</v>
      </c>
      <c r="E244" s="50">
        <v>28</v>
      </c>
      <c r="F244" s="50">
        <v>99</v>
      </c>
      <c r="G244" s="50" t="s">
        <v>20</v>
      </c>
      <c r="H244" s="50" t="s">
        <v>12</v>
      </c>
      <c r="I244" s="66">
        <v>1</v>
      </c>
      <c r="J244" s="50"/>
      <c r="P244" s="41">
        <v>1</v>
      </c>
      <c r="Q244" s="50">
        <v>1404</v>
      </c>
    </row>
    <row r="245" spans="2:17" thickBot="1" x14ac:dyDescent="0.3">
      <c r="B245" s="66">
        <v>244</v>
      </c>
      <c r="C245" s="66" t="s">
        <v>135</v>
      </c>
      <c r="D245" s="50" t="s">
        <v>1822</v>
      </c>
      <c r="E245" s="50">
        <v>28</v>
      </c>
      <c r="F245" s="50">
        <v>58</v>
      </c>
      <c r="G245" s="50">
        <v>2</v>
      </c>
      <c r="H245" s="50" t="s">
        <v>12</v>
      </c>
      <c r="I245" s="66">
        <v>1</v>
      </c>
      <c r="J245" s="50"/>
      <c r="P245" s="41">
        <v>1</v>
      </c>
      <c r="Q245" s="50" t="s">
        <v>80</v>
      </c>
    </row>
    <row r="246" spans="2:17" thickBot="1" x14ac:dyDescent="0.3">
      <c r="B246" s="66">
        <v>245</v>
      </c>
      <c r="C246" s="66" t="s">
        <v>135</v>
      </c>
      <c r="D246" s="50" t="s">
        <v>1823</v>
      </c>
      <c r="E246" s="50">
        <v>28</v>
      </c>
      <c r="F246" s="50">
        <v>93</v>
      </c>
      <c r="G246" s="50">
        <v>12</v>
      </c>
      <c r="H246" s="50" t="s">
        <v>12</v>
      </c>
      <c r="I246" s="66">
        <v>1</v>
      </c>
      <c r="J246" s="50"/>
      <c r="P246" s="41">
        <v>1</v>
      </c>
      <c r="Q246" s="50" t="s">
        <v>80</v>
      </c>
    </row>
    <row r="247" spans="2:17" thickBot="1" x14ac:dyDescent="0.3">
      <c r="B247" s="66">
        <v>246</v>
      </c>
      <c r="C247" s="66" t="s">
        <v>135</v>
      </c>
      <c r="D247" s="50" t="s">
        <v>1824</v>
      </c>
      <c r="E247" s="50">
        <v>28</v>
      </c>
      <c r="F247" s="50">
        <v>30</v>
      </c>
      <c r="G247" s="50">
        <v>14</v>
      </c>
      <c r="H247" s="50" t="s">
        <v>12</v>
      </c>
      <c r="I247" s="66">
        <v>1</v>
      </c>
      <c r="J247" s="50"/>
      <c r="P247" s="41">
        <v>1</v>
      </c>
      <c r="Q247" s="50" t="s">
        <v>80</v>
      </c>
    </row>
    <row r="248" spans="2:17" thickBot="1" x14ac:dyDescent="0.3">
      <c r="B248" s="66">
        <v>247</v>
      </c>
      <c r="C248" s="66" t="s">
        <v>135</v>
      </c>
      <c r="D248" s="50" t="s">
        <v>1825</v>
      </c>
      <c r="E248" s="50">
        <v>28</v>
      </c>
      <c r="F248" s="50">
        <v>72</v>
      </c>
      <c r="G248" s="50">
        <v>19</v>
      </c>
      <c r="H248" s="50" t="s">
        <v>12</v>
      </c>
      <c r="I248" s="66">
        <v>1</v>
      </c>
      <c r="J248" s="50"/>
      <c r="P248" s="41">
        <v>1</v>
      </c>
      <c r="Q248" s="50" t="s">
        <v>80</v>
      </c>
    </row>
    <row r="249" spans="2:17" thickBot="1" x14ac:dyDescent="0.3">
      <c r="B249" s="66">
        <v>248</v>
      </c>
      <c r="C249" s="66" t="s">
        <v>135</v>
      </c>
      <c r="D249" s="50" t="s">
        <v>1826</v>
      </c>
      <c r="E249" s="50">
        <v>28</v>
      </c>
      <c r="F249" s="50">
        <v>46</v>
      </c>
      <c r="G249" s="50">
        <v>1</v>
      </c>
      <c r="H249" s="50" t="s">
        <v>12</v>
      </c>
      <c r="I249" s="66">
        <v>1</v>
      </c>
      <c r="J249" s="50"/>
      <c r="P249" s="41">
        <v>1</v>
      </c>
      <c r="Q249" s="50">
        <v>1404</v>
      </c>
    </row>
    <row r="250" spans="2:17" thickBot="1" x14ac:dyDescent="0.3">
      <c r="B250" s="66">
        <v>249</v>
      </c>
      <c r="C250" s="66" t="s">
        <v>135</v>
      </c>
      <c r="D250" s="50" t="s">
        <v>1821</v>
      </c>
      <c r="E250" s="50">
        <v>28</v>
      </c>
      <c r="F250" s="50">
        <v>10</v>
      </c>
      <c r="G250" s="50" t="s">
        <v>45</v>
      </c>
      <c r="H250" s="50" t="s">
        <v>12</v>
      </c>
      <c r="I250" s="66">
        <v>1</v>
      </c>
      <c r="J250" s="50"/>
      <c r="P250" s="41">
        <v>1</v>
      </c>
      <c r="Q250" s="50">
        <v>1404</v>
      </c>
    </row>
    <row r="251" spans="2:17" thickBot="1" x14ac:dyDescent="0.3">
      <c r="B251" s="66">
        <v>250</v>
      </c>
      <c r="C251" s="66" t="s">
        <v>135</v>
      </c>
      <c r="D251" s="50" t="s">
        <v>1820</v>
      </c>
      <c r="E251" s="50">
        <v>28</v>
      </c>
      <c r="F251" s="50">
        <v>98</v>
      </c>
      <c r="G251" s="50">
        <v>9</v>
      </c>
      <c r="H251" s="50" t="s">
        <v>12</v>
      </c>
      <c r="I251" s="66">
        <v>1</v>
      </c>
      <c r="J251" s="50"/>
      <c r="P251" s="41">
        <v>1</v>
      </c>
      <c r="Q251" s="50">
        <v>1404</v>
      </c>
    </row>
    <row r="252" spans="2:17" thickBot="1" x14ac:dyDescent="0.3">
      <c r="B252" s="66">
        <v>251</v>
      </c>
      <c r="C252" s="66" t="s">
        <v>135</v>
      </c>
      <c r="D252" s="50" t="s">
        <v>539</v>
      </c>
      <c r="E252" s="50">
        <v>28</v>
      </c>
      <c r="F252" s="50">
        <v>114</v>
      </c>
      <c r="G252" s="50">
        <v>12</v>
      </c>
      <c r="H252" s="50" t="s">
        <v>12</v>
      </c>
      <c r="I252" s="66">
        <v>1</v>
      </c>
      <c r="J252" s="50"/>
      <c r="P252" s="41">
        <v>1</v>
      </c>
      <c r="Q252" s="50" t="s">
        <v>81</v>
      </c>
    </row>
    <row r="253" spans="2:17" thickBot="1" x14ac:dyDescent="0.3">
      <c r="B253" s="66">
        <v>252</v>
      </c>
      <c r="C253" s="66" t="s">
        <v>135</v>
      </c>
      <c r="D253" s="50" t="s">
        <v>857</v>
      </c>
      <c r="E253" s="50">
        <v>28</v>
      </c>
      <c r="F253" s="50">
        <v>93</v>
      </c>
      <c r="G253" s="50">
        <v>16</v>
      </c>
      <c r="H253" s="50" t="s">
        <v>12</v>
      </c>
      <c r="I253" s="66">
        <v>1</v>
      </c>
      <c r="J253" s="50"/>
      <c r="P253" s="41">
        <v>1</v>
      </c>
      <c r="Q253" s="50" t="s">
        <v>81</v>
      </c>
    </row>
    <row r="254" spans="2:17" thickBot="1" x14ac:dyDescent="0.3">
      <c r="B254" s="66">
        <v>253</v>
      </c>
      <c r="C254" s="67" t="s">
        <v>187</v>
      </c>
      <c r="D254" s="50" t="s">
        <v>1819</v>
      </c>
      <c r="E254" s="50">
        <v>28</v>
      </c>
      <c r="F254" s="50">
        <v>102</v>
      </c>
      <c r="G254" s="50">
        <v>7</v>
      </c>
      <c r="H254" s="50" t="s">
        <v>12</v>
      </c>
      <c r="I254" s="66">
        <v>1</v>
      </c>
      <c r="J254" s="50"/>
      <c r="P254" s="41">
        <v>1</v>
      </c>
      <c r="Q254" s="50" t="s">
        <v>81</v>
      </c>
    </row>
    <row r="255" spans="2:17" thickBot="1" x14ac:dyDescent="0.3">
      <c r="B255" s="66">
        <v>254</v>
      </c>
      <c r="C255" s="67" t="s">
        <v>1478</v>
      </c>
      <c r="D255" s="50" t="s">
        <v>1818</v>
      </c>
      <c r="E255" s="50">
        <v>28</v>
      </c>
      <c r="F255" s="50">
        <v>103</v>
      </c>
      <c r="G255" s="50">
        <v>5</v>
      </c>
      <c r="H255" s="50" t="s">
        <v>12</v>
      </c>
      <c r="I255" s="66">
        <v>1</v>
      </c>
      <c r="J255" s="50"/>
      <c r="P255" s="41">
        <v>1</v>
      </c>
      <c r="Q255" s="50" t="s">
        <v>81</v>
      </c>
    </row>
    <row r="256" spans="2:17" thickBot="1" x14ac:dyDescent="0.3">
      <c r="B256" s="66">
        <v>255</v>
      </c>
      <c r="C256" s="66" t="s">
        <v>1478</v>
      </c>
      <c r="D256" s="50" t="s">
        <v>1817</v>
      </c>
      <c r="E256" s="50">
        <v>28</v>
      </c>
      <c r="F256" s="50">
        <v>97</v>
      </c>
      <c r="G256" s="50">
        <v>4</v>
      </c>
      <c r="H256" s="50" t="s">
        <v>12</v>
      </c>
      <c r="I256" s="66">
        <v>1</v>
      </c>
      <c r="J256" s="50"/>
      <c r="P256" s="41">
        <v>1</v>
      </c>
      <c r="Q256" s="50" t="s">
        <v>82</v>
      </c>
    </row>
    <row r="257" spans="2:17" thickBot="1" x14ac:dyDescent="0.3">
      <c r="B257" s="66">
        <v>256</v>
      </c>
      <c r="C257" s="67" t="s">
        <v>1478</v>
      </c>
      <c r="D257" s="50" t="s">
        <v>1632</v>
      </c>
      <c r="E257" s="50">
        <v>28</v>
      </c>
      <c r="F257" s="50">
        <v>99</v>
      </c>
      <c r="G257" s="50">
        <v>15</v>
      </c>
      <c r="H257" s="50" t="s">
        <v>12</v>
      </c>
      <c r="I257" s="66">
        <v>1</v>
      </c>
      <c r="J257" s="50"/>
      <c r="P257" s="41">
        <v>1</v>
      </c>
      <c r="Q257" s="50" t="s">
        <v>82</v>
      </c>
    </row>
    <row r="258" spans="2:17" thickBot="1" x14ac:dyDescent="0.3">
      <c r="B258" s="66">
        <v>257</v>
      </c>
      <c r="C258" s="67" t="s">
        <v>1478</v>
      </c>
      <c r="D258" s="50" t="s">
        <v>1816</v>
      </c>
      <c r="E258" s="50">
        <v>28</v>
      </c>
      <c r="F258" s="50">
        <v>13</v>
      </c>
      <c r="G258" s="50" t="s">
        <v>69</v>
      </c>
      <c r="H258" s="50" t="s">
        <v>12</v>
      </c>
      <c r="I258" s="66">
        <v>1</v>
      </c>
      <c r="J258" s="50"/>
      <c r="P258" s="41">
        <v>1</v>
      </c>
      <c r="Q258" s="50" t="s">
        <v>82</v>
      </c>
    </row>
    <row r="259" spans="2:17" thickBot="1" x14ac:dyDescent="0.3">
      <c r="B259" s="66">
        <v>258</v>
      </c>
      <c r="C259" s="66" t="s">
        <v>187</v>
      </c>
      <c r="D259" s="50" t="s">
        <v>426</v>
      </c>
      <c r="E259" s="50">
        <v>28</v>
      </c>
      <c r="F259" s="50">
        <v>76</v>
      </c>
      <c r="G259" s="50">
        <v>8</v>
      </c>
      <c r="H259" s="50" t="s">
        <v>12</v>
      </c>
      <c r="I259" s="66">
        <v>1</v>
      </c>
      <c r="J259" s="50"/>
      <c r="P259" s="41">
        <v>1</v>
      </c>
      <c r="Q259" s="50" t="s">
        <v>82</v>
      </c>
    </row>
    <row r="260" spans="2:17" thickBot="1" x14ac:dyDescent="0.3">
      <c r="B260" s="66">
        <v>259</v>
      </c>
      <c r="C260" s="67" t="s">
        <v>187</v>
      </c>
      <c r="D260" s="50" t="s">
        <v>1003</v>
      </c>
      <c r="E260" s="50">
        <v>28</v>
      </c>
      <c r="F260" s="50">
        <v>65</v>
      </c>
      <c r="G260" s="50">
        <v>1</v>
      </c>
      <c r="H260" s="50" t="s">
        <v>12</v>
      </c>
      <c r="I260" s="66">
        <v>1</v>
      </c>
      <c r="J260" s="50"/>
      <c r="P260" s="41">
        <v>1</v>
      </c>
      <c r="Q260" s="50" t="s">
        <v>82</v>
      </c>
    </row>
    <row r="261" spans="2:17" thickBot="1" x14ac:dyDescent="0.3">
      <c r="B261" s="66">
        <v>260</v>
      </c>
      <c r="C261" s="67" t="s">
        <v>1088</v>
      </c>
      <c r="D261" s="50" t="s">
        <v>1815</v>
      </c>
      <c r="E261" s="50">
        <v>28</v>
      </c>
      <c r="F261" s="50">
        <v>1</v>
      </c>
      <c r="G261" s="50">
        <v>9</v>
      </c>
      <c r="H261" s="50" t="s">
        <v>12</v>
      </c>
      <c r="I261" s="66">
        <v>1</v>
      </c>
      <c r="J261" s="50"/>
      <c r="P261" s="41">
        <v>1</v>
      </c>
      <c r="Q261" s="50" t="s">
        <v>82</v>
      </c>
    </row>
    <row r="262" spans="2:17" thickBot="1" x14ac:dyDescent="0.3">
      <c r="B262" s="66">
        <v>261</v>
      </c>
      <c r="C262" s="67" t="s">
        <v>284</v>
      </c>
      <c r="D262" s="50" t="s">
        <v>1814</v>
      </c>
      <c r="E262" s="50">
        <v>28</v>
      </c>
      <c r="F262" s="50">
        <v>9</v>
      </c>
      <c r="G262" s="50">
        <v>16</v>
      </c>
      <c r="H262" s="50" t="s">
        <v>12</v>
      </c>
      <c r="I262" s="66">
        <v>1</v>
      </c>
      <c r="J262" s="50"/>
      <c r="P262" s="41">
        <v>1</v>
      </c>
      <c r="Q262" s="50" t="s">
        <v>82</v>
      </c>
    </row>
    <row r="263" spans="2:17" ht="38.25" thickBot="1" x14ac:dyDescent="0.3">
      <c r="B263" s="66">
        <v>262</v>
      </c>
      <c r="C263" s="67" t="s">
        <v>284</v>
      </c>
      <c r="D263" s="50" t="s">
        <v>1813</v>
      </c>
      <c r="E263" s="50">
        <v>28</v>
      </c>
      <c r="F263" s="50" t="s">
        <v>83</v>
      </c>
      <c r="G263" s="50">
        <v>4</v>
      </c>
      <c r="H263" s="50" t="s">
        <v>12</v>
      </c>
      <c r="I263" s="66">
        <v>1</v>
      </c>
      <c r="J263" s="50"/>
      <c r="P263" s="41">
        <v>1</v>
      </c>
      <c r="Q263" s="50" t="s">
        <v>82</v>
      </c>
    </row>
    <row r="264" spans="2:17" thickBot="1" x14ac:dyDescent="0.3">
      <c r="B264" s="66">
        <v>263</v>
      </c>
      <c r="C264" s="67" t="s">
        <v>284</v>
      </c>
      <c r="D264" s="50" t="s">
        <v>1812</v>
      </c>
      <c r="E264" s="50">
        <v>28</v>
      </c>
      <c r="F264" s="50">
        <v>52</v>
      </c>
      <c r="G264" s="50">
        <v>20</v>
      </c>
      <c r="H264" s="50" t="s">
        <v>12</v>
      </c>
      <c r="I264" s="66">
        <v>1</v>
      </c>
      <c r="J264" s="50"/>
      <c r="P264" s="41">
        <v>1</v>
      </c>
      <c r="Q264" s="50" t="s">
        <v>82</v>
      </c>
    </row>
    <row r="265" spans="2:17" thickBot="1" x14ac:dyDescent="0.3">
      <c r="B265" s="66">
        <v>264</v>
      </c>
      <c r="C265" s="67" t="s">
        <v>284</v>
      </c>
      <c r="D265" s="50" t="s">
        <v>1811</v>
      </c>
      <c r="E265" s="50">
        <v>28</v>
      </c>
      <c r="F265" s="50">
        <v>82</v>
      </c>
      <c r="G265" s="50">
        <v>11</v>
      </c>
      <c r="H265" s="50" t="s">
        <v>12</v>
      </c>
      <c r="I265" s="66">
        <v>1</v>
      </c>
      <c r="J265" s="50"/>
      <c r="P265" s="41">
        <v>1</v>
      </c>
      <c r="Q265" s="50" t="s">
        <v>82</v>
      </c>
    </row>
    <row r="266" spans="2:17" thickBot="1" x14ac:dyDescent="0.3">
      <c r="B266" s="66">
        <v>265</v>
      </c>
      <c r="C266" s="67" t="s">
        <v>284</v>
      </c>
      <c r="D266" s="50" t="s">
        <v>1810</v>
      </c>
      <c r="E266" s="50">
        <v>28</v>
      </c>
      <c r="F266" s="50">
        <v>65</v>
      </c>
      <c r="G266" s="50">
        <v>19</v>
      </c>
      <c r="H266" s="50" t="s">
        <v>12</v>
      </c>
      <c r="I266" s="66">
        <v>1</v>
      </c>
      <c r="J266" s="50"/>
      <c r="P266" s="41">
        <v>1</v>
      </c>
      <c r="Q266" s="50" t="s">
        <v>82</v>
      </c>
    </row>
    <row r="267" spans="2:17" thickBot="1" x14ac:dyDescent="0.3">
      <c r="B267" s="66">
        <v>266</v>
      </c>
      <c r="C267" s="67" t="s">
        <v>284</v>
      </c>
      <c r="D267" s="50" t="s">
        <v>1809</v>
      </c>
      <c r="E267" s="50">
        <v>28</v>
      </c>
      <c r="F267" s="50">
        <v>65</v>
      </c>
      <c r="G267" s="50">
        <v>19</v>
      </c>
      <c r="H267" s="50" t="s">
        <v>12</v>
      </c>
      <c r="I267" s="66">
        <v>1</v>
      </c>
      <c r="J267" s="50"/>
      <c r="P267" s="41">
        <v>1</v>
      </c>
      <c r="Q267" s="50" t="s">
        <v>39</v>
      </c>
    </row>
    <row r="268" spans="2:17" thickBot="1" x14ac:dyDescent="0.3">
      <c r="B268" s="66">
        <v>267</v>
      </c>
      <c r="C268" s="66" t="s">
        <v>1338</v>
      </c>
      <c r="D268" s="50" t="s">
        <v>1808</v>
      </c>
      <c r="E268" s="50">
        <v>28</v>
      </c>
      <c r="F268" s="50">
        <v>17</v>
      </c>
      <c r="G268" s="50">
        <v>7</v>
      </c>
      <c r="H268" s="50" t="s">
        <v>12</v>
      </c>
      <c r="I268" s="66">
        <v>1</v>
      </c>
      <c r="J268" s="50"/>
      <c r="P268" s="41">
        <v>1</v>
      </c>
      <c r="Q268" s="50" t="s">
        <v>44</v>
      </c>
    </row>
    <row r="269" spans="2:17" thickBot="1" x14ac:dyDescent="0.3">
      <c r="B269" s="66">
        <v>268</v>
      </c>
      <c r="C269" s="67" t="s">
        <v>1807</v>
      </c>
      <c r="D269" s="50" t="s">
        <v>84</v>
      </c>
      <c r="E269" s="50">
        <v>28</v>
      </c>
      <c r="F269" s="50">
        <v>122</v>
      </c>
      <c r="G269" s="50">
        <v>13</v>
      </c>
      <c r="H269" s="50" t="s">
        <v>12</v>
      </c>
      <c r="I269" s="66">
        <v>1</v>
      </c>
      <c r="J269" s="50"/>
      <c r="P269" s="41">
        <v>1</v>
      </c>
      <c r="Q269" s="50" t="s">
        <v>44</v>
      </c>
    </row>
    <row r="270" spans="2:17" thickBot="1" x14ac:dyDescent="0.3">
      <c r="B270" s="66">
        <v>269</v>
      </c>
      <c r="C270" s="67" t="s">
        <v>599</v>
      </c>
      <c r="D270" s="50" t="s">
        <v>1806</v>
      </c>
      <c r="E270" s="50">
        <v>28</v>
      </c>
      <c r="F270" s="50">
        <v>75</v>
      </c>
      <c r="G270" s="50">
        <v>6</v>
      </c>
      <c r="H270" s="50" t="s">
        <v>12</v>
      </c>
      <c r="I270" s="66">
        <v>1</v>
      </c>
      <c r="J270" s="50"/>
      <c r="P270" s="41">
        <v>1</v>
      </c>
      <c r="Q270" s="50" t="s">
        <v>44</v>
      </c>
    </row>
    <row r="271" spans="2:17" thickBot="1" x14ac:dyDescent="0.3">
      <c r="B271" s="66">
        <v>270</v>
      </c>
      <c r="C271" s="66" t="s">
        <v>125</v>
      </c>
      <c r="D271" s="50" t="s">
        <v>1805</v>
      </c>
      <c r="E271" s="50">
        <v>28</v>
      </c>
      <c r="F271" s="50">
        <v>45</v>
      </c>
      <c r="G271" s="50">
        <v>1</v>
      </c>
      <c r="H271" s="50" t="s">
        <v>12</v>
      </c>
      <c r="I271" s="66">
        <v>1</v>
      </c>
      <c r="J271" s="50"/>
      <c r="P271" s="41">
        <v>1</v>
      </c>
      <c r="Q271" s="50" t="s">
        <v>44</v>
      </c>
    </row>
    <row r="272" spans="2:17" thickBot="1" x14ac:dyDescent="0.3">
      <c r="B272" s="66">
        <v>271</v>
      </c>
      <c r="C272" s="67" t="s">
        <v>125</v>
      </c>
      <c r="D272" s="50" t="s">
        <v>1626</v>
      </c>
      <c r="E272" s="50">
        <v>28</v>
      </c>
      <c r="F272" s="50">
        <v>26</v>
      </c>
      <c r="G272" s="50">
        <v>7</v>
      </c>
      <c r="H272" s="50" t="s">
        <v>12</v>
      </c>
      <c r="I272" s="66">
        <v>1</v>
      </c>
      <c r="J272" s="50"/>
      <c r="P272" s="41">
        <v>1</v>
      </c>
      <c r="Q272" s="50" t="s">
        <v>44</v>
      </c>
    </row>
    <row r="273" spans="2:17" thickBot="1" x14ac:dyDescent="0.3">
      <c r="B273" s="66">
        <v>272</v>
      </c>
      <c r="C273" s="67" t="s">
        <v>1410</v>
      </c>
      <c r="D273" s="50" t="s">
        <v>1804</v>
      </c>
      <c r="E273" s="50">
        <v>28</v>
      </c>
      <c r="F273" s="50">
        <v>118</v>
      </c>
      <c r="G273" s="50">
        <v>12</v>
      </c>
      <c r="H273" s="50" t="s">
        <v>12</v>
      </c>
      <c r="I273" s="66">
        <v>1</v>
      </c>
      <c r="J273" s="50"/>
      <c r="P273" s="41">
        <v>1</v>
      </c>
      <c r="Q273" s="50" t="s">
        <v>44</v>
      </c>
    </row>
    <row r="274" spans="2:17" thickBot="1" x14ac:dyDescent="0.3">
      <c r="B274" s="66">
        <v>273</v>
      </c>
      <c r="C274" s="66" t="s">
        <v>362</v>
      </c>
      <c r="D274" s="50" t="s">
        <v>3282</v>
      </c>
      <c r="E274" s="50">
        <v>28</v>
      </c>
      <c r="F274" s="50">
        <v>34</v>
      </c>
      <c r="G274" s="50">
        <v>1</v>
      </c>
      <c r="H274" s="50" t="s">
        <v>12</v>
      </c>
      <c r="I274" s="66">
        <v>1</v>
      </c>
      <c r="J274" s="50"/>
      <c r="P274" s="41">
        <v>1</v>
      </c>
      <c r="Q274" s="50" t="s">
        <v>44</v>
      </c>
    </row>
    <row r="275" spans="2:17" thickBot="1" x14ac:dyDescent="0.3">
      <c r="B275" s="66">
        <v>274</v>
      </c>
      <c r="C275" s="67" t="s">
        <v>362</v>
      </c>
      <c r="D275" s="50" t="s">
        <v>2580</v>
      </c>
      <c r="E275" s="50">
        <v>28</v>
      </c>
      <c r="F275" s="50">
        <v>71</v>
      </c>
      <c r="G275" s="50" t="s">
        <v>40</v>
      </c>
      <c r="H275" s="50" t="s">
        <v>12</v>
      </c>
      <c r="I275" s="66">
        <v>1</v>
      </c>
      <c r="J275" s="50"/>
      <c r="P275" s="41">
        <v>1</v>
      </c>
      <c r="Q275" s="50" t="s">
        <v>44</v>
      </c>
    </row>
    <row r="276" spans="2:17" thickBot="1" x14ac:dyDescent="0.3">
      <c r="B276" s="66">
        <v>275</v>
      </c>
      <c r="C276" s="67" t="s">
        <v>3301</v>
      </c>
      <c r="D276" s="50" t="s">
        <v>3300</v>
      </c>
      <c r="E276" s="50">
        <v>28</v>
      </c>
      <c r="F276" s="50">
        <v>51</v>
      </c>
      <c r="G276" s="50">
        <v>2</v>
      </c>
      <c r="H276" s="50" t="s">
        <v>12</v>
      </c>
      <c r="I276" s="66">
        <v>1</v>
      </c>
      <c r="J276" s="50"/>
      <c r="P276" s="41">
        <v>1</v>
      </c>
      <c r="Q276" s="50" t="s">
        <v>48</v>
      </c>
    </row>
    <row r="277" spans="2:17" thickBot="1" x14ac:dyDescent="0.3">
      <c r="B277" s="66">
        <v>276</v>
      </c>
      <c r="C277" s="66" t="s">
        <v>3299</v>
      </c>
      <c r="D277" s="50" t="s">
        <v>375</v>
      </c>
      <c r="E277" s="50">
        <v>28</v>
      </c>
      <c r="F277" s="50">
        <v>17</v>
      </c>
      <c r="G277" s="50">
        <v>18</v>
      </c>
      <c r="H277" s="50" t="s">
        <v>12</v>
      </c>
      <c r="I277" s="66">
        <v>1</v>
      </c>
      <c r="J277" s="50"/>
      <c r="P277" s="41">
        <v>1</v>
      </c>
      <c r="Q277" s="50" t="s">
        <v>48</v>
      </c>
    </row>
    <row r="278" spans="2:17" thickBot="1" x14ac:dyDescent="0.3">
      <c r="B278" s="66">
        <v>277</v>
      </c>
      <c r="C278" s="67" t="s">
        <v>977</v>
      </c>
      <c r="D278" s="50" t="s">
        <v>714</v>
      </c>
      <c r="E278" s="50">
        <v>28</v>
      </c>
      <c r="F278" s="50">
        <v>62</v>
      </c>
      <c r="G278" s="50" t="s">
        <v>40</v>
      </c>
      <c r="H278" s="50" t="s">
        <v>12</v>
      </c>
      <c r="I278" s="66">
        <v>1</v>
      </c>
      <c r="J278" s="50"/>
      <c r="P278" s="41">
        <v>1</v>
      </c>
      <c r="Q278" s="50" t="s">
        <v>48</v>
      </c>
    </row>
    <row r="279" spans="2:17" thickBot="1" x14ac:dyDescent="0.3">
      <c r="B279" s="66">
        <v>278</v>
      </c>
      <c r="C279" s="67" t="s">
        <v>977</v>
      </c>
      <c r="D279" s="50" t="s">
        <v>1028</v>
      </c>
      <c r="E279" s="50">
        <v>28</v>
      </c>
      <c r="F279" s="50">
        <v>48</v>
      </c>
      <c r="G279" s="50">
        <v>4</v>
      </c>
      <c r="H279" s="50" t="s">
        <v>12</v>
      </c>
      <c r="I279" s="66">
        <v>1</v>
      </c>
      <c r="J279" s="50"/>
      <c r="P279" s="41">
        <v>1</v>
      </c>
      <c r="Q279" s="50" t="s">
        <v>48</v>
      </c>
    </row>
    <row r="280" spans="2:17" thickBot="1" x14ac:dyDescent="0.3">
      <c r="B280" s="66">
        <v>279</v>
      </c>
      <c r="C280" s="66" t="s">
        <v>734</v>
      </c>
      <c r="D280" s="50" t="s">
        <v>3298</v>
      </c>
      <c r="E280" s="50">
        <v>28</v>
      </c>
      <c r="F280" s="50">
        <v>28</v>
      </c>
      <c r="G280" s="50">
        <v>2</v>
      </c>
      <c r="H280" s="50" t="s">
        <v>12</v>
      </c>
      <c r="I280" s="66">
        <v>1</v>
      </c>
      <c r="J280" s="50"/>
      <c r="P280" s="41">
        <v>1</v>
      </c>
      <c r="Q280" s="50" t="s">
        <v>48</v>
      </c>
    </row>
    <row r="281" spans="2:17" thickBot="1" x14ac:dyDescent="0.3">
      <c r="B281" s="66">
        <v>280</v>
      </c>
      <c r="C281" s="67" t="s">
        <v>2072</v>
      </c>
      <c r="D281" s="50" t="s">
        <v>711</v>
      </c>
      <c r="E281" s="50">
        <v>28</v>
      </c>
      <c r="F281" s="50">
        <v>44</v>
      </c>
      <c r="G281" s="50">
        <v>16</v>
      </c>
      <c r="H281" s="50" t="s">
        <v>12</v>
      </c>
      <c r="I281" s="66">
        <v>1</v>
      </c>
      <c r="J281" s="50"/>
      <c r="P281" s="41">
        <v>1</v>
      </c>
      <c r="Q281" s="50" t="s">
        <v>48</v>
      </c>
    </row>
    <row r="282" spans="2:17" thickBot="1" x14ac:dyDescent="0.3">
      <c r="B282" s="66">
        <v>281</v>
      </c>
      <c r="C282" s="67" t="s">
        <v>2261</v>
      </c>
      <c r="D282" s="50" t="s">
        <v>930</v>
      </c>
      <c r="E282" s="50">
        <v>28</v>
      </c>
      <c r="F282" s="50">
        <v>39</v>
      </c>
      <c r="G282" s="50">
        <v>501</v>
      </c>
      <c r="H282" s="50" t="s">
        <v>12</v>
      </c>
      <c r="I282" s="66">
        <v>1</v>
      </c>
      <c r="J282" s="50"/>
      <c r="P282" s="41">
        <v>1</v>
      </c>
      <c r="Q282" s="50" t="s">
        <v>48</v>
      </c>
    </row>
    <row r="283" spans="2:17" thickBot="1" x14ac:dyDescent="0.3">
      <c r="B283" s="66">
        <v>282</v>
      </c>
      <c r="C283" s="66" t="s">
        <v>1210</v>
      </c>
      <c r="D283" s="50" t="s">
        <v>542</v>
      </c>
      <c r="E283" s="50">
        <v>28</v>
      </c>
      <c r="F283" s="50">
        <v>55</v>
      </c>
      <c r="G283" s="50" t="s">
        <v>45</v>
      </c>
      <c r="H283" s="50" t="s">
        <v>12</v>
      </c>
      <c r="I283" s="66">
        <v>1</v>
      </c>
      <c r="J283" s="50"/>
      <c r="P283" s="41">
        <v>1</v>
      </c>
      <c r="Q283" s="50" t="s">
        <v>51</v>
      </c>
    </row>
    <row r="284" spans="2:17" thickBot="1" x14ac:dyDescent="0.3">
      <c r="B284" s="66">
        <v>283</v>
      </c>
      <c r="C284" s="67" t="s">
        <v>1210</v>
      </c>
      <c r="D284" s="50" t="s">
        <v>3297</v>
      </c>
      <c r="E284" s="50">
        <v>28</v>
      </c>
      <c r="F284" s="50">
        <v>69</v>
      </c>
      <c r="G284" s="50">
        <v>501</v>
      </c>
      <c r="H284" s="50" t="s">
        <v>12</v>
      </c>
      <c r="I284" s="66">
        <v>1</v>
      </c>
      <c r="J284" s="50"/>
      <c r="P284" s="41">
        <v>1</v>
      </c>
      <c r="Q284" s="50" t="s">
        <v>51</v>
      </c>
    </row>
    <row r="285" spans="2:17" thickBot="1" x14ac:dyDescent="0.3">
      <c r="B285" s="66">
        <v>284</v>
      </c>
      <c r="C285" s="67" t="s">
        <v>1613</v>
      </c>
      <c r="D285" s="50" t="s">
        <v>3296</v>
      </c>
      <c r="E285" s="50">
        <v>28</v>
      </c>
      <c r="F285" s="50">
        <v>28</v>
      </c>
      <c r="G285" s="50">
        <v>19</v>
      </c>
      <c r="H285" s="50" t="s">
        <v>12</v>
      </c>
      <c r="I285" s="66">
        <v>1</v>
      </c>
      <c r="J285" s="50"/>
      <c r="P285" s="41">
        <v>1</v>
      </c>
      <c r="Q285" s="50" t="s">
        <v>51</v>
      </c>
    </row>
    <row r="286" spans="2:17" thickBot="1" x14ac:dyDescent="0.3">
      <c r="B286" s="66">
        <v>285</v>
      </c>
      <c r="C286" s="66" t="s">
        <v>889</v>
      </c>
      <c r="D286" s="50" t="s">
        <v>3295</v>
      </c>
      <c r="E286" s="50">
        <v>28</v>
      </c>
      <c r="F286" s="50">
        <v>105</v>
      </c>
      <c r="G286" s="50">
        <v>9</v>
      </c>
      <c r="H286" s="50" t="s">
        <v>12</v>
      </c>
      <c r="I286" s="66">
        <v>1</v>
      </c>
      <c r="J286" s="50"/>
      <c r="P286" s="41">
        <v>1</v>
      </c>
      <c r="Q286" s="50" t="s">
        <v>51</v>
      </c>
    </row>
    <row r="287" spans="2:17" thickBot="1" x14ac:dyDescent="0.3">
      <c r="B287" s="66">
        <v>286</v>
      </c>
      <c r="C287" s="67" t="s">
        <v>3294</v>
      </c>
      <c r="D287" s="50" t="s">
        <v>3293</v>
      </c>
      <c r="E287" s="50">
        <v>28</v>
      </c>
      <c r="F287" s="50">
        <v>111</v>
      </c>
      <c r="G287" s="50">
        <v>9</v>
      </c>
      <c r="H287" s="50" t="s">
        <v>12</v>
      </c>
      <c r="I287" s="66">
        <v>1</v>
      </c>
      <c r="J287" s="50"/>
      <c r="P287" s="41">
        <v>1</v>
      </c>
      <c r="Q287" s="50" t="s">
        <v>57</v>
      </c>
    </row>
    <row r="288" spans="2:17" thickBot="1" x14ac:dyDescent="0.3">
      <c r="B288" s="66">
        <v>287</v>
      </c>
      <c r="C288" s="67"/>
      <c r="D288" s="50" t="s">
        <v>84</v>
      </c>
      <c r="E288" s="50">
        <v>28</v>
      </c>
      <c r="F288" s="50">
        <v>31</v>
      </c>
      <c r="G288" s="50">
        <v>22</v>
      </c>
      <c r="H288" s="50" t="s">
        <v>12</v>
      </c>
      <c r="I288" s="66">
        <v>1</v>
      </c>
      <c r="J288" s="50"/>
      <c r="P288" s="41">
        <v>1</v>
      </c>
      <c r="Q288" s="50" t="s">
        <v>57</v>
      </c>
    </row>
    <row r="289" spans="2:17" thickBot="1" x14ac:dyDescent="0.3">
      <c r="B289" s="66">
        <v>288</v>
      </c>
      <c r="C289" s="67" t="s">
        <v>600</v>
      </c>
      <c r="D289" s="50" t="s">
        <v>6</v>
      </c>
      <c r="E289" s="50">
        <v>28</v>
      </c>
      <c r="F289" s="50">
        <v>99</v>
      </c>
      <c r="G289" s="50">
        <v>5</v>
      </c>
      <c r="H289" s="50" t="s">
        <v>12</v>
      </c>
      <c r="I289" s="66">
        <v>1</v>
      </c>
      <c r="J289" s="50"/>
      <c r="P289" s="41">
        <v>1</v>
      </c>
      <c r="Q289" s="50" t="s">
        <v>57</v>
      </c>
    </row>
    <row r="290" spans="2:17" thickBot="1" x14ac:dyDescent="0.3">
      <c r="B290" s="66">
        <v>289</v>
      </c>
      <c r="C290" s="67" t="s">
        <v>600</v>
      </c>
      <c r="D290" s="50" t="s">
        <v>6</v>
      </c>
      <c r="E290" s="50">
        <v>28</v>
      </c>
      <c r="F290" s="50">
        <v>52</v>
      </c>
      <c r="G290" s="50">
        <v>7</v>
      </c>
      <c r="H290" s="50" t="s">
        <v>12</v>
      </c>
      <c r="I290" s="66">
        <v>1</v>
      </c>
      <c r="J290" s="50"/>
      <c r="P290" s="41">
        <v>1</v>
      </c>
      <c r="Q290" s="50" t="s">
        <v>54</v>
      </c>
    </row>
    <row r="291" spans="2:17" thickBot="1" x14ac:dyDescent="0.3">
      <c r="B291" s="66">
        <v>290</v>
      </c>
      <c r="C291" s="67" t="s">
        <v>600</v>
      </c>
      <c r="D291" s="50" t="s">
        <v>15</v>
      </c>
      <c r="E291" s="50">
        <v>28</v>
      </c>
      <c r="F291" s="50">
        <v>106</v>
      </c>
      <c r="G291" s="50">
        <v>9</v>
      </c>
      <c r="H291" s="50" t="s">
        <v>12</v>
      </c>
      <c r="I291" s="66">
        <v>1</v>
      </c>
      <c r="J291" s="50"/>
      <c r="P291" s="41">
        <v>1</v>
      </c>
      <c r="Q291" s="50" t="s">
        <v>54</v>
      </c>
    </row>
    <row r="292" spans="2:17" thickBot="1" x14ac:dyDescent="0.3">
      <c r="B292" s="66">
        <v>291</v>
      </c>
      <c r="C292" s="66" t="s">
        <v>3291</v>
      </c>
      <c r="D292" s="50" t="s">
        <v>3290</v>
      </c>
      <c r="E292" s="50">
        <v>28</v>
      </c>
      <c r="F292" s="50">
        <v>110</v>
      </c>
      <c r="G292" s="50">
        <v>17</v>
      </c>
      <c r="H292" s="50" t="s">
        <v>12</v>
      </c>
      <c r="I292" s="66">
        <v>1</v>
      </c>
      <c r="J292" s="50"/>
      <c r="P292" s="41">
        <v>1</v>
      </c>
      <c r="Q292" s="50" t="s">
        <v>54</v>
      </c>
    </row>
    <row r="293" spans="2:17" thickBot="1" x14ac:dyDescent="0.3">
      <c r="B293" s="66">
        <v>292</v>
      </c>
      <c r="C293" s="67" t="s">
        <v>3292</v>
      </c>
      <c r="D293" s="50" t="s">
        <v>628</v>
      </c>
      <c r="E293" s="50">
        <v>28</v>
      </c>
      <c r="F293" s="50">
        <v>56</v>
      </c>
      <c r="G293" s="50"/>
      <c r="H293" s="50" t="s">
        <v>12</v>
      </c>
      <c r="I293" s="66">
        <v>1</v>
      </c>
      <c r="J293" s="50"/>
      <c r="P293" s="41">
        <v>1</v>
      </c>
      <c r="Q293" s="50" t="s">
        <v>55</v>
      </c>
    </row>
    <row r="294" spans="2:17" thickBot="1" x14ac:dyDescent="0.3">
      <c r="B294" s="66">
        <v>293</v>
      </c>
      <c r="C294" s="67" t="s">
        <v>3289</v>
      </c>
      <c r="D294" s="50" t="s">
        <v>3288</v>
      </c>
      <c r="E294" s="50">
        <v>28</v>
      </c>
      <c r="F294" s="50">
        <v>46</v>
      </c>
      <c r="G294" s="50">
        <v>16</v>
      </c>
      <c r="H294" s="50" t="s">
        <v>12</v>
      </c>
      <c r="I294" s="66">
        <v>1</v>
      </c>
      <c r="J294" s="50"/>
      <c r="P294" s="41">
        <v>1</v>
      </c>
      <c r="Q294" s="50" t="s">
        <v>36</v>
      </c>
    </row>
    <row r="295" spans="2:17" thickBot="1" x14ac:dyDescent="0.3">
      <c r="B295" s="66">
        <v>294</v>
      </c>
      <c r="C295" s="67" t="s">
        <v>137</v>
      </c>
      <c r="D295" s="50" t="s">
        <v>1880</v>
      </c>
      <c r="E295" s="50">
        <v>28</v>
      </c>
      <c r="F295" s="50">
        <v>37</v>
      </c>
      <c r="G295" s="50">
        <v>21</v>
      </c>
      <c r="H295" s="50" t="s">
        <v>12</v>
      </c>
      <c r="I295" s="66">
        <v>1</v>
      </c>
      <c r="J295" s="50"/>
      <c r="P295" s="41">
        <v>1</v>
      </c>
      <c r="Q295" s="50" t="s">
        <v>36</v>
      </c>
    </row>
    <row r="296" spans="2:17" thickBot="1" x14ac:dyDescent="0.3">
      <c r="B296" s="66">
        <v>295</v>
      </c>
      <c r="C296" s="67" t="s">
        <v>137</v>
      </c>
      <c r="D296" s="50" t="s">
        <v>3286</v>
      </c>
      <c r="E296" s="50">
        <v>28</v>
      </c>
      <c r="F296" s="50">
        <v>113</v>
      </c>
      <c r="G296" s="50">
        <v>13</v>
      </c>
      <c r="H296" s="50" t="s">
        <v>12</v>
      </c>
      <c r="I296" s="66">
        <v>1</v>
      </c>
      <c r="J296" s="50"/>
      <c r="P296" s="41">
        <v>1</v>
      </c>
      <c r="Q296" s="50" t="s">
        <v>36</v>
      </c>
    </row>
    <row r="297" spans="2:17" thickBot="1" x14ac:dyDescent="0.3">
      <c r="B297" s="66">
        <v>296</v>
      </c>
      <c r="C297" s="67" t="s">
        <v>137</v>
      </c>
      <c r="D297" s="50" t="s">
        <v>1068</v>
      </c>
      <c r="E297" s="50">
        <v>28</v>
      </c>
      <c r="F297" s="50">
        <v>61</v>
      </c>
      <c r="G297" s="50">
        <v>19</v>
      </c>
      <c r="H297" s="50" t="s">
        <v>12</v>
      </c>
      <c r="I297" s="66">
        <v>1</v>
      </c>
      <c r="J297" s="50"/>
      <c r="P297" s="41">
        <v>1</v>
      </c>
      <c r="Q297" s="50" t="s">
        <v>36</v>
      </c>
    </row>
    <row r="298" spans="2:17" thickBot="1" x14ac:dyDescent="0.3">
      <c r="B298" s="66">
        <v>297</v>
      </c>
      <c r="C298" s="67" t="s">
        <v>137</v>
      </c>
      <c r="D298" s="50" t="s">
        <v>3287</v>
      </c>
      <c r="E298" s="50">
        <v>28</v>
      </c>
      <c r="F298" s="50">
        <v>9</v>
      </c>
      <c r="G298" s="50" t="s">
        <v>20</v>
      </c>
      <c r="H298" s="50" t="s">
        <v>12</v>
      </c>
      <c r="I298" s="66">
        <v>1</v>
      </c>
      <c r="J298" s="50"/>
      <c r="P298" s="41">
        <v>1</v>
      </c>
      <c r="Q298" s="50" t="s">
        <v>36</v>
      </c>
    </row>
    <row r="299" spans="2:17" thickBot="1" x14ac:dyDescent="0.3">
      <c r="B299" s="66">
        <v>298</v>
      </c>
      <c r="C299" s="67" t="s">
        <v>137</v>
      </c>
      <c r="D299" s="50" t="s">
        <v>3285</v>
      </c>
      <c r="E299" s="50">
        <v>28</v>
      </c>
      <c r="F299" s="50">
        <v>11</v>
      </c>
      <c r="G299" s="50">
        <v>6</v>
      </c>
      <c r="H299" s="50" t="s">
        <v>12</v>
      </c>
      <c r="I299" s="66">
        <v>1</v>
      </c>
      <c r="J299" s="50"/>
      <c r="P299" s="41">
        <v>1</v>
      </c>
      <c r="Q299" s="50" t="s">
        <v>36</v>
      </c>
    </row>
    <row r="300" spans="2:17" thickBot="1" x14ac:dyDescent="0.3">
      <c r="B300" s="66">
        <v>299</v>
      </c>
      <c r="C300" s="67" t="s">
        <v>137</v>
      </c>
      <c r="D300" s="50" t="s">
        <v>3284</v>
      </c>
      <c r="E300" s="50">
        <v>28</v>
      </c>
      <c r="F300" s="50">
        <v>99</v>
      </c>
      <c r="G300" s="50">
        <v>8</v>
      </c>
      <c r="H300" s="50" t="s">
        <v>12</v>
      </c>
      <c r="I300" s="66">
        <v>1</v>
      </c>
      <c r="J300" s="50"/>
      <c r="P300" s="41">
        <v>1</v>
      </c>
      <c r="Q300" s="50" t="s">
        <v>36</v>
      </c>
    </row>
    <row r="301" spans="2:17" thickBot="1" x14ac:dyDescent="0.3">
      <c r="B301" s="66">
        <v>300</v>
      </c>
      <c r="C301" s="66" t="s">
        <v>1320</v>
      </c>
      <c r="D301" s="50" t="s">
        <v>3283</v>
      </c>
      <c r="E301" s="50">
        <v>28</v>
      </c>
      <c r="F301" s="50">
        <v>32</v>
      </c>
      <c r="G301" s="50">
        <v>1</v>
      </c>
      <c r="H301" s="50" t="s">
        <v>12</v>
      </c>
      <c r="I301" s="66">
        <v>1</v>
      </c>
      <c r="J301" s="50"/>
      <c r="P301" s="41">
        <v>1</v>
      </c>
      <c r="Q301" s="50" t="s">
        <v>36</v>
      </c>
    </row>
    <row r="302" spans="2:17" thickBot="1" x14ac:dyDescent="0.3">
      <c r="B302" s="66">
        <v>301</v>
      </c>
      <c r="C302" s="67" t="s">
        <v>2092</v>
      </c>
      <c r="D302" s="50" t="s">
        <v>1743</v>
      </c>
      <c r="E302" s="50">
        <v>28</v>
      </c>
      <c r="F302" s="50">
        <v>5</v>
      </c>
      <c r="G302" s="50">
        <v>9</v>
      </c>
      <c r="H302" s="50" t="s">
        <v>12</v>
      </c>
      <c r="I302" s="66">
        <v>1</v>
      </c>
      <c r="J302" s="50"/>
      <c r="P302" s="41">
        <v>1</v>
      </c>
      <c r="Q302" s="50">
        <v>1404</v>
      </c>
    </row>
    <row r="303" spans="2:17" thickBot="1" x14ac:dyDescent="0.3">
      <c r="B303" s="66">
        <v>302</v>
      </c>
      <c r="C303" s="67" t="s">
        <v>3077</v>
      </c>
      <c r="D303" s="50" t="s">
        <v>2404</v>
      </c>
      <c r="E303" s="50">
        <v>28</v>
      </c>
      <c r="F303" s="50">
        <v>120</v>
      </c>
      <c r="G303" s="50">
        <v>7</v>
      </c>
      <c r="H303" s="50" t="s">
        <v>12</v>
      </c>
      <c r="I303" s="66">
        <v>1</v>
      </c>
      <c r="J303" s="50"/>
      <c r="P303" s="41">
        <v>1</v>
      </c>
      <c r="Q303" s="50" t="s">
        <v>36</v>
      </c>
    </row>
    <row r="304" spans="2:17" thickBot="1" x14ac:dyDescent="0.3">
      <c r="B304" s="66">
        <v>303</v>
      </c>
      <c r="C304" s="66" t="s">
        <v>2896</v>
      </c>
      <c r="D304" s="50" t="s">
        <v>544</v>
      </c>
      <c r="E304" s="50">
        <v>28</v>
      </c>
      <c r="F304" s="50">
        <v>73</v>
      </c>
      <c r="G304" s="50">
        <v>17</v>
      </c>
      <c r="H304" s="50" t="s">
        <v>12</v>
      </c>
      <c r="I304" s="66">
        <v>1</v>
      </c>
      <c r="J304" s="50"/>
      <c r="P304" s="41">
        <v>1</v>
      </c>
      <c r="Q304" s="50" t="s">
        <v>36</v>
      </c>
    </row>
    <row r="305" spans="2:17" thickBot="1" x14ac:dyDescent="0.3">
      <c r="B305" s="66">
        <v>304</v>
      </c>
      <c r="C305" s="67" t="s">
        <v>131</v>
      </c>
      <c r="D305" s="50" t="s">
        <v>1827</v>
      </c>
      <c r="E305" s="50">
        <v>28</v>
      </c>
      <c r="F305" s="50">
        <v>46</v>
      </c>
      <c r="G305" s="50">
        <v>18</v>
      </c>
      <c r="H305" s="50" t="s">
        <v>12</v>
      </c>
      <c r="I305" s="66">
        <v>1</v>
      </c>
      <c r="J305" s="50"/>
      <c r="P305" s="41">
        <v>1</v>
      </c>
      <c r="Q305" s="50" t="s">
        <v>36</v>
      </c>
    </row>
    <row r="306" spans="2:17" thickBot="1" x14ac:dyDescent="0.3">
      <c r="B306" s="66">
        <v>305</v>
      </c>
      <c r="C306" s="67" t="s">
        <v>131</v>
      </c>
      <c r="D306" s="50" t="s">
        <v>1828</v>
      </c>
      <c r="E306" s="50">
        <v>28</v>
      </c>
      <c r="F306" s="50">
        <v>125</v>
      </c>
      <c r="G306" s="50">
        <v>12</v>
      </c>
      <c r="H306" s="50" t="s">
        <v>12</v>
      </c>
      <c r="I306" s="66">
        <v>1</v>
      </c>
      <c r="J306" s="50"/>
      <c r="P306" s="41">
        <v>1</v>
      </c>
      <c r="Q306" s="50" t="s">
        <v>36</v>
      </c>
    </row>
    <row r="307" spans="2:17" thickBot="1" x14ac:dyDescent="0.3">
      <c r="B307" s="66">
        <v>306</v>
      </c>
      <c r="C307" s="67" t="s">
        <v>131</v>
      </c>
      <c r="D307" s="50" t="s">
        <v>1705</v>
      </c>
      <c r="E307" s="50">
        <v>28</v>
      </c>
      <c r="F307" s="50">
        <v>113</v>
      </c>
      <c r="G307" s="50">
        <v>11</v>
      </c>
      <c r="H307" s="50" t="s">
        <v>12</v>
      </c>
      <c r="I307" s="66">
        <v>1</v>
      </c>
      <c r="J307" s="50"/>
      <c r="P307" s="41">
        <v>1</v>
      </c>
      <c r="Q307" s="50" t="s">
        <v>36</v>
      </c>
    </row>
    <row r="308" spans="2:17" thickBot="1" x14ac:dyDescent="0.3">
      <c r="B308" s="66">
        <v>307</v>
      </c>
      <c r="C308" s="67" t="s">
        <v>131</v>
      </c>
      <c r="D308" s="50" t="s">
        <v>1829</v>
      </c>
      <c r="E308" s="50">
        <v>28</v>
      </c>
      <c r="F308" s="50">
        <v>25</v>
      </c>
      <c r="G308" s="50">
        <v>20</v>
      </c>
      <c r="H308" s="50" t="s">
        <v>12</v>
      </c>
      <c r="I308" s="66">
        <v>1</v>
      </c>
      <c r="J308" s="50"/>
      <c r="P308" s="41">
        <v>1</v>
      </c>
      <c r="Q308" s="50" t="s">
        <v>36</v>
      </c>
    </row>
    <row r="309" spans="2:17" thickBot="1" x14ac:dyDescent="0.3">
      <c r="B309" s="66">
        <v>308</v>
      </c>
      <c r="C309" s="67" t="s">
        <v>891</v>
      </c>
      <c r="D309" s="50" t="s">
        <v>1830</v>
      </c>
      <c r="E309" s="50">
        <v>28</v>
      </c>
      <c r="F309" s="50">
        <v>101</v>
      </c>
      <c r="G309" s="50">
        <v>8</v>
      </c>
      <c r="H309" s="50" t="s">
        <v>12</v>
      </c>
      <c r="I309" s="66">
        <v>1</v>
      </c>
      <c r="J309" s="50"/>
      <c r="P309" s="41">
        <v>1</v>
      </c>
      <c r="Q309" s="50" t="s">
        <v>36</v>
      </c>
    </row>
    <row r="310" spans="2:17" thickBot="1" x14ac:dyDescent="0.3">
      <c r="B310" s="66">
        <v>309</v>
      </c>
      <c r="C310" s="67" t="s">
        <v>891</v>
      </c>
      <c r="D310" s="50" t="s">
        <v>1104</v>
      </c>
      <c r="E310" s="50">
        <v>28</v>
      </c>
      <c r="F310" s="50">
        <v>79</v>
      </c>
      <c r="G310" s="50">
        <v>4</v>
      </c>
      <c r="H310" s="50" t="s">
        <v>12</v>
      </c>
      <c r="I310" s="66">
        <v>1</v>
      </c>
      <c r="J310" s="50"/>
      <c r="P310" s="41">
        <v>1</v>
      </c>
      <c r="Q310" s="50" t="s">
        <v>36</v>
      </c>
    </row>
    <row r="311" spans="2:17" thickBot="1" x14ac:dyDescent="0.3">
      <c r="B311" s="66">
        <v>310</v>
      </c>
      <c r="C311" s="67" t="s">
        <v>131</v>
      </c>
      <c r="D311" s="50" t="s">
        <v>3281</v>
      </c>
      <c r="E311" s="50">
        <v>28</v>
      </c>
      <c r="F311" s="50">
        <v>9</v>
      </c>
      <c r="G311" s="50">
        <v>26</v>
      </c>
      <c r="H311" s="50" t="s">
        <v>12</v>
      </c>
      <c r="I311" s="66">
        <v>1</v>
      </c>
      <c r="J311" s="50"/>
      <c r="P311" s="41">
        <v>1</v>
      </c>
      <c r="Q311" s="50" t="s">
        <v>36</v>
      </c>
    </row>
    <row r="312" spans="2:17" thickBot="1" x14ac:dyDescent="0.3">
      <c r="B312" s="66">
        <v>311</v>
      </c>
      <c r="C312" s="67" t="s">
        <v>131</v>
      </c>
      <c r="D312" s="50" t="s">
        <v>1831</v>
      </c>
      <c r="E312" s="50">
        <v>28</v>
      </c>
      <c r="F312" s="50">
        <v>23</v>
      </c>
      <c r="G312" s="50">
        <v>21</v>
      </c>
      <c r="H312" s="50" t="s">
        <v>12</v>
      </c>
      <c r="I312" s="66">
        <v>1</v>
      </c>
      <c r="J312" s="50"/>
      <c r="P312" s="41">
        <v>1</v>
      </c>
      <c r="Q312" s="50" t="s">
        <v>36</v>
      </c>
    </row>
    <row r="313" spans="2:17" thickBot="1" x14ac:dyDescent="0.3">
      <c r="B313" s="66">
        <v>312</v>
      </c>
      <c r="C313" s="67" t="s">
        <v>131</v>
      </c>
      <c r="D313" s="50" t="s">
        <v>1832</v>
      </c>
      <c r="E313" s="50">
        <v>28</v>
      </c>
      <c r="F313" s="50">
        <v>67</v>
      </c>
      <c r="G313" s="50">
        <v>2</v>
      </c>
      <c r="H313" s="50" t="s">
        <v>12</v>
      </c>
      <c r="I313" s="66">
        <v>1</v>
      </c>
      <c r="J313" s="50"/>
      <c r="P313" s="41">
        <v>1</v>
      </c>
      <c r="Q313" s="50" t="s">
        <v>36</v>
      </c>
    </row>
    <row r="314" spans="2:17" ht="38.25" thickBot="1" x14ac:dyDescent="0.3">
      <c r="B314" s="66">
        <v>313</v>
      </c>
      <c r="C314" s="67" t="s">
        <v>131</v>
      </c>
      <c r="D314" s="50" t="s">
        <v>1833</v>
      </c>
      <c r="E314" s="50">
        <v>28</v>
      </c>
      <c r="F314" s="50" t="s">
        <v>85</v>
      </c>
      <c r="G314" s="50">
        <v>11</v>
      </c>
      <c r="H314" s="50" t="s">
        <v>12</v>
      </c>
      <c r="I314" s="66">
        <v>1</v>
      </c>
      <c r="J314" s="50"/>
      <c r="P314" s="41">
        <v>1</v>
      </c>
      <c r="Q314" s="50" t="s">
        <v>36</v>
      </c>
    </row>
    <row r="315" spans="2:17" thickBot="1" x14ac:dyDescent="0.3">
      <c r="B315" s="66">
        <v>314</v>
      </c>
      <c r="C315" s="67" t="s">
        <v>131</v>
      </c>
      <c r="D315" s="50" t="s">
        <v>1834</v>
      </c>
      <c r="E315" s="50">
        <v>28</v>
      </c>
      <c r="F315" s="50">
        <v>31</v>
      </c>
      <c r="G315" s="50">
        <v>1</v>
      </c>
      <c r="H315" s="50" t="s">
        <v>12</v>
      </c>
      <c r="I315" s="66">
        <v>1</v>
      </c>
      <c r="J315" s="50"/>
      <c r="P315" s="41">
        <v>1</v>
      </c>
      <c r="Q315" s="50" t="s">
        <v>36</v>
      </c>
    </row>
    <row r="316" spans="2:17" thickBot="1" x14ac:dyDescent="0.3">
      <c r="B316" s="66">
        <v>315</v>
      </c>
      <c r="C316" s="66" t="s">
        <v>128</v>
      </c>
      <c r="D316" s="50" t="s">
        <v>1835</v>
      </c>
      <c r="E316" s="50">
        <v>28</v>
      </c>
      <c r="F316" s="50">
        <v>17</v>
      </c>
      <c r="G316" s="50">
        <v>16</v>
      </c>
      <c r="H316" s="50" t="s">
        <v>12</v>
      </c>
      <c r="I316" s="66">
        <v>1</v>
      </c>
      <c r="J316" s="50"/>
      <c r="P316" s="41">
        <v>1</v>
      </c>
      <c r="Q316" s="50" t="s">
        <v>36</v>
      </c>
    </row>
    <row r="317" spans="2:17" thickBot="1" x14ac:dyDescent="0.3">
      <c r="B317" s="66">
        <v>316</v>
      </c>
      <c r="C317" s="66" t="s">
        <v>128</v>
      </c>
      <c r="D317" s="50" t="s">
        <v>1836</v>
      </c>
      <c r="E317" s="50">
        <v>28</v>
      </c>
      <c r="F317" s="50">
        <v>95</v>
      </c>
      <c r="G317" s="50">
        <v>11</v>
      </c>
      <c r="H317" s="50" t="s">
        <v>12</v>
      </c>
      <c r="I317" s="66">
        <v>1</v>
      </c>
      <c r="J317" s="50"/>
      <c r="P317" s="41">
        <v>1</v>
      </c>
      <c r="Q317" s="50" t="s">
        <v>36</v>
      </c>
    </row>
    <row r="318" spans="2:17" thickBot="1" x14ac:dyDescent="0.3">
      <c r="B318" s="66">
        <v>317</v>
      </c>
      <c r="C318" s="66" t="s">
        <v>128</v>
      </c>
      <c r="D318" s="50" t="s">
        <v>1837</v>
      </c>
      <c r="E318" s="50">
        <v>28</v>
      </c>
      <c r="F318" s="50">
        <v>105</v>
      </c>
      <c r="G318" s="50">
        <v>3</v>
      </c>
      <c r="H318" s="50" t="s">
        <v>12</v>
      </c>
      <c r="I318" s="66">
        <v>1</v>
      </c>
      <c r="J318" s="50"/>
      <c r="P318" s="41">
        <v>1</v>
      </c>
      <c r="Q318" s="50" t="s">
        <v>36</v>
      </c>
    </row>
    <row r="319" spans="2:17" thickBot="1" x14ac:dyDescent="0.3">
      <c r="B319" s="66">
        <v>318</v>
      </c>
      <c r="C319" s="66" t="s">
        <v>128</v>
      </c>
      <c r="D319" s="50" t="s">
        <v>1838</v>
      </c>
      <c r="E319" s="50">
        <v>28</v>
      </c>
      <c r="F319" s="50">
        <v>26</v>
      </c>
      <c r="G319" s="50">
        <v>19</v>
      </c>
      <c r="H319" s="50" t="s">
        <v>12</v>
      </c>
      <c r="I319" s="66">
        <v>1</v>
      </c>
      <c r="J319" s="50"/>
      <c r="P319" s="41">
        <v>1</v>
      </c>
      <c r="Q319" s="50" t="s">
        <v>36</v>
      </c>
    </row>
    <row r="320" spans="2:17" thickBot="1" x14ac:dyDescent="0.3">
      <c r="B320" s="66">
        <v>319</v>
      </c>
      <c r="C320" s="66" t="s">
        <v>128</v>
      </c>
      <c r="D320" s="50" t="s">
        <v>1839</v>
      </c>
      <c r="E320" s="50">
        <v>28</v>
      </c>
      <c r="F320" s="50">
        <v>92</v>
      </c>
      <c r="G320" s="50">
        <v>1</v>
      </c>
      <c r="H320" s="50" t="s">
        <v>12</v>
      </c>
      <c r="I320" s="66">
        <v>1</v>
      </c>
      <c r="J320" s="50"/>
      <c r="P320" s="41">
        <v>1</v>
      </c>
      <c r="Q320" s="50" t="s">
        <v>36</v>
      </c>
    </row>
    <row r="321" spans="2:17" thickBot="1" x14ac:dyDescent="0.3">
      <c r="B321" s="66">
        <v>320</v>
      </c>
      <c r="C321" s="66" t="s">
        <v>128</v>
      </c>
      <c r="D321" s="50" t="s">
        <v>1840</v>
      </c>
      <c r="E321" s="50">
        <v>28</v>
      </c>
      <c r="F321" s="50">
        <v>13</v>
      </c>
      <c r="G321" s="50">
        <v>12</v>
      </c>
      <c r="H321" s="50" t="s">
        <v>12</v>
      </c>
      <c r="I321" s="66">
        <v>1</v>
      </c>
      <c r="J321" s="50"/>
      <c r="P321" s="41">
        <v>1</v>
      </c>
      <c r="Q321" s="50" t="s">
        <v>36</v>
      </c>
    </row>
    <row r="322" spans="2:17" thickBot="1" x14ac:dyDescent="0.3">
      <c r="B322" s="66">
        <v>321</v>
      </c>
      <c r="C322" s="66" t="s">
        <v>128</v>
      </c>
      <c r="D322" s="50" t="s">
        <v>1841</v>
      </c>
      <c r="E322" s="50">
        <v>28</v>
      </c>
      <c r="F322" s="50">
        <v>19</v>
      </c>
      <c r="G322" s="50">
        <v>1</v>
      </c>
      <c r="H322" s="50" t="s">
        <v>12</v>
      </c>
      <c r="I322" s="66">
        <v>1</v>
      </c>
      <c r="J322" s="50"/>
      <c r="P322" s="41">
        <v>1</v>
      </c>
      <c r="Q322" s="50" t="s">
        <v>36</v>
      </c>
    </row>
    <row r="323" spans="2:17" thickBot="1" x14ac:dyDescent="0.3">
      <c r="B323" s="66">
        <v>322</v>
      </c>
      <c r="C323" s="66" t="s">
        <v>128</v>
      </c>
      <c r="D323" s="50" t="s">
        <v>1842</v>
      </c>
      <c r="E323" s="50">
        <v>28</v>
      </c>
      <c r="F323" s="50">
        <v>35</v>
      </c>
      <c r="G323" s="50">
        <v>23</v>
      </c>
      <c r="H323" s="50" t="s">
        <v>12</v>
      </c>
      <c r="I323" s="66">
        <v>1</v>
      </c>
      <c r="J323" s="50"/>
      <c r="P323" s="41">
        <v>1</v>
      </c>
      <c r="Q323" s="50" t="s">
        <v>36</v>
      </c>
    </row>
    <row r="324" spans="2:17" thickBot="1" x14ac:dyDescent="0.3">
      <c r="B324" s="66">
        <v>323</v>
      </c>
      <c r="C324" s="66" t="s">
        <v>128</v>
      </c>
      <c r="D324" s="50" t="s">
        <v>1843</v>
      </c>
      <c r="E324" s="50">
        <v>28</v>
      </c>
      <c r="F324" s="50">
        <v>17</v>
      </c>
      <c r="G324" s="50">
        <v>2</v>
      </c>
      <c r="H324" s="50" t="s">
        <v>12</v>
      </c>
      <c r="I324" s="66">
        <v>1</v>
      </c>
      <c r="J324" s="50"/>
      <c r="P324" s="41">
        <v>1</v>
      </c>
      <c r="Q324" s="50" t="s">
        <v>36</v>
      </c>
    </row>
    <row r="325" spans="2:17" thickBot="1" x14ac:dyDescent="0.3">
      <c r="B325" s="66">
        <v>324</v>
      </c>
      <c r="C325" s="66" t="s">
        <v>825</v>
      </c>
      <c r="D325" s="50" t="s">
        <v>1844</v>
      </c>
      <c r="E325" s="50">
        <v>28</v>
      </c>
      <c r="F325" s="50">
        <v>20</v>
      </c>
      <c r="G325" s="50">
        <v>2</v>
      </c>
      <c r="H325" s="50" t="s">
        <v>12</v>
      </c>
      <c r="I325" s="66">
        <v>1</v>
      </c>
      <c r="J325" s="50"/>
      <c r="P325" s="41">
        <v>1</v>
      </c>
      <c r="Q325" s="50">
        <v>1404</v>
      </c>
    </row>
    <row r="326" spans="2:17" thickBot="1" x14ac:dyDescent="0.3">
      <c r="B326" s="66">
        <v>325</v>
      </c>
      <c r="C326" s="67" t="s">
        <v>600</v>
      </c>
      <c r="D326" s="50" t="s">
        <v>86</v>
      </c>
      <c r="E326" s="50">
        <v>28</v>
      </c>
      <c r="F326" s="50">
        <v>47</v>
      </c>
      <c r="G326" s="50">
        <v>22</v>
      </c>
      <c r="H326" s="50" t="s">
        <v>12</v>
      </c>
      <c r="I326" s="66">
        <v>1</v>
      </c>
      <c r="J326" s="50"/>
      <c r="P326" s="41">
        <v>1</v>
      </c>
      <c r="Q326" s="50" t="s">
        <v>36</v>
      </c>
    </row>
    <row r="327" spans="2:17" ht="38.25" thickBot="1" x14ac:dyDescent="0.3">
      <c r="B327" s="66">
        <v>326</v>
      </c>
      <c r="C327" s="67" t="s">
        <v>1846</v>
      </c>
      <c r="D327" s="50" t="s">
        <v>1845</v>
      </c>
      <c r="E327" s="50">
        <v>28</v>
      </c>
      <c r="F327" s="50" t="s">
        <v>85</v>
      </c>
      <c r="G327" s="50">
        <v>8</v>
      </c>
      <c r="H327" s="50" t="s">
        <v>12</v>
      </c>
      <c r="I327" s="66">
        <v>1</v>
      </c>
      <c r="J327" s="50"/>
      <c r="P327" s="41">
        <v>1</v>
      </c>
      <c r="Q327" s="50" t="s">
        <v>36</v>
      </c>
    </row>
    <row r="328" spans="2:17" thickBot="1" x14ac:dyDescent="0.3">
      <c r="B328" s="66">
        <v>327</v>
      </c>
      <c r="C328" s="66" t="s">
        <v>1866</v>
      </c>
      <c r="D328" s="50" t="s">
        <v>1865</v>
      </c>
      <c r="E328" s="50">
        <v>28</v>
      </c>
      <c r="F328" s="50">
        <v>54</v>
      </c>
      <c r="G328" s="50">
        <v>5</v>
      </c>
      <c r="H328" s="50" t="s">
        <v>12</v>
      </c>
      <c r="I328" s="66">
        <v>1</v>
      </c>
      <c r="J328" s="50"/>
      <c r="P328" s="41">
        <v>1</v>
      </c>
      <c r="Q328" s="50" t="s">
        <v>36</v>
      </c>
    </row>
    <row r="329" spans="2:17" thickBot="1" x14ac:dyDescent="0.3">
      <c r="B329" s="66">
        <v>328</v>
      </c>
      <c r="C329" s="67" t="s">
        <v>132</v>
      </c>
      <c r="D329" s="50" t="s">
        <v>1026</v>
      </c>
      <c r="E329" s="50">
        <v>28</v>
      </c>
      <c r="F329" s="50">
        <v>23</v>
      </c>
      <c r="G329" s="50">
        <v>2</v>
      </c>
      <c r="H329" s="50" t="s">
        <v>12</v>
      </c>
      <c r="I329" s="66">
        <v>1</v>
      </c>
      <c r="J329" s="50"/>
      <c r="P329" s="41">
        <v>1</v>
      </c>
      <c r="Q329" s="50" t="s">
        <v>36</v>
      </c>
    </row>
    <row r="330" spans="2:17" thickBot="1" x14ac:dyDescent="0.3">
      <c r="B330" s="66">
        <v>329</v>
      </c>
      <c r="C330" s="67" t="s">
        <v>132</v>
      </c>
      <c r="D330" s="50" t="s">
        <v>1864</v>
      </c>
      <c r="E330" s="50">
        <v>28</v>
      </c>
      <c r="F330" s="50">
        <v>68</v>
      </c>
      <c r="G330" s="50">
        <v>5</v>
      </c>
      <c r="H330" s="50" t="s">
        <v>12</v>
      </c>
      <c r="I330" s="66">
        <v>1</v>
      </c>
      <c r="J330" s="50"/>
      <c r="P330" s="41">
        <v>1</v>
      </c>
      <c r="Q330" s="50" t="s">
        <v>36</v>
      </c>
    </row>
    <row r="331" spans="2:17" thickBot="1" x14ac:dyDescent="0.3">
      <c r="B331" s="66">
        <v>330</v>
      </c>
      <c r="C331" s="66" t="s">
        <v>133</v>
      </c>
      <c r="D331" s="50" t="s">
        <v>1863</v>
      </c>
      <c r="E331" s="50">
        <v>28</v>
      </c>
      <c r="F331" s="50">
        <v>100</v>
      </c>
      <c r="G331" s="50">
        <v>5</v>
      </c>
      <c r="H331" s="50" t="s">
        <v>12</v>
      </c>
      <c r="I331" s="66">
        <v>1</v>
      </c>
      <c r="J331" s="50"/>
      <c r="P331" s="41">
        <v>1</v>
      </c>
      <c r="Q331" s="50" t="s">
        <v>36</v>
      </c>
    </row>
    <row r="332" spans="2:17" thickBot="1" x14ac:dyDescent="0.3">
      <c r="B332" s="66">
        <v>331</v>
      </c>
      <c r="C332" s="67" t="s">
        <v>932</v>
      </c>
      <c r="D332" s="50" t="s">
        <v>1862</v>
      </c>
      <c r="E332" s="50">
        <v>28</v>
      </c>
      <c r="F332" s="50">
        <v>103</v>
      </c>
      <c r="G332" s="50">
        <v>15</v>
      </c>
      <c r="H332" s="50" t="s">
        <v>12</v>
      </c>
      <c r="I332" s="66">
        <v>1</v>
      </c>
      <c r="J332" s="50"/>
      <c r="P332" s="41">
        <v>1</v>
      </c>
      <c r="Q332" s="50" t="s">
        <v>36</v>
      </c>
    </row>
    <row r="333" spans="2:17" ht="38.25" thickBot="1" x14ac:dyDescent="0.3">
      <c r="B333" s="66">
        <v>332</v>
      </c>
      <c r="C333" s="67" t="s">
        <v>932</v>
      </c>
      <c r="D333" s="50" t="s">
        <v>1861</v>
      </c>
      <c r="E333" s="50">
        <v>28</v>
      </c>
      <c r="F333" s="50">
        <v>117</v>
      </c>
      <c r="G333" s="50">
        <v>15</v>
      </c>
      <c r="H333" s="50" t="s">
        <v>12</v>
      </c>
      <c r="I333" s="66">
        <v>1</v>
      </c>
      <c r="J333" s="50"/>
      <c r="P333" s="41">
        <v>1</v>
      </c>
      <c r="Q333" s="50">
        <v>1404</v>
      </c>
    </row>
    <row r="334" spans="2:17" thickBot="1" x14ac:dyDescent="0.3">
      <c r="B334" s="66">
        <v>333</v>
      </c>
      <c r="C334" s="66" t="s">
        <v>1859</v>
      </c>
      <c r="D334" s="50" t="s">
        <v>1860</v>
      </c>
      <c r="E334" s="50">
        <v>28</v>
      </c>
      <c r="F334" s="50">
        <v>59</v>
      </c>
      <c r="G334" s="50">
        <v>16</v>
      </c>
      <c r="H334" s="50" t="s">
        <v>12</v>
      </c>
      <c r="I334" s="66">
        <v>1</v>
      </c>
      <c r="J334" s="50"/>
      <c r="P334" s="41">
        <v>1</v>
      </c>
      <c r="Q334" s="50">
        <v>1404</v>
      </c>
    </row>
    <row r="335" spans="2:17" thickBot="1" x14ac:dyDescent="0.3">
      <c r="B335" s="66">
        <v>334</v>
      </c>
      <c r="C335" s="67" t="s">
        <v>1859</v>
      </c>
      <c r="D335" s="50" t="s">
        <v>1858</v>
      </c>
      <c r="E335" s="50">
        <v>28</v>
      </c>
      <c r="F335" s="50">
        <v>43</v>
      </c>
      <c r="G335" s="50">
        <v>3</v>
      </c>
      <c r="H335" s="50" t="s">
        <v>12</v>
      </c>
      <c r="I335" s="66">
        <v>1</v>
      </c>
      <c r="J335" s="50"/>
      <c r="P335" s="41">
        <v>1</v>
      </c>
      <c r="Q335" s="50">
        <v>1404</v>
      </c>
    </row>
    <row r="336" spans="2:17" thickBot="1" x14ac:dyDescent="0.3">
      <c r="B336" s="66">
        <v>335</v>
      </c>
      <c r="C336" s="67" t="s">
        <v>600</v>
      </c>
      <c r="D336" s="50" t="s">
        <v>87</v>
      </c>
      <c r="E336" s="50">
        <v>28</v>
      </c>
      <c r="F336" s="50">
        <v>71</v>
      </c>
      <c r="G336" s="50">
        <v>12</v>
      </c>
      <c r="H336" s="50" t="s">
        <v>12</v>
      </c>
      <c r="I336" s="66">
        <v>1</v>
      </c>
      <c r="J336" s="50"/>
      <c r="P336" s="41">
        <v>1</v>
      </c>
      <c r="Q336" s="50">
        <v>1404</v>
      </c>
    </row>
    <row r="337" spans="2:17" thickBot="1" x14ac:dyDescent="0.3">
      <c r="B337" s="66">
        <v>336</v>
      </c>
      <c r="C337" s="66" t="s">
        <v>1286</v>
      </c>
      <c r="D337" s="50" t="s">
        <v>1857</v>
      </c>
      <c r="E337" s="50">
        <v>28</v>
      </c>
      <c r="F337" s="50">
        <v>28</v>
      </c>
      <c r="G337" s="50">
        <v>21</v>
      </c>
      <c r="H337" s="50" t="s">
        <v>12</v>
      </c>
      <c r="I337" s="66">
        <v>1</v>
      </c>
      <c r="J337" s="50"/>
      <c r="P337" s="41">
        <v>1</v>
      </c>
      <c r="Q337" s="50" t="s">
        <v>80</v>
      </c>
    </row>
    <row r="338" spans="2:17" thickBot="1" x14ac:dyDescent="0.3">
      <c r="B338" s="66">
        <v>337</v>
      </c>
      <c r="C338" s="67" t="s">
        <v>1286</v>
      </c>
      <c r="D338" s="50" t="s">
        <v>1856</v>
      </c>
      <c r="E338" s="50">
        <v>28</v>
      </c>
      <c r="F338" s="50">
        <v>44</v>
      </c>
      <c r="G338" s="50">
        <v>22</v>
      </c>
      <c r="H338" s="50" t="s">
        <v>12</v>
      </c>
      <c r="I338" s="66">
        <v>1</v>
      </c>
      <c r="J338" s="50"/>
      <c r="P338" s="41">
        <v>1</v>
      </c>
      <c r="Q338" s="50">
        <v>1404</v>
      </c>
    </row>
    <row r="339" spans="2:17" thickBot="1" x14ac:dyDescent="0.3">
      <c r="B339" s="66">
        <v>338</v>
      </c>
      <c r="C339" s="67" t="s">
        <v>1855</v>
      </c>
      <c r="D339" s="50" t="s">
        <v>1854</v>
      </c>
      <c r="E339" s="50">
        <v>28</v>
      </c>
      <c r="F339" s="50">
        <v>17</v>
      </c>
      <c r="G339" s="50">
        <v>12</v>
      </c>
      <c r="H339" s="50" t="s">
        <v>12</v>
      </c>
      <c r="I339" s="66">
        <v>1</v>
      </c>
      <c r="J339" s="50"/>
      <c r="P339" s="41">
        <v>1</v>
      </c>
      <c r="Q339" s="50">
        <v>1404</v>
      </c>
    </row>
    <row r="340" spans="2:17" thickBot="1" x14ac:dyDescent="0.3">
      <c r="B340" s="66">
        <v>339</v>
      </c>
      <c r="C340" s="66" t="s">
        <v>1853</v>
      </c>
      <c r="D340" s="50" t="s">
        <v>1852</v>
      </c>
      <c r="E340" s="50">
        <v>28</v>
      </c>
      <c r="F340" s="50">
        <v>52</v>
      </c>
      <c r="G340" s="50">
        <v>2</v>
      </c>
      <c r="H340" s="50" t="s">
        <v>12</v>
      </c>
      <c r="I340" s="66">
        <v>1</v>
      </c>
      <c r="J340" s="50"/>
      <c r="P340" s="41">
        <v>1</v>
      </c>
      <c r="Q340" s="50">
        <v>1404</v>
      </c>
    </row>
    <row r="341" spans="2:17" thickBot="1" x14ac:dyDescent="0.3">
      <c r="B341" s="66">
        <v>340</v>
      </c>
      <c r="C341" s="67" t="s">
        <v>1851</v>
      </c>
      <c r="D341" s="50" t="s">
        <v>1850</v>
      </c>
      <c r="E341" s="50">
        <v>28</v>
      </c>
      <c r="F341" s="50">
        <v>19</v>
      </c>
      <c r="G341" s="50">
        <v>1</v>
      </c>
      <c r="H341" s="50" t="s">
        <v>12</v>
      </c>
      <c r="I341" s="66">
        <v>1</v>
      </c>
      <c r="J341" s="50"/>
      <c r="P341" s="41">
        <v>1</v>
      </c>
      <c r="Q341" s="50">
        <v>1404</v>
      </c>
    </row>
    <row r="342" spans="2:17" thickBot="1" x14ac:dyDescent="0.3">
      <c r="B342" s="66">
        <v>341</v>
      </c>
      <c r="C342" s="67" t="s">
        <v>1848</v>
      </c>
      <c r="D342" s="50" t="s">
        <v>1849</v>
      </c>
      <c r="E342" s="50">
        <v>28</v>
      </c>
      <c r="F342" s="50">
        <v>22</v>
      </c>
      <c r="G342" s="50">
        <v>14</v>
      </c>
      <c r="H342" s="50" t="s">
        <v>12</v>
      </c>
      <c r="I342" s="66">
        <v>1</v>
      </c>
      <c r="J342" s="50"/>
      <c r="P342" s="41">
        <v>1</v>
      </c>
      <c r="Q342" s="50">
        <v>1404</v>
      </c>
    </row>
    <row r="343" spans="2:17" thickBot="1" x14ac:dyDescent="0.3">
      <c r="B343" s="66">
        <v>342</v>
      </c>
      <c r="C343" s="66" t="s">
        <v>1848</v>
      </c>
      <c r="D343" s="50" t="s">
        <v>1847</v>
      </c>
      <c r="E343" s="50">
        <v>28</v>
      </c>
      <c r="F343" s="50">
        <v>53</v>
      </c>
      <c r="G343" s="50">
        <v>11</v>
      </c>
      <c r="H343" s="50" t="s">
        <v>12</v>
      </c>
      <c r="I343" s="66">
        <v>1</v>
      </c>
      <c r="J343" s="50"/>
      <c r="P343" s="41">
        <v>1</v>
      </c>
      <c r="Q343" s="50">
        <v>1404</v>
      </c>
    </row>
    <row r="344" spans="2:17" thickBot="1" x14ac:dyDescent="0.3">
      <c r="B344" s="66">
        <v>343</v>
      </c>
      <c r="C344" s="67" t="s">
        <v>640</v>
      </c>
      <c r="D344" s="50" t="s">
        <v>692</v>
      </c>
      <c r="E344" s="50">
        <v>28</v>
      </c>
      <c r="F344" s="50">
        <v>36</v>
      </c>
      <c r="G344" s="50">
        <v>2</v>
      </c>
      <c r="H344" s="50" t="s">
        <v>12</v>
      </c>
      <c r="I344" s="66">
        <v>1</v>
      </c>
      <c r="J344" s="50"/>
      <c r="P344" s="41">
        <v>1</v>
      </c>
      <c r="Q344" s="50" t="s">
        <v>80</v>
      </c>
    </row>
    <row r="345" spans="2:17" thickBot="1" x14ac:dyDescent="0.3">
      <c r="B345" s="66">
        <v>344</v>
      </c>
      <c r="C345" s="67" t="s">
        <v>640</v>
      </c>
      <c r="D345" s="50" t="s">
        <v>1901</v>
      </c>
      <c r="E345" s="50">
        <v>28</v>
      </c>
      <c r="F345" s="50">
        <v>64</v>
      </c>
      <c r="G345" s="50">
        <v>6</v>
      </c>
      <c r="H345" s="50" t="s">
        <v>12</v>
      </c>
      <c r="I345" s="66">
        <v>1</v>
      </c>
      <c r="J345" s="50"/>
      <c r="P345" s="41">
        <v>1</v>
      </c>
      <c r="Q345" s="50" t="s">
        <v>80</v>
      </c>
    </row>
    <row r="346" spans="2:17" thickBot="1" x14ac:dyDescent="0.3">
      <c r="B346" s="66">
        <v>345</v>
      </c>
      <c r="C346" s="67" t="s">
        <v>296</v>
      </c>
      <c r="D346" s="50" t="s">
        <v>1900</v>
      </c>
      <c r="E346" s="50">
        <v>28</v>
      </c>
      <c r="F346" s="50">
        <v>28</v>
      </c>
      <c r="G346" s="50">
        <v>17</v>
      </c>
      <c r="H346" s="50" t="s">
        <v>12</v>
      </c>
      <c r="I346" s="66">
        <v>1</v>
      </c>
      <c r="J346" s="50"/>
      <c r="P346" s="41">
        <v>1</v>
      </c>
      <c r="Q346" s="50" t="s">
        <v>80</v>
      </c>
    </row>
    <row r="347" spans="2:17" thickBot="1" x14ac:dyDescent="0.3">
      <c r="B347" s="66">
        <v>346</v>
      </c>
      <c r="C347" s="67" t="s">
        <v>296</v>
      </c>
      <c r="D347" s="50" t="s">
        <v>1899</v>
      </c>
      <c r="E347" s="50">
        <v>28</v>
      </c>
      <c r="F347" s="50">
        <v>104</v>
      </c>
      <c r="G347" s="50">
        <v>7</v>
      </c>
      <c r="H347" s="50" t="s">
        <v>12</v>
      </c>
      <c r="I347" s="66">
        <v>1</v>
      </c>
      <c r="J347" s="50"/>
      <c r="P347" s="41">
        <v>1</v>
      </c>
      <c r="Q347" s="50" t="s">
        <v>80</v>
      </c>
    </row>
    <row r="348" spans="2:17" thickBot="1" x14ac:dyDescent="0.3">
      <c r="B348" s="66">
        <v>347</v>
      </c>
      <c r="C348" s="67" t="s">
        <v>296</v>
      </c>
      <c r="D348" s="50" t="s">
        <v>1898</v>
      </c>
      <c r="E348" s="50">
        <v>28</v>
      </c>
      <c r="F348" s="50">
        <v>95</v>
      </c>
      <c r="G348" s="50">
        <v>3</v>
      </c>
      <c r="H348" s="50" t="s">
        <v>12</v>
      </c>
      <c r="I348" s="66">
        <v>1</v>
      </c>
      <c r="J348" s="50"/>
      <c r="P348" s="41">
        <v>1</v>
      </c>
      <c r="Q348" s="50" t="s">
        <v>80</v>
      </c>
    </row>
    <row r="349" spans="2:17" thickBot="1" x14ac:dyDescent="0.3">
      <c r="B349" s="66">
        <v>348</v>
      </c>
      <c r="C349" s="66" t="s">
        <v>712</v>
      </c>
      <c r="D349" s="50" t="s">
        <v>523</v>
      </c>
      <c r="E349" s="50">
        <v>28</v>
      </c>
      <c r="F349" s="50">
        <v>15</v>
      </c>
      <c r="G349" s="50">
        <v>8</v>
      </c>
      <c r="H349" s="50" t="s">
        <v>12</v>
      </c>
      <c r="I349" s="66">
        <v>1</v>
      </c>
      <c r="J349" s="50"/>
      <c r="P349" s="41">
        <v>1</v>
      </c>
      <c r="Q349" s="50">
        <v>1404</v>
      </c>
    </row>
    <row r="350" spans="2:17" thickBot="1" x14ac:dyDescent="0.3">
      <c r="B350" s="66">
        <v>349</v>
      </c>
      <c r="C350" s="67" t="s">
        <v>712</v>
      </c>
      <c r="D350" s="50" t="s">
        <v>857</v>
      </c>
      <c r="E350" s="50">
        <v>28</v>
      </c>
      <c r="F350" s="50">
        <v>104</v>
      </c>
      <c r="G350" s="50">
        <v>9</v>
      </c>
      <c r="H350" s="50" t="s">
        <v>12</v>
      </c>
      <c r="I350" s="66">
        <v>1</v>
      </c>
      <c r="J350" s="50"/>
      <c r="P350" s="41">
        <v>1</v>
      </c>
      <c r="Q350" s="50" t="s">
        <v>81</v>
      </c>
    </row>
    <row r="351" spans="2:17" thickBot="1" x14ac:dyDescent="0.3">
      <c r="B351" s="66">
        <v>350</v>
      </c>
      <c r="C351" s="67" t="s">
        <v>138</v>
      </c>
      <c r="D351" s="50" t="s">
        <v>167</v>
      </c>
      <c r="E351" s="50">
        <v>28</v>
      </c>
      <c r="F351" s="50">
        <v>88</v>
      </c>
      <c r="G351" s="50">
        <v>5</v>
      </c>
      <c r="H351" s="50" t="s">
        <v>12</v>
      </c>
      <c r="I351" s="66">
        <v>1</v>
      </c>
      <c r="J351" s="50"/>
      <c r="P351" s="41">
        <v>1</v>
      </c>
      <c r="Q351" s="50" t="s">
        <v>81</v>
      </c>
    </row>
    <row r="352" spans="2:17" thickBot="1" x14ac:dyDescent="0.3">
      <c r="B352" s="66">
        <v>351</v>
      </c>
      <c r="C352" s="67" t="s">
        <v>832</v>
      </c>
      <c r="D352" s="50" t="s">
        <v>542</v>
      </c>
      <c r="E352" s="50">
        <v>28</v>
      </c>
      <c r="F352" s="50">
        <v>31</v>
      </c>
      <c r="G352" s="50">
        <v>16</v>
      </c>
      <c r="H352" s="50" t="s">
        <v>12</v>
      </c>
      <c r="I352" s="66">
        <v>1</v>
      </c>
      <c r="J352" s="50"/>
      <c r="P352" s="41">
        <v>1</v>
      </c>
      <c r="Q352" s="50" t="s">
        <v>82</v>
      </c>
    </row>
    <row r="353" spans="2:17" thickBot="1" x14ac:dyDescent="0.3">
      <c r="B353" s="66">
        <v>352</v>
      </c>
      <c r="C353" s="67" t="s">
        <v>138</v>
      </c>
      <c r="D353" s="50" t="s">
        <v>88</v>
      </c>
      <c r="E353" s="50">
        <v>28</v>
      </c>
      <c r="F353" s="50">
        <v>33</v>
      </c>
      <c r="G353" s="50">
        <v>16</v>
      </c>
      <c r="H353" s="50" t="s">
        <v>12</v>
      </c>
      <c r="I353" s="66">
        <v>1</v>
      </c>
      <c r="J353" s="50"/>
      <c r="P353" s="41">
        <v>1</v>
      </c>
      <c r="Q353" s="50" t="s">
        <v>82</v>
      </c>
    </row>
    <row r="354" spans="2:17" thickBot="1" x14ac:dyDescent="0.3">
      <c r="B354" s="66">
        <v>353</v>
      </c>
      <c r="C354" s="67" t="s">
        <v>138</v>
      </c>
      <c r="D354" s="50" t="s">
        <v>1893</v>
      </c>
      <c r="E354" s="50">
        <v>28</v>
      </c>
      <c r="F354" s="50">
        <v>76</v>
      </c>
      <c r="G354" s="50">
        <v>13</v>
      </c>
      <c r="H354" s="50" t="s">
        <v>12</v>
      </c>
      <c r="I354" s="66">
        <v>1</v>
      </c>
      <c r="J354" s="50"/>
      <c r="P354" s="41">
        <v>1</v>
      </c>
      <c r="Q354" s="50" t="s">
        <v>82</v>
      </c>
    </row>
    <row r="355" spans="2:17" thickBot="1" x14ac:dyDescent="0.3">
      <c r="B355" s="66">
        <v>354</v>
      </c>
      <c r="C355" s="67" t="s">
        <v>138</v>
      </c>
      <c r="D355" s="50" t="s">
        <v>1508</v>
      </c>
      <c r="E355" s="50">
        <v>28</v>
      </c>
      <c r="F355" s="50">
        <v>34</v>
      </c>
      <c r="G355" s="50">
        <v>21</v>
      </c>
      <c r="H355" s="50" t="s">
        <v>12</v>
      </c>
      <c r="I355" s="66">
        <v>1</v>
      </c>
      <c r="J355" s="50"/>
      <c r="P355" s="41">
        <v>1</v>
      </c>
      <c r="Q355" s="50" t="s">
        <v>82</v>
      </c>
    </row>
    <row r="356" spans="2:17" thickBot="1" x14ac:dyDescent="0.3">
      <c r="B356" s="66">
        <v>355</v>
      </c>
      <c r="C356" s="67" t="s">
        <v>659</v>
      </c>
      <c r="D356" s="50" t="s">
        <v>1894</v>
      </c>
      <c r="E356" s="50">
        <v>28</v>
      </c>
      <c r="F356" s="50">
        <v>29</v>
      </c>
      <c r="G356" s="50">
        <v>5</v>
      </c>
      <c r="H356" s="50" t="s">
        <v>12</v>
      </c>
      <c r="I356" s="66">
        <v>1</v>
      </c>
      <c r="J356" s="50"/>
      <c r="P356" s="41">
        <v>1</v>
      </c>
      <c r="Q356" s="50" t="s">
        <v>82</v>
      </c>
    </row>
    <row r="357" spans="2:17" thickBot="1" x14ac:dyDescent="0.3">
      <c r="B357" s="66">
        <v>356</v>
      </c>
      <c r="C357" s="67" t="s">
        <v>138</v>
      </c>
      <c r="D357" s="50" t="s">
        <v>1895</v>
      </c>
      <c r="E357" s="50">
        <v>28</v>
      </c>
      <c r="F357" s="50">
        <v>50</v>
      </c>
      <c r="G357" s="50">
        <v>19</v>
      </c>
      <c r="H357" s="50" t="s">
        <v>12</v>
      </c>
      <c r="I357" s="66">
        <v>1</v>
      </c>
      <c r="J357" s="50"/>
      <c r="P357" s="41">
        <v>1</v>
      </c>
      <c r="Q357" s="50" t="s">
        <v>82</v>
      </c>
    </row>
    <row r="358" spans="2:17" thickBot="1" x14ac:dyDescent="0.3">
      <c r="B358" s="66">
        <v>357</v>
      </c>
      <c r="C358" s="67" t="s">
        <v>781</v>
      </c>
      <c r="D358" s="50" t="s">
        <v>350</v>
      </c>
      <c r="E358" s="50">
        <v>28</v>
      </c>
      <c r="F358" s="50">
        <v>54</v>
      </c>
      <c r="G358" s="50">
        <v>15</v>
      </c>
      <c r="H358" s="50" t="s">
        <v>12</v>
      </c>
      <c r="I358" s="66">
        <v>1</v>
      </c>
      <c r="J358" s="50"/>
      <c r="P358" s="41">
        <v>1</v>
      </c>
      <c r="Q358" s="50" t="s">
        <v>82</v>
      </c>
    </row>
    <row r="359" spans="2:17" thickBot="1" x14ac:dyDescent="0.3">
      <c r="B359" s="66">
        <v>358</v>
      </c>
      <c r="C359" s="67" t="s">
        <v>979</v>
      </c>
      <c r="D359" s="50" t="s">
        <v>1896</v>
      </c>
      <c r="E359" s="50">
        <v>28</v>
      </c>
      <c r="F359" s="50">
        <v>48</v>
      </c>
      <c r="G359" s="50">
        <v>20</v>
      </c>
      <c r="H359" s="50" t="s">
        <v>12</v>
      </c>
      <c r="I359" s="66">
        <v>1</v>
      </c>
      <c r="J359" s="50"/>
      <c r="P359" s="41">
        <v>1</v>
      </c>
      <c r="Q359" s="50" t="s">
        <v>82</v>
      </c>
    </row>
    <row r="360" spans="2:17" thickBot="1" x14ac:dyDescent="0.3">
      <c r="B360" s="66">
        <v>359</v>
      </c>
      <c r="C360" s="67" t="s">
        <v>138</v>
      </c>
      <c r="D360" s="50" t="s">
        <v>1897</v>
      </c>
      <c r="E360" s="50">
        <v>28</v>
      </c>
      <c r="F360" s="50">
        <v>41</v>
      </c>
      <c r="G360" s="50">
        <v>12</v>
      </c>
      <c r="H360" s="50" t="s">
        <v>12</v>
      </c>
      <c r="I360" s="66">
        <v>1</v>
      </c>
      <c r="J360" s="50"/>
      <c r="P360" s="41">
        <v>1</v>
      </c>
      <c r="Q360" s="50" t="s">
        <v>82</v>
      </c>
    </row>
    <row r="361" spans="2:17" thickBot="1" x14ac:dyDescent="0.3">
      <c r="B361" s="66">
        <v>360</v>
      </c>
      <c r="C361" s="67" t="s">
        <v>138</v>
      </c>
      <c r="D361" s="50" t="s">
        <v>1892</v>
      </c>
      <c r="E361" s="50">
        <v>28</v>
      </c>
      <c r="F361" s="50">
        <v>49</v>
      </c>
      <c r="G361" s="50" t="s">
        <v>89</v>
      </c>
      <c r="H361" s="50" t="s">
        <v>12</v>
      </c>
      <c r="I361" s="66">
        <v>1</v>
      </c>
      <c r="J361" s="50"/>
      <c r="P361" s="41">
        <v>1</v>
      </c>
      <c r="Q361" s="50" t="s">
        <v>82</v>
      </c>
    </row>
    <row r="362" spans="2:17" thickBot="1" x14ac:dyDescent="0.3">
      <c r="B362" s="66">
        <v>361</v>
      </c>
      <c r="C362" s="67" t="s">
        <v>138</v>
      </c>
      <c r="D362" s="50" t="s">
        <v>1891</v>
      </c>
      <c r="E362" s="50">
        <v>28</v>
      </c>
      <c r="F362" s="50">
        <v>64</v>
      </c>
      <c r="G362" s="50">
        <v>25</v>
      </c>
      <c r="H362" s="50" t="s">
        <v>12</v>
      </c>
      <c r="I362" s="66">
        <v>1</v>
      </c>
      <c r="J362" s="50"/>
      <c r="P362" s="41">
        <v>1</v>
      </c>
      <c r="Q362" s="50" t="s">
        <v>82</v>
      </c>
    </row>
    <row r="363" spans="2:17" thickBot="1" x14ac:dyDescent="0.3">
      <c r="B363" s="66">
        <v>362</v>
      </c>
      <c r="C363" s="67" t="s">
        <v>1890</v>
      </c>
      <c r="D363" s="50" t="s">
        <v>1889</v>
      </c>
      <c r="E363" s="50">
        <v>28</v>
      </c>
      <c r="F363" s="50">
        <v>22</v>
      </c>
      <c r="G363" s="50">
        <v>15</v>
      </c>
      <c r="H363" s="50" t="s">
        <v>12</v>
      </c>
      <c r="I363" s="66">
        <v>1</v>
      </c>
      <c r="J363" s="50"/>
      <c r="P363" s="41">
        <v>1</v>
      </c>
      <c r="Q363" s="50" t="s">
        <v>39</v>
      </c>
    </row>
    <row r="364" spans="2:17" thickBot="1" x14ac:dyDescent="0.3">
      <c r="B364" s="66">
        <v>363</v>
      </c>
      <c r="C364" s="67" t="s">
        <v>138</v>
      </c>
      <c r="D364" s="50" t="s">
        <v>714</v>
      </c>
      <c r="E364" s="50">
        <v>28</v>
      </c>
      <c r="F364" s="50">
        <v>101</v>
      </c>
      <c r="G364" s="50">
        <v>11</v>
      </c>
      <c r="H364" s="50" t="s">
        <v>12</v>
      </c>
      <c r="I364" s="66">
        <v>1</v>
      </c>
      <c r="J364" s="50"/>
      <c r="P364" s="41">
        <v>1</v>
      </c>
      <c r="Q364" s="50" t="s">
        <v>44</v>
      </c>
    </row>
    <row r="365" spans="2:17" thickBot="1" x14ac:dyDescent="0.3">
      <c r="B365" s="66">
        <v>364</v>
      </c>
      <c r="C365" s="67" t="s">
        <v>138</v>
      </c>
      <c r="D365" s="50" t="s">
        <v>1888</v>
      </c>
      <c r="E365" s="50">
        <v>28</v>
      </c>
      <c r="F365" s="50">
        <v>24</v>
      </c>
      <c r="G365" s="50">
        <v>15</v>
      </c>
      <c r="H365" s="50" t="s">
        <v>12</v>
      </c>
      <c r="I365" s="66">
        <v>1</v>
      </c>
      <c r="J365" s="50"/>
      <c r="P365" s="41">
        <v>1</v>
      </c>
      <c r="Q365" s="50" t="s">
        <v>44</v>
      </c>
    </row>
    <row r="366" spans="2:17" thickBot="1" x14ac:dyDescent="0.3">
      <c r="B366" s="66">
        <v>365</v>
      </c>
      <c r="C366" s="67" t="s">
        <v>138</v>
      </c>
      <c r="D366" s="50" t="s">
        <v>1887</v>
      </c>
      <c r="E366" s="50">
        <v>28</v>
      </c>
      <c r="F366" s="50">
        <v>96</v>
      </c>
      <c r="G366" s="50">
        <v>501</v>
      </c>
      <c r="H366" s="50" t="s">
        <v>12</v>
      </c>
      <c r="I366" s="66">
        <v>1</v>
      </c>
      <c r="J366" s="50"/>
      <c r="P366" s="41">
        <v>1</v>
      </c>
      <c r="Q366" s="50" t="s">
        <v>44</v>
      </c>
    </row>
    <row r="367" spans="2:17" thickBot="1" x14ac:dyDescent="0.3">
      <c r="B367" s="66">
        <v>366</v>
      </c>
      <c r="C367" s="67" t="s">
        <v>138</v>
      </c>
      <c r="D367" s="50" t="s">
        <v>1886</v>
      </c>
      <c r="E367" s="50">
        <v>28</v>
      </c>
      <c r="F367" s="50">
        <v>72</v>
      </c>
      <c r="G367" s="50">
        <v>4</v>
      </c>
      <c r="H367" s="50" t="s">
        <v>12</v>
      </c>
      <c r="I367" s="66">
        <v>1</v>
      </c>
      <c r="J367" s="50"/>
      <c r="P367" s="41">
        <v>1</v>
      </c>
      <c r="Q367" s="50" t="s">
        <v>44</v>
      </c>
    </row>
    <row r="368" spans="2:17" thickBot="1" x14ac:dyDescent="0.3">
      <c r="B368" s="66">
        <v>367</v>
      </c>
      <c r="C368" s="67" t="s">
        <v>138</v>
      </c>
      <c r="D368" s="50" t="s">
        <v>1885</v>
      </c>
      <c r="E368" s="50">
        <v>28</v>
      </c>
      <c r="F368" s="50">
        <v>83</v>
      </c>
      <c r="G368" s="50">
        <v>1</v>
      </c>
      <c r="H368" s="50" t="s">
        <v>12</v>
      </c>
      <c r="I368" s="66">
        <v>1</v>
      </c>
      <c r="J368" s="50"/>
      <c r="P368" s="41">
        <v>1</v>
      </c>
      <c r="Q368" s="50" t="s">
        <v>44</v>
      </c>
    </row>
    <row r="369" spans="2:17" thickBot="1" x14ac:dyDescent="0.3">
      <c r="B369" s="66">
        <v>368</v>
      </c>
      <c r="C369" s="67" t="s">
        <v>138</v>
      </c>
      <c r="D369" s="50" t="s">
        <v>1884</v>
      </c>
      <c r="E369" s="50">
        <v>28</v>
      </c>
      <c r="F369" s="50">
        <v>9</v>
      </c>
      <c r="G369" s="50">
        <v>1</v>
      </c>
      <c r="H369" s="50" t="s">
        <v>12</v>
      </c>
      <c r="I369" s="66">
        <v>1</v>
      </c>
      <c r="J369" s="50"/>
      <c r="P369" s="41">
        <v>1</v>
      </c>
      <c r="Q369" s="50" t="s">
        <v>44</v>
      </c>
    </row>
    <row r="370" spans="2:17" thickBot="1" x14ac:dyDescent="0.3">
      <c r="B370" s="66">
        <v>369</v>
      </c>
      <c r="C370" s="66" t="s">
        <v>664</v>
      </c>
      <c r="D370" s="50" t="s">
        <v>1630</v>
      </c>
      <c r="E370" s="50">
        <v>28</v>
      </c>
      <c r="F370" s="50">
        <v>10</v>
      </c>
      <c r="G370" s="50">
        <v>501</v>
      </c>
      <c r="H370" s="50" t="s">
        <v>12</v>
      </c>
      <c r="I370" s="66">
        <v>1</v>
      </c>
      <c r="J370" s="50"/>
      <c r="P370" s="41">
        <v>1</v>
      </c>
      <c r="Q370" s="50" t="s">
        <v>44</v>
      </c>
    </row>
    <row r="371" spans="2:17" thickBot="1" x14ac:dyDescent="0.3">
      <c r="B371" s="66">
        <v>370</v>
      </c>
      <c r="C371" s="67" t="s">
        <v>138</v>
      </c>
      <c r="D371" s="50" t="s">
        <v>1883</v>
      </c>
      <c r="E371" s="50">
        <v>28</v>
      </c>
      <c r="F371" s="50">
        <v>56</v>
      </c>
      <c r="G371" s="50">
        <v>17</v>
      </c>
      <c r="H371" s="50" t="s">
        <v>12</v>
      </c>
      <c r="I371" s="66">
        <v>1</v>
      </c>
      <c r="J371" s="50"/>
      <c r="P371" s="41">
        <v>1</v>
      </c>
      <c r="Q371" s="50" t="s">
        <v>48</v>
      </c>
    </row>
    <row r="372" spans="2:17" thickBot="1" x14ac:dyDescent="0.3">
      <c r="B372" s="66">
        <v>371</v>
      </c>
      <c r="C372" s="67" t="s">
        <v>1255</v>
      </c>
      <c r="D372" s="50" t="s">
        <v>1882</v>
      </c>
      <c r="E372" s="50">
        <v>28</v>
      </c>
      <c r="F372" s="50">
        <v>17</v>
      </c>
      <c r="G372" s="50">
        <v>1</v>
      </c>
      <c r="H372" s="50" t="s">
        <v>12</v>
      </c>
      <c r="I372" s="66">
        <v>1</v>
      </c>
      <c r="J372" s="50"/>
      <c r="P372" s="41">
        <v>1</v>
      </c>
      <c r="Q372" s="50" t="s">
        <v>48</v>
      </c>
    </row>
    <row r="373" spans="2:17" thickBot="1" x14ac:dyDescent="0.3">
      <c r="B373" s="66">
        <v>372</v>
      </c>
      <c r="C373" s="66" t="s">
        <v>122</v>
      </c>
      <c r="D373" s="50" t="s">
        <v>1881</v>
      </c>
      <c r="E373" s="50">
        <v>28</v>
      </c>
      <c r="F373" s="50">
        <v>22</v>
      </c>
      <c r="G373" s="50">
        <v>1</v>
      </c>
      <c r="H373" s="50" t="s">
        <v>12</v>
      </c>
      <c r="I373" s="66">
        <v>1</v>
      </c>
      <c r="J373" s="50"/>
      <c r="P373" s="41">
        <v>1</v>
      </c>
      <c r="Q373" s="50" t="s">
        <v>48</v>
      </c>
    </row>
    <row r="374" spans="2:17" thickBot="1" x14ac:dyDescent="0.3">
      <c r="B374" s="66">
        <v>373</v>
      </c>
      <c r="C374" s="66" t="s">
        <v>143</v>
      </c>
      <c r="D374" s="50" t="s">
        <v>742</v>
      </c>
      <c r="E374" s="50">
        <v>28</v>
      </c>
      <c r="F374" s="50">
        <v>54</v>
      </c>
      <c r="G374" s="50">
        <v>1</v>
      </c>
      <c r="H374" s="50" t="s">
        <v>12</v>
      </c>
      <c r="I374" s="66">
        <v>1</v>
      </c>
      <c r="J374" s="50"/>
      <c r="P374" s="41">
        <v>1</v>
      </c>
      <c r="Q374" s="50" t="s">
        <v>48</v>
      </c>
    </row>
    <row r="375" spans="2:17" thickBot="1" x14ac:dyDescent="0.3">
      <c r="B375" s="66">
        <v>374</v>
      </c>
      <c r="C375" s="66" t="s">
        <v>143</v>
      </c>
      <c r="D375" s="50" t="s">
        <v>1880</v>
      </c>
      <c r="E375" s="50">
        <v>28</v>
      </c>
      <c r="F375" s="50">
        <v>36</v>
      </c>
      <c r="G375" s="50">
        <v>21</v>
      </c>
      <c r="H375" s="50" t="s">
        <v>12</v>
      </c>
      <c r="I375" s="66">
        <v>1</v>
      </c>
      <c r="J375" s="50"/>
      <c r="P375" s="41">
        <v>1</v>
      </c>
      <c r="Q375" s="50" t="s">
        <v>48</v>
      </c>
    </row>
    <row r="376" spans="2:17" thickBot="1" x14ac:dyDescent="0.3">
      <c r="B376" s="66">
        <v>375</v>
      </c>
      <c r="C376" s="66" t="s">
        <v>143</v>
      </c>
      <c r="D376" s="50" t="s">
        <v>1879</v>
      </c>
      <c r="E376" s="50">
        <v>28</v>
      </c>
      <c r="F376" s="50">
        <v>103</v>
      </c>
      <c r="G376" s="50">
        <v>5</v>
      </c>
      <c r="H376" s="50" t="s">
        <v>12</v>
      </c>
      <c r="I376" s="66">
        <v>1</v>
      </c>
      <c r="J376" s="50"/>
      <c r="P376" s="41">
        <v>1</v>
      </c>
      <c r="Q376" s="50" t="s">
        <v>51</v>
      </c>
    </row>
    <row r="377" spans="2:17" thickBot="1" x14ac:dyDescent="0.3">
      <c r="B377" s="66">
        <v>376</v>
      </c>
      <c r="C377" s="66" t="s">
        <v>143</v>
      </c>
      <c r="D377" s="50" t="s">
        <v>1878</v>
      </c>
      <c r="E377" s="50">
        <v>28</v>
      </c>
      <c r="F377" s="50">
        <v>518</v>
      </c>
      <c r="G377" s="50">
        <v>19</v>
      </c>
      <c r="H377" s="50" t="s">
        <v>12</v>
      </c>
      <c r="I377" s="66">
        <v>1</v>
      </c>
      <c r="J377" s="50"/>
      <c r="P377" s="41">
        <v>1</v>
      </c>
      <c r="Q377" s="50" t="s">
        <v>51</v>
      </c>
    </row>
    <row r="378" spans="2:17" thickBot="1" x14ac:dyDescent="0.3">
      <c r="B378" s="66">
        <v>377</v>
      </c>
      <c r="C378" s="66" t="s">
        <v>143</v>
      </c>
      <c r="D378" s="50" t="s">
        <v>1877</v>
      </c>
      <c r="E378" s="50">
        <v>28</v>
      </c>
      <c r="F378" s="50">
        <v>100</v>
      </c>
      <c r="G378" s="50">
        <v>6</v>
      </c>
      <c r="H378" s="50" t="s">
        <v>12</v>
      </c>
      <c r="I378" s="66">
        <v>1</v>
      </c>
      <c r="J378" s="50"/>
      <c r="P378" s="41">
        <v>1</v>
      </c>
      <c r="Q378" s="50" t="s">
        <v>51</v>
      </c>
    </row>
    <row r="379" spans="2:17" thickBot="1" x14ac:dyDescent="0.3">
      <c r="B379" s="66">
        <v>378</v>
      </c>
      <c r="C379" s="66" t="s">
        <v>143</v>
      </c>
      <c r="D379" s="50" t="s">
        <v>1876</v>
      </c>
      <c r="E379" s="50">
        <v>28</v>
      </c>
      <c r="F379" s="50">
        <v>118</v>
      </c>
      <c r="G379" s="50">
        <v>14</v>
      </c>
      <c r="H379" s="50" t="s">
        <v>12</v>
      </c>
      <c r="I379" s="66">
        <v>1</v>
      </c>
      <c r="J379" s="50"/>
      <c r="P379" s="41">
        <v>1</v>
      </c>
      <c r="Q379" s="50" t="s">
        <v>51</v>
      </c>
    </row>
    <row r="380" spans="2:17" thickBot="1" x14ac:dyDescent="0.3">
      <c r="B380" s="66">
        <v>379</v>
      </c>
      <c r="C380" s="66" t="s">
        <v>143</v>
      </c>
      <c r="D380" s="50" t="s">
        <v>383</v>
      </c>
      <c r="E380" s="50">
        <v>28</v>
      </c>
      <c r="F380" s="50">
        <v>63</v>
      </c>
      <c r="G380" s="50">
        <v>1</v>
      </c>
      <c r="H380" s="50" t="s">
        <v>12</v>
      </c>
      <c r="I380" s="66">
        <v>1</v>
      </c>
      <c r="J380" s="50"/>
      <c r="P380" s="41">
        <v>1</v>
      </c>
      <c r="Q380" s="50" t="s">
        <v>51</v>
      </c>
    </row>
    <row r="381" spans="2:17" thickBot="1" x14ac:dyDescent="0.3">
      <c r="B381" s="66">
        <v>380</v>
      </c>
      <c r="C381" s="66" t="s">
        <v>143</v>
      </c>
      <c r="D381" s="50" t="s">
        <v>775</v>
      </c>
      <c r="E381" s="50">
        <v>28</v>
      </c>
      <c r="F381" s="50">
        <v>48</v>
      </c>
      <c r="G381" s="50">
        <v>3</v>
      </c>
      <c r="H381" s="50" t="s">
        <v>12</v>
      </c>
      <c r="I381" s="66">
        <v>1</v>
      </c>
      <c r="J381" s="50"/>
      <c r="P381" s="41">
        <v>1</v>
      </c>
      <c r="Q381" s="50" t="s">
        <v>74</v>
      </c>
    </row>
    <row r="382" spans="2:17" thickBot="1" x14ac:dyDescent="0.3">
      <c r="B382" s="66">
        <v>381</v>
      </c>
      <c r="C382" s="66" t="s">
        <v>143</v>
      </c>
      <c r="D382" s="50" t="s">
        <v>1875</v>
      </c>
      <c r="E382" s="50">
        <v>28</v>
      </c>
      <c r="F382" s="50">
        <v>96</v>
      </c>
      <c r="G382" s="50">
        <v>4</v>
      </c>
      <c r="H382" s="50" t="s">
        <v>12</v>
      </c>
      <c r="I382" s="66">
        <v>1</v>
      </c>
      <c r="J382" s="50"/>
      <c r="P382" s="41">
        <v>1</v>
      </c>
      <c r="Q382" s="50" t="s">
        <v>74</v>
      </c>
    </row>
    <row r="383" spans="2:17" thickBot="1" x14ac:dyDescent="0.3">
      <c r="B383" s="66">
        <v>382</v>
      </c>
      <c r="C383" s="67" t="s">
        <v>145</v>
      </c>
      <c r="D383" s="50" t="s">
        <v>537</v>
      </c>
      <c r="E383" s="50">
        <v>28</v>
      </c>
      <c r="F383" s="50">
        <v>104</v>
      </c>
      <c r="G383" s="50">
        <v>8</v>
      </c>
      <c r="H383" s="50" t="s">
        <v>12</v>
      </c>
      <c r="I383" s="66">
        <v>1</v>
      </c>
      <c r="J383" s="50"/>
      <c r="P383" s="41">
        <v>1</v>
      </c>
      <c r="Q383" s="50" t="s">
        <v>74</v>
      </c>
    </row>
    <row r="384" spans="2:17" thickBot="1" x14ac:dyDescent="0.3">
      <c r="B384" s="66">
        <v>383</v>
      </c>
      <c r="C384" s="67" t="s">
        <v>1359</v>
      </c>
      <c r="D384" s="50" t="s">
        <v>1874</v>
      </c>
      <c r="E384" s="50">
        <v>28</v>
      </c>
      <c r="F384" s="50">
        <v>10</v>
      </c>
      <c r="G384" s="50">
        <v>501</v>
      </c>
      <c r="H384" s="50" t="s">
        <v>12</v>
      </c>
      <c r="I384" s="66">
        <v>1</v>
      </c>
      <c r="J384" s="50"/>
      <c r="P384" s="41">
        <v>1</v>
      </c>
      <c r="Q384" s="50" t="s">
        <v>74</v>
      </c>
    </row>
    <row r="385" spans="2:17" thickBot="1" x14ac:dyDescent="0.3">
      <c r="B385" s="66">
        <v>384</v>
      </c>
      <c r="C385" s="67" t="s">
        <v>166</v>
      </c>
      <c r="D385" s="50" t="s">
        <v>1873</v>
      </c>
      <c r="E385" s="50">
        <v>28</v>
      </c>
      <c r="F385" s="50">
        <v>35</v>
      </c>
      <c r="G385" s="50">
        <v>501</v>
      </c>
      <c r="H385" s="50" t="s">
        <v>12</v>
      </c>
      <c r="I385" s="66">
        <v>1</v>
      </c>
      <c r="J385" s="50"/>
      <c r="P385" s="41">
        <v>1</v>
      </c>
      <c r="Q385" s="50" t="s">
        <v>74</v>
      </c>
    </row>
    <row r="386" spans="2:17" thickBot="1" x14ac:dyDescent="0.3">
      <c r="B386" s="66">
        <v>385</v>
      </c>
      <c r="C386" s="67" t="s">
        <v>166</v>
      </c>
      <c r="D386" s="50" t="s">
        <v>1872</v>
      </c>
      <c r="E386" s="50">
        <v>28</v>
      </c>
      <c r="F386" s="50">
        <v>41</v>
      </c>
      <c r="G386" s="50">
        <v>1</v>
      </c>
      <c r="H386" s="50" t="s">
        <v>12</v>
      </c>
      <c r="I386" s="66">
        <v>1</v>
      </c>
      <c r="J386" s="50"/>
      <c r="P386" s="41">
        <v>1</v>
      </c>
      <c r="Q386" s="50" t="s">
        <v>74</v>
      </c>
    </row>
    <row r="387" spans="2:17" thickBot="1" x14ac:dyDescent="0.3">
      <c r="B387" s="66">
        <v>386</v>
      </c>
      <c r="C387" s="67" t="s">
        <v>166</v>
      </c>
      <c r="D387" s="50" t="s">
        <v>1871</v>
      </c>
      <c r="E387" s="50">
        <v>28</v>
      </c>
      <c r="F387" s="50">
        <v>31</v>
      </c>
      <c r="G387" s="50">
        <v>22</v>
      </c>
      <c r="H387" s="50" t="s">
        <v>12</v>
      </c>
      <c r="I387" s="66">
        <v>1</v>
      </c>
      <c r="J387" s="50"/>
      <c r="P387" s="41">
        <v>1</v>
      </c>
      <c r="Q387" s="50" t="s">
        <v>74</v>
      </c>
    </row>
    <row r="388" spans="2:17" thickBot="1" x14ac:dyDescent="0.3">
      <c r="B388" s="66">
        <v>387</v>
      </c>
      <c r="C388" s="67" t="s">
        <v>166</v>
      </c>
      <c r="D388" s="50" t="s">
        <v>1870</v>
      </c>
      <c r="E388" s="50">
        <v>28</v>
      </c>
      <c r="F388" s="50">
        <v>66</v>
      </c>
      <c r="G388" s="50">
        <v>4</v>
      </c>
      <c r="H388" s="50" t="s">
        <v>12</v>
      </c>
      <c r="I388" s="66">
        <v>1</v>
      </c>
      <c r="J388" s="50"/>
      <c r="P388" s="41">
        <v>1</v>
      </c>
      <c r="Q388" s="50" t="s">
        <v>74</v>
      </c>
    </row>
    <row r="389" spans="2:17" thickBot="1" x14ac:dyDescent="0.3">
      <c r="B389" s="66">
        <v>388</v>
      </c>
      <c r="C389" s="67" t="s">
        <v>166</v>
      </c>
      <c r="D389" s="50" t="s">
        <v>1869</v>
      </c>
      <c r="E389" s="50">
        <v>28</v>
      </c>
      <c r="F389" s="50">
        <v>43</v>
      </c>
      <c r="G389" s="50">
        <v>17</v>
      </c>
      <c r="H389" s="50" t="s">
        <v>12</v>
      </c>
      <c r="I389" s="66">
        <v>1</v>
      </c>
      <c r="J389" s="50"/>
      <c r="P389" s="41">
        <v>1</v>
      </c>
      <c r="Q389" s="50" t="s">
        <v>74</v>
      </c>
    </row>
    <row r="390" spans="2:17" thickBot="1" x14ac:dyDescent="0.3">
      <c r="B390" s="66">
        <v>389</v>
      </c>
      <c r="C390" s="66" t="s">
        <v>677</v>
      </c>
      <c r="D390" s="50" t="s">
        <v>692</v>
      </c>
      <c r="E390" s="50">
        <v>28</v>
      </c>
      <c r="F390" s="50">
        <v>24</v>
      </c>
      <c r="G390" s="50">
        <v>2</v>
      </c>
      <c r="H390" s="50" t="s">
        <v>12</v>
      </c>
      <c r="I390" s="66">
        <v>1</v>
      </c>
      <c r="J390" s="50"/>
      <c r="P390" s="41">
        <v>1</v>
      </c>
      <c r="Q390" s="50" t="s">
        <v>74</v>
      </c>
    </row>
    <row r="391" spans="2:17" thickBot="1" x14ac:dyDescent="0.3">
      <c r="B391" s="66">
        <v>390</v>
      </c>
      <c r="C391" s="66" t="s">
        <v>677</v>
      </c>
      <c r="D391" s="50" t="s">
        <v>542</v>
      </c>
      <c r="E391" s="50">
        <v>28</v>
      </c>
      <c r="F391" s="50">
        <v>133</v>
      </c>
      <c r="G391" s="50">
        <v>11</v>
      </c>
      <c r="H391" s="50" t="s">
        <v>12</v>
      </c>
      <c r="I391" s="66">
        <v>1</v>
      </c>
      <c r="J391" s="50"/>
      <c r="P391" s="41">
        <v>1</v>
      </c>
      <c r="Q391" s="50" t="s">
        <v>54</v>
      </c>
    </row>
    <row r="392" spans="2:17" thickBot="1" x14ac:dyDescent="0.3">
      <c r="B392" s="66">
        <v>391</v>
      </c>
      <c r="C392" s="66" t="s">
        <v>677</v>
      </c>
      <c r="D392" s="50" t="s">
        <v>1868</v>
      </c>
      <c r="E392" s="50">
        <v>28</v>
      </c>
      <c r="F392" s="50">
        <v>56</v>
      </c>
      <c r="G392" s="50">
        <v>1</v>
      </c>
      <c r="H392" s="50" t="s">
        <v>12</v>
      </c>
      <c r="I392" s="66">
        <v>1</v>
      </c>
      <c r="J392" s="50"/>
      <c r="P392" s="41">
        <v>1</v>
      </c>
      <c r="Q392" s="50" t="s">
        <v>54</v>
      </c>
    </row>
    <row r="393" spans="2:17" thickBot="1" x14ac:dyDescent="0.3">
      <c r="B393" s="66">
        <v>392</v>
      </c>
      <c r="C393" s="66" t="s">
        <v>677</v>
      </c>
      <c r="D393" s="50" t="s">
        <v>1867</v>
      </c>
      <c r="E393" s="50">
        <v>28</v>
      </c>
      <c r="F393" s="50">
        <v>33</v>
      </c>
      <c r="G393" s="50">
        <v>18</v>
      </c>
      <c r="H393" s="50" t="s">
        <v>12</v>
      </c>
      <c r="I393" s="66">
        <v>1</v>
      </c>
      <c r="J393" s="50"/>
      <c r="P393" s="41">
        <v>1</v>
      </c>
      <c r="Q393" s="50" t="s">
        <v>90</v>
      </c>
    </row>
    <row r="394" spans="2:17" thickBot="1" x14ac:dyDescent="0.3">
      <c r="B394" s="66">
        <v>393</v>
      </c>
      <c r="C394" s="66" t="s">
        <v>677</v>
      </c>
      <c r="D394" s="50" t="s">
        <v>539</v>
      </c>
      <c r="E394" s="50">
        <v>28</v>
      </c>
      <c r="F394" s="50">
        <v>91</v>
      </c>
      <c r="G394" s="50">
        <v>7</v>
      </c>
      <c r="H394" s="50" t="s">
        <v>12</v>
      </c>
      <c r="I394" s="66">
        <v>1</v>
      </c>
      <c r="J394" s="50"/>
      <c r="P394" s="41">
        <v>1</v>
      </c>
      <c r="Q394" s="50" t="s">
        <v>90</v>
      </c>
    </row>
    <row r="395" spans="2:17" thickBot="1" x14ac:dyDescent="0.3">
      <c r="B395" s="66">
        <v>394</v>
      </c>
      <c r="C395" s="67" t="s">
        <v>402</v>
      </c>
      <c r="D395" s="50" t="s">
        <v>1925</v>
      </c>
      <c r="E395" s="50">
        <v>28</v>
      </c>
      <c r="F395" s="50">
        <v>40</v>
      </c>
      <c r="G395" s="50" t="s">
        <v>69</v>
      </c>
      <c r="H395" s="50" t="s">
        <v>12</v>
      </c>
      <c r="I395" s="66">
        <v>1</v>
      </c>
      <c r="J395" s="50"/>
      <c r="P395" s="41">
        <v>1</v>
      </c>
      <c r="Q395" s="50" t="s">
        <v>90</v>
      </c>
    </row>
    <row r="396" spans="2:17" thickBot="1" x14ac:dyDescent="0.3">
      <c r="B396" s="66">
        <v>395</v>
      </c>
      <c r="C396" s="67" t="s">
        <v>402</v>
      </c>
      <c r="D396" s="50" t="s">
        <v>1924</v>
      </c>
      <c r="E396" s="50">
        <v>28</v>
      </c>
      <c r="F396" s="50">
        <v>6</v>
      </c>
      <c r="G396" s="50">
        <v>12</v>
      </c>
      <c r="H396" s="50" t="s">
        <v>12</v>
      </c>
      <c r="I396" s="66">
        <v>1</v>
      </c>
      <c r="J396" s="50"/>
      <c r="P396" s="41">
        <v>1</v>
      </c>
      <c r="Q396" s="50" t="s">
        <v>90</v>
      </c>
    </row>
    <row r="397" spans="2:17" thickBot="1" x14ac:dyDescent="0.3">
      <c r="B397" s="66">
        <v>396</v>
      </c>
      <c r="C397" s="66" t="s">
        <v>682</v>
      </c>
      <c r="D397" s="50" t="s">
        <v>1921</v>
      </c>
      <c r="E397" s="50">
        <v>28</v>
      </c>
      <c r="F397" s="50">
        <v>7</v>
      </c>
      <c r="G397" s="50">
        <v>8</v>
      </c>
      <c r="H397" s="50" t="s">
        <v>12</v>
      </c>
      <c r="I397" s="66">
        <v>1</v>
      </c>
      <c r="J397" s="50"/>
      <c r="P397" s="41">
        <v>1</v>
      </c>
      <c r="Q397" s="50" t="s">
        <v>90</v>
      </c>
    </row>
    <row r="398" spans="2:17" thickBot="1" x14ac:dyDescent="0.3">
      <c r="B398" s="66">
        <v>397</v>
      </c>
      <c r="C398" s="67" t="s">
        <v>682</v>
      </c>
      <c r="D398" s="50" t="s">
        <v>1922</v>
      </c>
      <c r="E398" s="50">
        <v>28</v>
      </c>
      <c r="F398" s="50">
        <v>0</v>
      </c>
      <c r="G398" s="50">
        <v>20</v>
      </c>
      <c r="H398" s="50" t="s">
        <v>12</v>
      </c>
      <c r="I398" s="66">
        <v>1</v>
      </c>
      <c r="J398" s="50"/>
      <c r="P398" s="41">
        <v>1</v>
      </c>
      <c r="Q398" s="50" t="s">
        <v>90</v>
      </c>
    </row>
    <row r="399" spans="2:17" thickBot="1" x14ac:dyDescent="0.3">
      <c r="B399" s="66">
        <v>398</v>
      </c>
      <c r="C399" s="67" t="s">
        <v>682</v>
      </c>
      <c r="D399" s="50" t="s">
        <v>1923</v>
      </c>
      <c r="E399" s="50">
        <v>28</v>
      </c>
      <c r="F399" s="50">
        <v>51</v>
      </c>
      <c r="G399" s="50">
        <v>7</v>
      </c>
      <c r="H399" s="50" t="s">
        <v>12</v>
      </c>
      <c r="I399" s="66">
        <v>1</v>
      </c>
      <c r="J399" s="50"/>
      <c r="P399" s="41">
        <v>1</v>
      </c>
      <c r="Q399" s="50" t="s">
        <v>90</v>
      </c>
    </row>
    <row r="400" spans="2:17" thickBot="1" x14ac:dyDescent="0.3">
      <c r="B400" s="66">
        <v>399</v>
      </c>
      <c r="C400" s="66" t="s">
        <v>682</v>
      </c>
      <c r="D400" s="50" t="s">
        <v>1920</v>
      </c>
      <c r="E400" s="50">
        <v>28</v>
      </c>
      <c r="F400" s="50">
        <v>3</v>
      </c>
      <c r="G400" s="50">
        <v>516</v>
      </c>
      <c r="H400" s="50" t="s">
        <v>12</v>
      </c>
      <c r="I400" s="66">
        <v>1</v>
      </c>
      <c r="J400" s="50"/>
      <c r="P400" s="41">
        <v>1</v>
      </c>
      <c r="Q400" s="50" t="s">
        <v>90</v>
      </c>
    </row>
    <row r="401" spans="2:17" thickBot="1" x14ac:dyDescent="0.3">
      <c r="B401" s="66">
        <v>400</v>
      </c>
      <c r="C401" s="67" t="s">
        <v>170</v>
      </c>
      <c r="D401" s="50" t="s">
        <v>1919</v>
      </c>
      <c r="E401" s="50">
        <v>28</v>
      </c>
      <c r="F401" s="50">
        <v>25</v>
      </c>
      <c r="G401" s="50">
        <v>4</v>
      </c>
      <c r="H401" s="50" t="s">
        <v>12</v>
      </c>
      <c r="I401" s="66">
        <v>1</v>
      </c>
      <c r="J401" s="50"/>
      <c r="P401" s="41">
        <v>1</v>
      </c>
      <c r="Q401" s="50" t="s">
        <v>36</v>
      </c>
    </row>
    <row r="402" spans="2:17" thickBot="1" x14ac:dyDescent="0.3">
      <c r="B402" s="66">
        <v>401</v>
      </c>
      <c r="C402" s="67" t="s">
        <v>170</v>
      </c>
      <c r="D402" s="50" t="s">
        <v>999</v>
      </c>
      <c r="E402" s="50">
        <v>28</v>
      </c>
      <c r="F402" s="50">
        <v>54</v>
      </c>
      <c r="G402" s="50">
        <v>8</v>
      </c>
      <c r="H402" s="50" t="s">
        <v>12</v>
      </c>
      <c r="I402" s="66">
        <v>1</v>
      </c>
      <c r="J402" s="50"/>
      <c r="P402" s="41">
        <v>1</v>
      </c>
      <c r="Q402" s="50" t="s">
        <v>36</v>
      </c>
    </row>
    <row r="403" spans="2:17" thickBot="1" x14ac:dyDescent="0.3">
      <c r="B403" s="66">
        <v>402</v>
      </c>
      <c r="C403" s="66" t="s">
        <v>154</v>
      </c>
      <c r="D403" s="50" t="s">
        <v>1287</v>
      </c>
      <c r="E403" s="50">
        <v>28</v>
      </c>
      <c r="F403" s="50">
        <v>76</v>
      </c>
      <c r="G403" s="50">
        <v>18</v>
      </c>
      <c r="H403" s="50" t="s">
        <v>12</v>
      </c>
      <c r="I403" s="66">
        <v>1</v>
      </c>
      <c r="J403" s="50"/>
      <c r="P403" s="41">
        <v>1</v>
      </c>
      <c r="Q403" s="50" t="s">
        <v>36</v>
      </c>
    </row>
    <row r="404" spans="2:17" thickBot="1" x14ac:dyDescent="0.3">
      <c r="B404" s="66">
        <v>403</v>
      </c>
      <c r="C404" s="67" t="s">
        <v>280</v>
      </c>
      <c r="D404" s="50" t="s">
        <v>1918</v>
      </c>
      <c r="E404" s="50">
        <v>28</v>
      </c>
      <c r="F404" s="50">
        <v>40</v>
      </c>
      <c r="G404" s="50">
        <v>7</v>
      </c>
      <c r="H404" s="50" t="s">
        <v>12</v>
      </c>
      <c r="I404" s="66">
        <v>1</v>
      </c>
      <c r="J404" s="50"/>
      <c r="P404" s="41">
        <v>1</v>
      </c>
      <c r="Q404" s="50" t="s">
        <v>36</v>
      </c>
    </row>
    <row r="405" spans="2:17" thickBot="1" x14ac:dyDescent="0.3">
      <c r="B405" s="66">
        <v>404</v>
      </c>
      <c r="C405" s="67" t="s">
        <v>280</v>
      </c>
      <c r="D405" s="50" t="s">
        <v>1917</v>
      </c>
      <c r="E405" s="50">
        <v>28</v>
      </c>
      <c r="F405" s="50">
        <v>85</v>
      </c>
      <c r="G405" s="50">
        <v>5</v>
      </c>
      <c r="H405" s="50" t="s">
        <v>12</v>
      </c>
      <c r="I405" s="66">
        <v>1</v>
      </c>
      <c r="J405" s="50"/>
      <c r="P405" s="41">
        <v>1</v>
      </c>
      <c r="Q405" s="50" t="s">
        <v>36</v>
      </c>
    </row>
    <row r="406" spans="2:17" thickBot="1" x14ac:dyDescent="0.3">
      <c r="B406" s="66">
        <v>405</v>
      </c>
      <c r="C406" s="66" t="s">
        <v>280</v>
      </c>
      <c r="D406" s="50" t="s">
        <v>1916</v>
      </c>
      <c r="E406" s="50">
        <v>28</v>
      </c>
      <c r="F406" s="50">
        <v>32</v>
      </c>
      <c r="G406" s="50">
        <v>3</v>
      </c>
      <c r="H406" s="50" t="s">
        <v>12</v>
      </c>
      <c r="I406" s="66">
        <v>1</v>
      </c>
      <c r="J406" s="50"/>
      <c r="P406" s="41">
        <v>1</v>
      </c>
      <c r="Q406" s="50" t="s">
        <v>36</v>
      </c>
    </row>
    <row r="407" spans="2:17" thickBot="1" x14ac:dyDescent="0.3">
      <c r="B407" s="66">
        <v>406</v>
      </c>
      <c r="C407" s="67" t="s">
        <v>960</v>
      </c>
      <c r="D407" s="50" t="s">
        <v>1915</v>
      </c>
      <c r="E407" s="50">
        <v>28</v>
      </c>
      <c r="F407" s="50">
        <v>114</v>
      </c>
      <c r="G407" s="50">
        <v>20</v>
      </c>
      <c r="H407" s="50" t="s">
        <v>12</v>
      </c>
      <c r="I407" s="66">
        <v>1</v>
      </c>
      <c r="J407" s="50"/>
      <c r="P407" s="41">
        <v>1</v>
      </c>
      <c r="Q407" s="50" t="s">
        <v>36</v>
      </c>
    </row>
    <row r="408" spans="2:17" thickBot="1" x14ac:dyDescent="0.3">
      <c r="B408" s="66">
        <v>407</v>
      </c>
      <c r="C408" s="67" t="s">
        <v>960</v>
      </c>
      <c r="D408" s="50" t="s">
        <v>1914</v>
      </c>
      <c r="E408" s="50">
        <v>28</v>
      </c>
      <c r="F408" s="50">
        <v>69</v>
      </c>
      <c r="G408" s="50">
        <v>10</v>
      </c>
      <c r="H408" s="50" t="s">
        <v>12</v>
      </c>
      <c r="I408" s="66">
        <v>1</v>
      </c>
      <c r="J408" s="50"/>
      <c r="P408" s="41">
        <v>1</v>
      </c>
      <c r="Q408" s="50" t="s">
        <v>36</v>
      </c>
    </row>
    <row r="409" spans="2:17" thickBot="1" x14ac:dyDescent="0.3">
      <c r="B409" s="66">
        <v>408</v>
      </c>
      <c r="C409" s="66" t="s">
        <v>483</v>
      </c>
      <c r="D409" s="50" t="s">
        <v>1913</v>
      </c>
      <c r="E409" s="50">
        <v>28</v>
      </c>
      <c r="F409" s="50">
        <v>70</v>
      </c>
      <c r="G409" s="50">
        <v>2</v>
      </c>
      <c r="H409" s="50" t="s">
        <v>12</v>
      </c>
      <c r="I409" s="66">
        <v>1</v>
      </c>
      <c r="J409" s="50"/>
      <c r="P409" s="41">
        <v>1</v>
      </c>
      <c r="Q409" s="50" t="s">
        <v>36</v>
      </c>
    </row>
    <row r="410" spans="2:17" thickBot="1" x14ac:dyDescent="0.3">
      <c r="B410" s="66">
        <v>409</v>
      </c>
      <c r="C410" s="67" t="s">
        <v>812</v>
      </c>
      <c r="D410" s="50" t="s">
        <v>1912</v>
      </c>
      <c r="E410" s="50">
        <v>28</v>
      </c>
      <c r="F410" s="50">
        <v>49</v>
      </c>
      <c r="G410" s="50" t="s">
        <v>40</v>
      </c>
      <c r="H410" s="50" t="s">
        <v>12</v>
      </c>
      <c r="I410" s="66">
        <v>1</v>
      </c>
      <c r="J410" s="50"/>
      <c r="P410" s="41">
        <v>1</v>
      </c>
      <c r="Q410" s="50" t="s">
        <v>36</v>
      </c>
    </row>
    <row r="411" spans="2:17" thickBot="1" x14ac:dyDescent="0.3">
      <c r="B411" s="66">
        <v>410</v>
      </c>
      <c r="C411" s="67" t="s">
        <v>270</v>
      </c>
      <c r="D411" s="50" t="s">
        <v>497</v>
      </c>
      <c r="E411" s="50">
        <v>28</v>
      </c>
      <c r="F411" s="50">
        <v>62</v>
      </c>
      <c r="G411" s="50">
        <v>20</v>
      </c>
      <c r="H411" s="50" t="s">
        <v>12</v>
      </c>
      <c r="I411" s="66">
        <v>1</v>
      </c>
      <c r="J411" s="50"/>
      <c r="P411" s="41">
        <v>1</v>
      </c>
      <c r="Q411" s="50" t="s">
        <v>36</v>
      </c>
    </row>
    <row r="412" spans="2:17" thickBot="1" x14ac:dyDescent="0.3">
      <c r="B412" s="66">
        <v>411</v>
      </c>
      <c r="C412" s="67" t="s">
        <v>270</v>
      </c>
      <c r="D412" s="50" t="s">
        <v>1911</v>
      </c>
      <c r="E412" s="50">
        <v>28</v>
      </c>
      <c r="F412" s="50">
        <v>1</v>
      </c>
      <c r="G412" s="50">
        <v>16</v>
      </c>
      <c r="H412" s="50" t="s">
        <v>12</v>
      </c>
      <c r="I412" s="66">
        <v>1</v>
      </c>
      <c r="J412" s="50"/>
      <c r="P412" s="41">
        <v>1</v>
      </c>
      <c r="Q412" s="50" t="s">
        <v>36</v>
      </c>
    </row>
    <row r="413" spans="2:17" thickBot="1" x14ac:dyDescent="0.3">
      <c r="B413" s="66">
        <v>412</v>
      </c>
      <c r="C413" s="67" t="s">
        <v>270</v>
      </c>
      <c r="D413" s="50" t="s">
        <v>1910</v>
      </c>
      <c r="E413" s="50">
        <v>28</v>
      </c>
      <c r="F413" s="50">
        <v>95</v>
      </c>
      <c r="G413" s="50">
        <v>9</v>
      </c>
      <c r="H413" s="50" t="s">
        <v>12</v>
      </c>
      <c r="I413" s="66">
        <v>1</v>
      </c>
      <c r="J413" s="50"/>
      <c r="P413" s="41">
        <v>1</v>
      </c>
      <c r="Q413" s="50" t="s">
        <v>36</v>
      </c>
    </row>
    <row r="414" spans="2:17" thickBot="1" x14ac:dyDescent="0.3">
      <c r="B414" s="66">
        <v>413</v>
      </c>
      <c r="C414" s="67" t="s">
        <v>1909</v>
      </c>
      <c r="D414" s="50" t="s">
        <v>1908</v>
      </c>
      <c r="E414" s="50">
        <v>28</v>
      </c>
      <c r="F414" s="50">
        <v>34</v>
      </c>
      <c r="G414" s="50">
        <v>22</v>
      </c>
      <c r="H414" s="50" t="s">
        <v>12</v>
      </c>
      <c r="I414" s="66">
        <v>1</v>
      </c>
      <c r="J414" s="50"/>
      <c r="P414" s="41">
        <v>1</v>
      </c>
      <c r="Q414" s="50" t="s">
        <v>36</v>
      </c>
    </row>
    <row r="415" spans="2:17" thickBot="1" x14ac:dyDescent="0.3">
      <c r="B415" s="66">
        <v>414</v>
      </c>
      <c r="C415" s="66" t="s">
        <v>1907</v>
      </c>
      <c r="D415" s="50" t="s">
        <v>1906</v>
      </c>
      <c r="E415" s="50">
        <v>28</v>
      </c>
      <c r="F415" s="50">
        <v>109</v>
      </c>
      <c r="G415" s="50">
        <v>3</v>
      </c>
      <c r="H415" s="50" t="s">
        <v>12</v>
      </c>
      <c r="I415" s="66">
        <v>1</v>
      </c>
      <c r="J415" s="50"/>
      <c r="P415" s="41">
        <v>1</v>
      </c>
      <c r="Q415" s="50" t="s">
        <v>36</v>
      </c>
    </row>
    <row r="416" spans="2:17" thickBot="1" x14ac:dyDescent="0.3">
      <c r="B416" s="66">
        <v>415</v>
      </c>
      <c r="C416" s="67" t="s">
        <v>1904</v>
      </c>
      <c r="D416" s="50" t="s">
        <v>1905</v>
      </c>
      <c r="E416" s="50">
        <v>28</v>
      </c>
      <c r="F416" s="50">
        <v>52</v>
      </c>
      <c r="G416" s="50">
        <v>2</v>
      </c>
      <c r="H416" s="50" t="s">
        <v>12</v>
      </c>
      <c r="I416" s="66">
        <v>1</v>
      </c>
      <c r="J416" s="50"/>
      <c r="P416" s="41">
        <v>1</v>
      </c>
      <c r="Q416" s="50" t="s">
        <v>36</v>
      </c>
    </row>
    <row r="417" spans="2:17" thickBot="1" x14ac:dyDescent="0.3">
      <c r="B417" s="66">
        <v>416</v>
      </c>
      <c r="C417" s="67" t="s">
        <v>1904</v>
      </c>
      <c r="D417" s="50" t="s">
        <v>1903</v>
      </c>
      <c r="E417" s="50">
        <v>28</v>
      </c>
      <c r="F417" s="50">
        <v>22</v>
      </c>
      <c r="G417" s="50">
        <v>7</v>
      </c>
      <c r="H417" s="50" t="s">
        <v>12</v>
      </c>
      <c r="I417" s="66">
        <v>1</v>
      </c>
      <c r="J417" s="50"/>
      <c r="P417" s="41">
        <v>1</v>
      </c>
      <c r="Q417" s="50" t="s">
        <v>36</v>
      </c>
    </row>
    <row r="418" spans="2:17" thickBot="1" x14ac:dyDescent="0.3">
      <c r="B418" s="66">
        <v>417</v>
      </c>
      <c r="C418" s="67" t="s">
        <v>697</v>
      </c>
      <c r="D418" s="50" t="s">
        <v>91</v>
      </c>
      <c r="E418" s="50">
        <v>28</v>
      </c>
      <c r="F418" s="50">
        <v>39</v>
      </c>
      <c r="G418" s="50" t="s">
        <v>40</v>
      </c>
      <c r="H418" s="50" t="s">
        <v>12</v>
      </c>
      <c r="I418" s="66">
        <v>1</v>
      </c>
      <c r="J418" s="50"/>
      <c r="P418" s="41">
        <v>1</v>
      </c>
      <c r="Q418" s="50" t="s">
        <v>36</v>
      </c>
    </row>
    <row r="419" spans="2:17" thickBot="1" x14ac:dyDescent="0.3">
      <c r="B419" s="66">
        <v>418</v>
      </c>
      <c r="C419" s="67" t="s">
        <v>697</v>
      </c>
      <c r="D419" s="50" t="s">
        <v>1902</v>
      </c>
      <c r="E419" s="50">
        <v>28</v>
      </c>
      <c r="F419" s="50">
        <v>107</v>
      </c>
      <c r="G419" s="50">
        <v>5</v>
      </c>
      <c r="H419" s="50" t="s">
        <v>12</v>
      </c>
      <c r="I419" s="66">
        <v>1</v>
      </c>
      <c r="J419" s="50"/>
      <c r="P419" s="41">
        <v>1</v>
      </c>
      <c r="Q419" s="50" t="s">
        <v>36</v>
      </c>
    </row>
    <row r="420" spans="2:17" thickBot="1" x14ac:dyDescent="0.3">
      <c r="B420" s="66">
        <v>419</v>
      </c>
      <c r="C420" s="67" t="s">
        <v>132</v>
      </c>
      <c r="D420" s="50" t="s">
        <v>1051</v>
      </c>
      <c r="E420" s="50">
        <v>28</v>
      </c>
      <c r="F420" s="50">
        <v>33</v>
      </c>
      <c r="G420" s="50">
        <v>16</v>
      </c>
      <c r="H420" s="50" t="s">
        <v>12</v>
      </c>
      <c r="I420" s="66">
        <v>1</v>
      </c>
      <c r="J420" s="50"/>
      <c r="P420" s="41">
        <v>1</v>
      </c>
      <c r="Q420" s="50" t="s">
        <v>1049</v>
      </c>
    </row>
    <row r="421" spans="2:17" ht="19.5" x14ac:dyDescent="0.25">
      <c r="B421" s="66">
        <v>420</v>
      </c>
      <c r="C421" s="71" t="s">
        <v>1263</v>
      </c>
      <c r="D421" s="61" t="s">
        <v>1262</v>
      </c>
      <c r="E421" s="61">
        <v>28</v>
      </c>
      <c r="F421" s="61">
        <v>36</v>
      </c>
      <c r="G421" s="61">
        <v>4</v>
      </c>
      <c r="H421" s="61" t="s">
        <v>12</v>
      </c>
      <c r="I421" s="66">
        <v>1</v>
      </c>
      <c r="J421" s="61"/>
      <c r="K421" s="56"/>
      <c r="L421" s="56"/>
      <c r="M421" s="56"/>
      <c r="N421" s="57">
        <v>1</v>
      </c>
      <c r="O421" s="57"/>
      <c r="P421" s="57"/>
      <c r="Q421" s="87"/>
    </row>
    <row r="422" spans="2:17" ht="19.5" x14ac:dyDescent="0.25">
      <c r="B422" s="66">
        <v>421</v>
      </c>
      <c r="C422" s="71" t="s">
        <v>601</v>
      </c>
      <c r="D422" s="61" t="s">
        <v>2420</v>
      </c>
      <c r="E422" s="61">
        <v>28</v>
      </c>
      <c r="F422" s="61">
        <v>58</v>
      </c>
      <c r="G422" s="61">
        <v>14</v>
      </c>
      <c r="H422" s="61" t="s">
        <v>26</v>
      </c>
      <c r="I422" s="61"/>
      <c r="J422" s="61">
        <v>1</v>
      </c>
      <c r="K422" s="64"/>
      <c r="L422" s="64"/>
      <c r="M422" s="64">
        <v>1</v>
      </c>
      <c r="N422" s="65"/>
      <c r="O422" s="65"/>
      <c r="P422" s="65"/>
      <c r="Q422" s="87"/>
    </row>
    <row r="423" spans="2:17" ht="19.5" x14ac:dyDescent="0.25">
      <c r="B423" s="66">
        <v>422</v>
      </c>
      <c r="C423" s="71" t="s">
        <v>812</v>
      </c>
      <c r="D423" s="61" t="s">
        <v>2421</v>
      </c>
      <c r="E423" s="61">
        <v>28</v>
      </c>
      <c r="F423" s="61">
        <v>43</v>
      </c>
      <c r="G423" s="61">
        <v>15</v>
      </c>
      <c r="H423" s="61" t="s">
        <v>26</v>
      </c>
      <c r="I423" s="61"/>
      <c r="J423" s="61">
        <v>1</v>
      </c>
      <c r="K423" s="64"/>
      <c r="L423" s="64"/>
      <c r="M423" s="64">
        <v>1</v>
      </c>
      <c r="N423" s="65"/>
      <c r="O423" s="65"/>
      <c r="P423" s="65"/>
      <c r="Q423" s="87"/>
    </row>
    <row r="424" spans="2:17" ht="19.5" x14ac:dyDescent="0.25">
      <c r="B424" s="66">
        <v>423</v>
      </c>
      <c r="C424" s="71" t="s">
        <v>136</v>
      </c>
      <c r="D424" s="61" t="s">
        <v>2303</v>
      </c>
      <c r="E424" s="61">
        <v>28</v>
      </c>
      <c r="F424" s="61">
        <v>48</v>
      </c>
      <c r="G424" s="61">
        <v>16</v>
      </c>
      <c r="H424" s="61" t="s">
        <v>26</v>
      </c>
      <c r="I424" s="61"/>
      <c r="J424" s="61">
        <v>1</v>
      </c>
      <c r="K424" s="64"/>
      <c r="L424" s="64"/>
      <c r="M424" s="64">
        <v>1</v>
      </c>
      <c r="N424" s="65"/>
      <c r="O424" s="65"/>
      <c r="P424" s="65"/>
      <c r="Q424" s="87"/>
    </row>
    <row r="425" spans="2:17" ht="19.5" x14ac:dyDescent="0.25">
      <c r="B425" s="66">
        <v>424</v>
      </c>
      <c r="C425" s="71" t="s">
        <v>712</v>
      </c>
      <c r="D425" s="61" t="s">
        <v>2422</v>
      </c>
      <c r="E425" s="61">
        <v>28</v>
      </c>
      <c r="F425" s="61">
        <v>37</v>
      </c>
      <c r="G425" s="61">
        <v>13</v>
      </c>
      <c r="H425" s="61" t="s">
        <v>26</v>
      </c>
      <c r="I425" s="61"/>
      <c r="J425" s="61">
        <v>1</v>
      </c>
      <c r="K425" s="64"/>
      <c r="L425" s="64"/>
      <c r="M425" s="64">
        <v>1</v>
      </c>
      <c r="N425" s="65"/>
      <c r="O425" s="65"/>
      <c r="P425" s="65"/>
      <c r="Q425" s="87"/>
    </row>
    <row r="426" spans="2:17" ht="19.5" x14ac:dyDescent="0.25">
      <c r="B426" s="66">
        <v>425</v>
      </c>
      <c r="C426" s="71" t="s">
        <v>125</v>
      </c>
      <c r="D426" s="61" t="s">
        <v>2423</v>
      </c>
      <c r="E426" s="61">
        <v>28</v>
      </c>
      <c r="F426" s="61">
        <v>51</v>
      </c>
      <c r="G426" s="61">
        <v>13</v>
      </c>
      <c r="H426" s="61" t="s">
        <v>26</v>
      </c>
      <c r="I426" s="61"/>
      <c r="J426" s="61">
        <v>1</v>
      </c>
      <c r="K426" s="64"/>
      <c r="L426" s="64"/>
      <c r="M426" s="64">
        <v>1</v>
      </c>
      <c r="N426" s="65"/>
      <c r="O426" s="65"/>
      <c r="P426" s="65"/>
      <c r="Q426" s="87"/>
    </row>
    <row r="427" spans="2:17" ht="19.5" x14ac:dyDescent="0.25">
      <c r="B427" s="66">
        <v>426</v>
      </c>
      <c r="C427" s="71" t="s">
        <v>136</v>
      </c>
      <c r="D427" s="61" t="s">
        <v>131</v>
      </c>
      <c r="E427" s="61">
        <v>28</v>
      </c>
      <c r="F427" s="61">
        <v>47</v>
      </c>
      <c r="G427" s="61">
        <v>14</v>
      </c>
      <c r="H427" s="61" t="s">
        <v>26</v>
      </c>
      <c r="I427" s="61"/>
      <c r="J427" s="61">
        <v>1</v>
      </c>
      <c r="K427" s="64"/>
      <c r="L427" s="64"/>
      <c r="M427" s="64">
        <v>1</v>
      </c>
      <c r="N427" s="65"/>
      <c r="O427" s="65"/>
      <c r="P427" s="65"/>
      <c r="Q427" s="87"/>
    </row>
    <row r="428" spans="2:17" ht="19.5" x14ac:dyDescent="0.25">
      <c r="B428" s="66">
        <v>427</v>
      </c>
      <c r="C428" s="71" t="s">
        <v>136</v>
      </c>
      <c r="D428" s="61" t="s">
        <v>2424</v>
      </c>
      <c r="E428" s="61">
        <v>28</v>
      </c>
      <c r="F428" s="61">
        <v>56</v>
      </c>
      <c r="G428" s="61">
        <v>15</v>
      </c>
      <c r="H428" s="61" t="s">
        <v>26</v>
      </c>
      <c r="I428" s="61"/>
      <c r="J428" s="61">
        <v>1</v>
      </c>
      <c r="K428" s="64"/>
      <c r="L428" s="64"/>
      <c r="M428" s="64">
        <v>1</v>
      </c>
      <c r="N428" s="65"/>
      <c r="O428" s="65"/>
      <c r="P428" s="65"/>
      <c r="Q428" s="87"/>
    </row>
    <row r="429" spans="2:17" ht="19.5" x14ac:dyDescent="0.25">
      <c r="B429" s="66">
        <v>428</v>
      </c>
      <c r="C429" s="71" t="s">
        <v>640</v>
      </c>
      <c r="D429" s="61" t="s">
        <v>2425</v>
      </c>
      <c r="E429" s="61">
        <v>28</v>
      </c>
      <c r="F429" s="61">
        <v>56</v>
      </c>
      <c r="G429" s="61">
        <v>14</v>
      </c>
      <c r="H429" s="61" t="s">
        <v>26</v>
      </c>
      <c r="I429" s="61"/>
      <c r="J429" s="61">
        <v>1</v>
      </c>
      <c r="K429" s="64"/>
      <c r="L429" s="64"/>
      <c r="M429" s="64">
        <v>1</v>
      </c>
      <c r="N429" s="65"/>
      <c r="O429" s="65"/>
      <c r="P429" s="65"/>
      <c r="Q429" s="87"/>
    </row>
    <row r="430" spans="2:17" ht="19.5" x14ac:dyDescent="0.25">
      <c r="B430" s="66">
        <v>429</v>
      </c>
      <c r="C430" s="71" t="s">
        <v>137</v>
      </c>
      <c r="D430" s="61" t="s">
        <v>2139</v>
      </c>
      <c r="E430" s="61">
        <v>28</v>
      </c>
      <c r="F430" s="61">
        <v>49</v>
      </c>
      <c r="G430" s="61">
        <v>7</v>
      </c>
      <c r="H430" s="61" t="s">
        <v>26</v>
      </c>
      <c r="I430" s="61"/>
      <c r="J430" s="61">
        <v>1</v>
      </c>
      <c r="K430" s="64"/>
      <c r="L430" s="64"/>
      <c r="M430" s="64">
        <v>1</v>
      </c>
      <c r="N430" s="65"/>
      <c r="O430" s="65"/>
      <c r="P430" s="65"/>
      <c r="Q430" s="87"/>
    </row>
    <row r="431" spans="2:17" ht="19.5" x14ac:dyDescent="0.25">
      <c r="B431" s="66">
        <v>430</v>
      </c>
      <c r="C431" s="71" t="s">
        <v>362</v>
      </c>
      <c r="D431" s="61" t="s">
        <v>2426</v>
      </c>
      <c r="E431" s="61">
        <v>28</v>
      </c>
      <c r="F431" s="61">
        <v>32</v>
      </c>
      <c r="G431" s="61">
        <v>21</v>
      </c>
      <c r="H431" s="61" t="s">
        <v>26</v>
      </c>
      <c r="I431" s="61"/>
      <c r="J431" s="61">
        <v>1</v>
      </c>
      <c r="K431" s="64"/>
      <c r="L431" s="64"/>
      <c r="M431" s="64">
        <v>1</v>
      </c>
      <c r="N431" s="65"/>
      <c r="O431" s="65"/>
      <c r="P431" s="65"/>
      <c r="Q431" s="87"/>
    </row>
    <row r="432" spans="2:17" ht="19.5" x14ac:dyDescent="0.25">
      <c r="B432" s="66">
        <v>431</v>
      </c>
      <c r="C432" s="71" t="s">
        <v>726</v>
      </c>
      <c r="D432" s="61" t="s">
        <v>2427</v>
      </c>
      <c r="E432" s="61">
        <v>28</v>
      </c>
      <c r="F432" s="61">
        <v>29</v>
      </c>
      <c r="G432" s="61">
        <v>18</v>
      </c>
      <c r="H432" s="61" t="s">
        <v>26</v>
      </c>
      <c r="I432" s="61"/>
      <c r="J432" s="61">
        <v>1</v>
      </c>
      <c r="K432" s="64"/>
      <c r="L432" s="64"/>
      <c r="M432" s="64">
        <v>1</v>
      </c>
      <c r="N432" s="65"/>
      <c r="O432" s="65"/>
      <c r="P432" s="65"/>
      <c r="Q432" s="87"/>
    </row>
    <row r="433" spans="2:17" ht="19.5" x14ac:dyDescent="0.25">
      <c r="B433" s="66">
        <v>432</v>
      </c>
      <c r="C433" s="71" t="s">
        <v>781</v>
      </c>
      <c r="D433" s="61" t="s">
        <v>2428</v>
      </c>
      <c r="E433" s="61">
        <v>28</v>
      </c>
      <c r="F433" s="61">
        <v>59</v>
      </c>
      <c r="G433" s="61">
        <v>14</v>
      </c>
      <c r="H433" s="61" t="s">
        <v>26</v>
      </c>
      <c r="I433" s="61"/>
      <c r="J433" s="61">
        <v>1</v>
      </c>
      <c r="K433" s="64"/>
      <c r="L433" s="64"/>
      <c r="M433" s="64">
        <v>1</v>
      </c>
      <c r="N433" s="65"/>
      <c r="O433" s="65"/>
      <c r="P433" s="65"/>
      <c r="Q433" s="87"/>
    </row>
    <row r="434" spans="2:17" ht="19.5" x14ac:dyDescent="0.25">
      <c r="B434" s="66">
        <v>433</v>
      </c>
      <c r="C434" s="71" t="s">
        <v>166</v>
      </c>
      <c r="D434" s="61" t="s">
        <v>2429</v>
      </c>
      <c r="E434" s="61">
        <v>28</v>
      </c>
      <c r="F434" s="61">
        <v>48</v>
      </c>
      <c r="G434" s="61">
        <v>22</v>
      </c>
      <c r="H434" s="61" t="s">
        <v>26</v>
      </c>
      <c r="I434" s="61"/>
      <c r="J434" s="61">
        <v>1</v>
      </c>
      <c r="K434" s="64"/>
      <c r="L434" s="64"/>
      <c r="M434" s="64">
        <v>1</v>
      </c>
      <c r="N434" s="65"/>
      <c r="O434" s="65"/>
      <c r="P434" s="65"/>
      <c r="Q434" s="87"/>
    </row>
    <row r="435" spans="2:17" ht="19.5" x14ac:dyDescent="0.25">
      <c r="B435" s="66">
        <v>434</v>
      </c>
      <c r="C435" s="71" t="s">
        <v>918</v>
      </c>
      <c r="D435" s="61" t="s">
        <v>2430</v>
      </c>
      <c r="E435" s="61">
        <v>28</v>
      </c>
      <c r="F435" s="61">
        <v>5</v>
      </c>
      <c r="G435" s="61">
        <v>18</v>
      </c>
      <c r="H435" s="61" t="s">
        <v>26</v>
      </c>
      <c r="I435" s="61"/>
      <c r="J435" s="61">
        <v>1</v>
      </c>
      <c r="K435" s="64"/>
      <c r="L435" s="64"/>
      <c r="M435" s="64">
        <v>1</v>
      </c>
      <c r="N435" s="65"/>
      <c r="O435" s="65"/>
      <c r="P435" s="65"/>
      <c r="Q435" s="87"/>
    </row>
    <row r="436" spans="2:17" ht="19.5" x14ac:dyDescent="0.25">
      <c r="B436" s="66">
        <v>435</v>
      </c>
      <c r="C436" s="71" t="s">
        <v>131</v>
      </c>
      <c r="D436" s="61" t="s">
        <v>2431</v>
      </c>
      <c r="E436" s="61">
        <v>28</v>
      </c>
      <c r="F436" s="61">
        <v>46</v>
      </c>
      <c r="G436" s="61">
        <v>20</v>
      </c>
      <c r="H436" s="61" t="s">
        <v>26</v>
      </c>
      <c r="I436" s="61"/>
      <c r="J436" s="61">
        <v>1</v>
      </c>
      <c r="K436" s="64"/>
      <c r="L436" s="64"/>
      <c r="M436" s="64">
        <v>1</v>
      </c>
      <c r="N436" s="65"/>
      <c r="O436" s="65"/>
      <c r="P436" s="65"/>
      <c r="Q436" s="87"/>
    </row>
    <row r="437" spans="2:17" ht="19.5" x14ac:dyDescent="0.25">
      <c r="B437" s="66">
        <v>436</v>
      </c>
      <c r="C437" s="71" t="s">
        <v>131</v>
      </c>
      <c r="D437" s="61" t="s">
        <v>2432</v>
      </c>
      <c r="E437" s="61">
        <v>28</v>
      </c>
      <c r="F437" s="61">
        <v>42</v>
      </c>
      <c r="G437" s="61">
        <v>22</v>
      </c>
      <c r="H437" s="61" t="s">
        <v>26</v>
      </c>
      <c r="I437" s="61"/>
      <c r="J437" s="61">
        <v>1</v>
      </c>
      <c r="K437" s="64"/>
      <c r="L437" s="64"/>
      <c r="M437" s="64">
        <v>1</v>
      </c>
      <c r="N437" s="65"/>
      <c r="O437" s="65"/>
      <c r="P437" s="65"/>
      <c r="Q437" s="87"/>
    </row>
    <row r="438" spans="2:17" ht="19.5" x14ac:dyDescent="0.25">
      <c r="B438" s="66">
        <v>437</v>
      </c>
      <c r="C438" s="71" t="s">
        <v>125</v>
      </c>
      <c r="D438" s="61" t="s">
        <v>2433</v>
      </c>
      <c r="E438" s="61">
        <v>28</v>
      </c>
      <c r="F438" s="61">
        <v>53</v>
      </c>
      <c r="G438" s="61">
        <v>20</v>
      </c>
      <c r="H438" s="61" t="s">
        <v>26</v>
      </c>
      <c r="I438" s="61"/>
      <c r="J438" s="61">
        <v>1</v>
      </c>
      <c r="K438" s="64"/>
      <c r="L438" s="64"/>
      <c r="M438" s="64">
        <v>1</v>
      </c>
      <c r="N438" s="65"/>
      <c r="O438" s="65"/>
      <c r="P438" s="65"/>
      <c r="Q438" s="87"/>
    </row>
    <row r="439" spans="2:17" ht="19.5" x14ac:dyDescent="0.25">
      <c r="B439" s="66">
        <v>438</v>
      </c>
      <c r="C439" s="71" t="s">
        <v>1853</v>
      </c>
      <c r="D439" s="61" t="s">
        <v>2439</v>
      </c>
      <c r="E439" s="61">
        <v>28</v>
      </c>
      <c r="F439" s="61">
        <v>23</v>
      </c>
      <c r="G439" s="61">
        <v>13</v>
      </c>
      <c r="H439" s="61" t="s">
        <v>26</v>
      </c>
      <c r="I439" s="61"/>
      <c r="J439" s="61">
        <v>1</v>
      </c>
      <c r="K439" s="64"/>
      <c r="L439" s="64"/>
      <c r="M439" s="64">
        <v>1</v>
      </c>
      <c r="N439" s="65"/>
      <c r="O439" s="65"/>
      <c r="P439" s="65"/>
      <c r="Q439" s="87"/>
    </row>
    <row r="440" spans="2:17" ht="19.5" x14ac:dyDescent="0.25">
      <c r="B440" s="66">
        <v>439</v>
      </c>
      <c r="C440" s="71" t="s">
        <v>1586</v>
      </c>
      <c r="D440" s="61" t="s">
        <v>2440</v>
      </c>
      <c r="E440" s="61">
        <v>28</v>
      </c>
      <c r="F440" s="61">
        <v>3</v>
      </c>
      <c r="G440" s="61">
        <v>12</v>
      </c>
      <c r="H440" s="61" t="s">
        <v>26</v>
      </c>
      <c r="I440" s="61"/>
      <c r="J440" s="61">
        <v>1</v>
      </c>
      <c r="K440" s="64"/>
      <c r="L440" s="64"/>
      <c r="M440" s="64">
        <v>1</v>
      </c>
      <c r="N440" s="65"/>
      <c r="O440" s="65"/>
      <c r="P440" s="65"/>
      <c r="Q440" s="87"/>
    </row>
    <row r="441" spans="2:17" ht="19.5" x14ac:dyDescent="0.25">
      <c r="B441" s="66">
        <v>440</v>
      </c>
      <c r="C441" s="71" t="s">
        <v>280</v>
      </c>
      <c r="D441" s="61" t="s">
        <v>2441</v>
      </c>
      <c r="E441" s="61">
        <v>28</v>
      </c>
      <c r="F441" s="61">
        <v>2</v>
      </c>
      <c r="G441" s="61">
        <v>12</v>
      </c>
      <c r="H441" s="61" t="s">
        <v>26</v>
      </c>
      <c r="I441" s="61"/>
      <c r="J441" s="61">
        <v>1</v>
      </c>
      <c r="K441" s="64"/>
      <c r="L441" s="64"/>
      <c r="M441" s="64">
        <v>1</v>
      </c>
      <c r="N441" s="65"/>
      <c r="O441" s="65"/>
      <c r="P441" s="65"/>
      <c r="Q441" s="87"/>
    </row>
    <row r="442" spans="2:17" ht="19.5" x14ac:dyDescent="0.25">
      <c r="B442" s="66">
        <v>441</v>
      </c>
      <c r="C442" s="71" t="s">
        <v>166</v>
      </c>
      <c r="D442" s="61" t="s">
        <v>2453</v>
      </c>
      <c r="E442" s="61">
        <v>28</v>
      </c>
      <c r="F442" s="61">
        <v>28</v>
      </c>
      <c r="G442" s="61">
        <v>13</v>
      </c>
      <c r="H442" s="61" t="s">
        <v>26</v>
      </c>
      <c r="I442" s="61"/>
      <c r="J442" s="61">
        <v>1</v>
      </c>
      <c r="K442" s="64"/>
      <c r="L442" s="64"/>
      <c r="M442" s="64">
        <v>1</v>
      </c>
      <c r="N442" s="65"/>
      <c r="O442" s="65"/>
      <c r="P442" s="65"/>
      <c r="Q442" s="87"/>
    </row>
    <row r="443" spans="2:17" ht="19.5" x14ac:dyDescent="0.25">
      <c r="B443" s="66">
        <v>442</v>
      </c>
      <c r="C443" s="71" t="s">
        <v>270</v>
      </c>
      <c r="D443" s="61" t="s">
        <v>2442</v>
      </c>
      <c r="E443" s="61">
        <v>28</v>
      </c>
      <c r="F443" s="61">
        <v>28</v>
      </c>
      <c r="G443" s="61">
        <v>3</v>
      </c>
      <c r="H443" s="61" t="s">
        <v>26</v>
      </c>
      <c r="I443" s="61"/>
      <c r="J443" s="61">
        <v>1</v>
      </c>
      <c r="K443" s="64"/>
      <c r="L443" s="64"/>
      <c r="M443" s="64">
        <v>1</v>
      </c>
      <c r="N443" s="65"/>
      <c r="O443" s="65"/>
      <c r="P443" s="65"/>
      <c r="Q443" s="87"/>
    </row>
    <row r="444" spans="2:17" ht="19.5" x14ac:dyDescent="0.25">
      <c r="B444" s="66">
        <v>443</v>
      </c>
      <c r="C444" s="71" t="s">
        <v>123</v>
      </c>
      <c r="D444" s="61" t="s">
        <v>2443</v>
      </c>
      <c r="E444" s="61">
        <v>28</v>
      </c>
      <c r="F444" s="61">
        <v>35</v>
      </c>
      <c r="G444" s="61">
        <v>16</v>
      </c>
      <c r="H444" s="61" t="s">
        <v>26</v>
      </c>
      <c r="I444" s="61"/>
      <c r="J444" s="61">
        <v>1</v>
      </c>
      <c r="K444" s="64"/>
      <c r="L444" s="64"/>
      <c r="M444" s="64">
        <v>1</v>
      </c>
      <c r="N444" s="65"/>
      <c r="O444" s="65"/>
      <c r="P444" s="65"/>
      <c r="Q444" s="87"/>
    </row>
    <row r="445" spans="2:17" ht="19.5" x14ac:dyDescent="0.25">
      <c r="B445" s="66">
        <v>444</v>
      </c>
      <c r="C445" s="71" t="s">
        <v>2434</v>
      </c>
      <c r="D445" s="61" t="s">
        <v>2435</v>
      </c>
      <c r="E445" s="61">
        <v>28</v>
      </c>
      <c r="F445" s="61">
        <v>110</v>
      </c>
      <c r="G445" s="61">
        <v>12</v>
      </c>
      <c r="H445" s="61" t="s">
        <v>26</v>
      </c>
      <c r="I445" s="61"/>
      <c r="J445" s="61">
        <v>1</v>
      </c>
      <c r="K445" s="64"/>
      <c r="L445" s="64"/>
      <c r="M445" s="64">
        <v>1</v>
      </c>
      <c r="N445" s="65"/>
      <c r="O445" s="65"/>
      <c r="P445" s="65"/>
      <c r="Q445" s="87"/>
    </row>
    <row r="446" spans="2:17" ht="19.5" x14ac:dyDescent="0.25">
      <c r="B446" s="66">
        <v>445</v>
      </c>
      <c r="C446" s="71" t="s">
        <v>135</v>
      </c>
      <c r="D446" s="61" t="s">
        <v>2444</v>
      </c>
      <c r="E446" s="61">
        <v>28</v>
      </c>
      <c r="F446" s="61">
        <v>18</v>
      </c>
      <c r="G446" s="61">
        <v>10</v>
      </c>
      <c r="H446" s="61" t="s">
        <v>26</v>
      </c>
      <c r="I446" s="61"/>
      <c r="J446" s="61">
        <v>1</v>
      </c>
      <c r="K446" s="64"/>
      <c r="L446" s="64"/>
      <c r="M446" s="64">
        <v>1</v>
      </c>
      <c r="N446" s="65"/>
      <c r="O446" s="65"/>
      <c r="P446" s="65"/>
      <c r="Q446" s="87"/>
    </row>
    <row r="447" spans="2:17" ht="23.25" customHeight="1" x14ac:dyDescent="0.25">
      <c r="B447" s="66">
        <v>446</v>
      </c>
      <c r="C447" s="71" t="s">
        <v>136</v>
      </c>
      <c r="D447" s="61" t="s">
        <v>2445</v>
      </c>
      <c r="E447" s="61">
        <v>28</v>
      </c>
      <c r="F447" s="61">
        <v>21</v>
      </c>
      <c r="G447" s="61" t="s">
        <v>2454</v>
      </c>
      <c r="H447" s="61" t="s">
        <v>26</v>
      </c>
      <c r="I447" s="61"/>
      <c r="J447" s="61">
        <v>1</v>
      </c>
      <c r="K447" s="64"/>
      <c r="L447" s="64"/>
      <c r="M447" s="64">
        <v>1</v>
      </c>
      <c r="N447" s="65"/>
      <c r="O447" s="65"/>
      <c r="P447" s="65"/>
      <c r="Q447" s="87"/>
    </row>
    <row r="448" spans="2:17" ht="19.5" x14ac:dyDescent="0.25">
      <c r="B448" s="66">
        <v>447</v>
      </c>
      <c r="C448" s="71" t="s">
        <v>125</v>
      </c>
      <c r="D448" s="61" t="s">
        <v>2446</v>
      </c>
      <c r="E448" s="61">
        <v>28</v>
      </c>
      <c r="F448" s="61">
        <v>18</v>
      </c>
      <c r="G448" s="61">
        <v>21</v>
      </c>
      <c r="H448" s="61" t="s">
        <v>26</v>
      </c>
      <c r="I448" s="61"/>
      <c r="J448" s="61">
        <v>1</v>
      </c>
      <c r="K448" s="64"/>
      <c r="L448" s="64"/>
      <c r="M448" s="64">
        <v>1</v>
      </c>
      <c r="N448" s="65"/>
      <c r="O448" s="65"/>
      <c r="P448" s="65"/>
      <c r="Q448" s="87"/>
    </row>
    <row r="449" spans="2:17" ht="19.5" x14ac:dyDescent="0.25">
      <c r="B449" s="66">
        <v>448</v>
      </c>
      <c r="C449" s="71" t="s">
        <v>166</v>
      </c>
      <c r="D449" s="61" t="s">
        <v>2447</v>
      </c>
      <c r="E449" s="61">
        <v>28</v>
      </c>
      <c r="F449" s="61">
        <v>18</v>
      </c>
      <c r="G449" s="61">
        <v>1</v>
      </c>
      <c r="H449" s="61" t="s">
        <v>26</v>
      </c>
      <c r="I449" s="61"/>
      <c r="J449" s="61">
        <v>1</v>
      </c>
      <c r="K449" s="64"/>
      <c r="L449" s="64"/>
      <c r="M449" s="64">
        <v>1</v>
      </c>
      <c r="N449" s="65"/>
      <c r="O449" s="65"/>
      <c r="P449" s="65"/>
      <c r="Q449" s="87"/>
    </row>
    <row r="450" spans="2:17" ht="19.5" x14ac:dyDescent="0.25">
      <c r="B450" s="66">
        <v>449</v>
      </c>
      <c r="C450" s="71" t="s">
        <v>2436</v>
      </c>
      <c r="D450" s="61" t="s">
        <v>2448</v>
      </c>
      <c r="E450" s="61">
        <v>28</v>
      </c>
      <c r="F450" s="61">
        <v>16</v>
      </c>
      <c r="G450" s="61">
        <v>21</v>
      </c>
      <c r="H450" s="61" t="s">
        <v>26</v>
      </c>
      <c r="I450" s="61"/>
      <c r="J450" s="61">
        <v>1</v>
      </c>
      <c r="K450" s="64"/>
      <c r="L450" s="64"/>
      <c r="M450" s="64">
        <v>1</v>
      </c>
      <c r="N450" s="65"/>
      <c r="O450" s="65"/>
      <c r="P450" s="65"/>
      <c r="Q450" s="87"/>
    </row>
    <row r="451" spans="2:17" ht="19.5" x14ac:dyDescent="0.25">
      <c r="B451" s="66">
        <v>450</v>
      </c>
      <c r="C451" s="71" t="s">
        <v>2437</v>
      </c>
      <c r="D451" s="61" t="s">
        <v>2449</v>
      </c>
      <c r="E451" s="61">
        <v>28</v>
      </c>
      <c r="F451" s="61">
        <v>19</v>
      </c>
      <c r="G451" s="61">
        <v>23</v>
      </c>
      <c r="H451" s="61" t="s">
        <v>26</v>
      </c>
      <c r="I451" s="61"/>
      <c r="J451" s="61">
        <v>1</v>
      </c>
      <c r="K451" s="64"/>
      <c r="L451" s="64"/>
      <c r="M451" s="64">
        <v>1</v>
      </c>
      <c r="N451" s="65"/>
      <c r="O451" s="65"/>
      <c r="P451" s="65"/>
      <c r="Q451" s="87"/>
    </row>
    <row r="452" spans="2:17" ht="19.5" x14ac:dyDescent="0.25">
      <c r="B452" s="66">
        <v>451</v>
      </c>
      <c r="C452" s="71" t="s">
        <v>123</v>
      </c>
      <c r="D452" s="61" t="s">
        <v>2450</v>
      </c>
      <c r="E452" s="61">
        <v>28</v>
      </c>
      <c r="F452" s="61">
        <v>30</v>
      </c>
      <c r="G452" s="61">
        <v>10</v>
      </c>
      <c r="H452" s="61" t="s">
        <v>26</v>
      </c>
      <c r="I452" s="61"/>
      <c r="J452" s="61">
        <v>1</v>
      </c>
      <c r="K452" s="64"/>
      <c r="L452" s="64"/>
      <c r="M452" s="64">
        <v>1</v>
      </c>
      <c r="N452" s="65"/>
      <c r="O452" s="65"/>
      <c r="P452" s="65"/>
      <c r="Q452" s="87"/>
    </row>
    <row r="453" spans="2:17" ht="19.5" x14ac:dyDescent="0.25">
      <c r="B453" s="66">
        <v>452</v>
      </c>
      <c r="C453" s="71" t="s">
        <v>602</v>
      </c>
      <c r="D453" s="61" t="s">
        <v>2451</v>
      </c>
      <c r="E453" s="61">
        <v>28</v>
      </c>
      <c r="F453" s="61">
        <v>27</v>
      </c>
      <c r="G453" s="61">
        <v>22</v>
      </c>
      <c r="H453" s="61" t="s">
        <v>26</v>
      </c>
      <c r="I453" s="61"/>
      <c r="J453" s="61">
        <v>1</v>
      </c>
      <c r="K453" s="64"/>
      <c r="L453" s="64"/>
      <c r="M453" s="64">
        <v>1</v>
      </c>
      <c r="N453" s="65"/>
      <c r="O453" s="65"/>
      <c r="P453" s="65"/>
      <c r="Q453" s="87"/>
    </row>
    <row r="454" spans="2:17" ht="28.5" customHeight="1" x14ac:dyDescent="0.25">
      <c r="B454" s="66">
        <v>453</v>
      </c>
      <c r="C454" s="71" t="s">
        <v>2438</v>
      </c>
      <c r="D454" s="61" t="s">
        <v>2381</v>
      </c>
      <c r="E454" s="61">
        <v>28</v>
      </c>
      <c r="F454" s="61">
        <v>29</v>
      </c>
      <c r="G454" s="61">
        <v>21</v>
      </c>
      <c r="H454" s="61" t="s">
        <v>26</v>
      </c>
      <c r="I454" s="61"/>
      <c r="J454" s="61">
        <v>1</v>
      </c>
      <c r="K454" s="64"/>
      <c r="L454" s="64"/>
      <c r="M454" s="64">
        <v>1</v>
      </c>
      <c r="N454" s="65"/>
      <c r="O454" s="65"/>
      <c r="P454" s="65"/>
      <c r="Q454" s="87"/>
    </row>
    <row r="455" spans="2:17" ht="19.5" x14ac:dyDescent="0.25">
      <c r="B455" s="66">
        <v>454</v>
      </c>
      <c r="C455" s="71" t="s">
        <v>131</v>
      </c>
      <c r="D455" s="61" t="s">
        <v>2452</v>
      </c>
      <c r="E455" s="61">
        <v>28</v>
      </c>
      <c r="F455" s="61">
        <v>34</v>
      </c>
      <c r="G455" s="61">
        <v>19</v>
      </c>
      <c r="H455" s="61" t="s">
        <v>26</v>
      </c>
      <c r="I455" s="61"/>
      <c r="J455" s="61">
        <v>1</v>
      </c>
      <c r="K455" s="64"/>
      <c r="L455" s="64"/>
      <c r="M455" s="64">
        <v>1</v>
      </c>
      <c r="N455" s="65"/>
      <c r="O455" s="65"/>
      <c r="P455" s="65"/>
      <c r="Q455" s="87"/>
    </row>
    <row r="456" spans="2:17" ht="19.5" x14ac:dyDescent="0.25">
      <c r="B456" s="66">
        <v>455</v>
      </c>
      <c r="C456" s="71" t="s">
        <v>1150</v>
      </c>
      <c r="D456" s="61" t="s">
        <v>2457</v>
      </c>
      <c r="E456" s="61">
        <v>28</v>
      </c>
      <c r="F456" s="61">
        <v>23</v>
      </c>
      <c r="G456" s="61">
        <v>9</v>
      </c>
      <c r="H456" s="61" t="s">
        <v>26</v>
      </c>
      <c r="I456" s="61"/>
      <c r="J456" s="61">
        <v>1</v>
      </c>
      <c r="K456" s="64"/>
      <c r="L456" s="64"/>
      <c r="M456" s="64">
        <v>1</v>
      </c>
      <c r="N456" s="65"/>
      <c r="O456" s="65"/>
      <c r="P456" s="65"/>
      <c r="Q456" s="87"/>
    </row>
    <row r="457" spans="2:17" ht="19.5" x14ac:dyDescent="0.25">
      <c r="B457" s="66">
        <v>456</v>
      </c>
      <c r="C457" s="71" t="s">
        <v>682</v>
      </c>
      <c r="D457" s="61" t="s">
        <v>2458</v>
      </c>
      <c r="E457" s="61">
        <v>28</v>
      </c>
      <c r="F457" s="61">
        <v>24</v>
      </c>
      <c r="G457" s="61">
        <v>7</v>
      </c>
      <c r="H457" s="61" t="s">
        <v>26</v>
      </c>
      <c r="I457" s="61"/>
      <c r="J457" s="61">
        <v>1</v>
      </c>
      <c r="K457" s="64"/>
      <c r="L457" s="64"/>
      <c r="M457" s="64">
        <v>1</v>
      </c>
      <c r="N457" s="65"/>
      <c r="O457" s="65"/>
      <c r="P457" s="65"/>
      <c r="Q457" s="87"/>
    </row>
    <row r="458" spans="2:17" ht="19.5" x14ac:dyDescent="0.25">
      <c r="B458" s="66">
        <v>457</v>
      </c>
      <c r="C458" s="71" t="s">
        <v>2455</v>
      </c>
      <c r="D458" s="61" t="s">
        <v>176</v>
      </c>
      <c r="E458" s="61">
        <v>28</v>
      </c>
      <c r="F458" s="61">
        <v>29</v>
      </c>
      <c r="G458" s="61">
        <v>3</v>
      </c>
      <c r="H458" s="61" t="s">
        <v>26</v>
      </c>
      <c r="I458" s="61"/>
      <c r="J458" s="61">
        <v>1</v>
      </c>
      <c r="K458" s="64"/>
      <c r="L458" s="64"/>
      <c r="M458" s="64">
        <v>1</v>
      </c>
      <c r="N458" s="65"/>
      <c r="O458" s="65"/>
      <c r="P458" s="65"/>
      <c r="Q458" s="87"/>
    </row>
    <row r="459" spans="2:17" ht="19.5" x14ac:dyDescent="0.25">
      <c r="B459" s="66">
        <v>458</v>
      </c>
      <c r="C459" s="71" t="s">
        <v>135</v>
      </c>
      <c r="D459" s="61" t="s">
        <v>2459</v>
      </c>
      <c r="E459" s="61">
        <v>28</v>
      </c>
      <c r="F459" s="61">
        <v>2</v>
      </c>
      <c r="G459" s="61">
        <v>23</v>
      </c>
      <c r="H459" s="61" t="s">
        <v>26</v>
      </c>
      <c r="I459" s="61"/>
      <c r="J459" s="61">
        <v>1</v>
      </c>
      <c r="K459" s="64"/>
      <c r="L459" s="64"/>
      <c r="M459" s="64">
        <v>1</v>
      </c>
      <c r="N459" s="65"/>
      <c r="O459" s="65"/>
      <c r="P459" s="65"/>
      <c r="Q459" s="87"/>
    </row>
    <row r="460" spans="2:17" ht="19.5" x14ac:dyDescent="0.25">
      <c r="B460" s="66">
        <v>459</v>
      </c>
      <c r="C460" s="71" t="s">
        <v>1553</v>
      </c>
      <c r="D460" s="61" t="s">
        <v>2460</v>
      </c>
      <c r="E460" s="61">
        <v>28</v>
      </c>
      <c r="F460" s="61">
        <v>27</v>
      </c>
      <c r="G460" s="61">
        <v>1</v>
      </c>
      <c r="H460" s="61" t="s">
        <v>26</v>
      </c>
      <c r="I460" s="61"/>
      <c r="J460" s="61">
        <v>1</v>
      </c>
      <c r="K460" s="64"/>
      <c r="L460" s="64"/>
      <c r="M460" s="64">
        <v>1</v>
      </c>
      <c r="N460" s="65"/>
      <c r="O460" s="65"/>
      <c r="P460" s="65"/>
      <c r="Q460" s="87"/>
    </row>
    <row r="461" spans="2:17" ht="19.5" x14ac:dyDescent="0.25">
      <c r="B461" s="66">
        <v>460</v>
      </c>
      <c r="C461" s="71" t="s">
        <v>166</v>
      </c>
      <c r="D461" s="61" t="s">
        <v>2461</v>
      </c>
      <c r="E461" s="61">
        <v>28</v>
      </c>
      <c r="F461" s="61">
        <v>41</v>
      </c>
      <c r="G461" s="61">
        <v>7</v>
      </c>
      <c r="H461" s="61" t="s">
        <v>26</v>
      </c>
      <c r="I461" s="61"/>
      <c r="J461" s="61">
        <v>1</v>
      </c>
      <c r="K461" s="64"/>
      <c r="L461" s="64"/>
      <c r="M461" s="64">
        <v>1</v>
      </c>
      <c r="N461" s="65"/>
      <c r="O461" s="65"/>
      <c r="P461" s="65"/>
      <c r="Q461" s="87"/>
    </row>
    <row r="462" spans="2:17" ht="19.5" x14ac:dyDescent="0.25">
      <c r="B462" s="66">
        <v>461</v>
      </c>
      <c r="C462" s="71" t="s">
        <v>131</v>
      </c>
      <c r="D462" s="61" t="s">
        <v>2462</v>
      </c>
      <c r="E462" s="61">
        <v>28</v>
      </c>
      <c r="F462" s="61">
        <v>8</v>
      </c>
      <c r="G462" s="61">
        <v>25</v>
      </c>
      <c r="H462" s="61" t="s">
        <v>26</v>
      </c>
      <c r="I462" s="61"/>
      <c r="J462" s="61">
        <v>1</v>
      </c>
      <c r="K462" s="64"/>
      <c r="L462" s="64"/>
      <c r="M462" s="64">
        <v>1</v>
      </c>
      <c r="N462" s="65"/>
      <c r="O462" s="65"/>
      <c r="P462" s="65"/>
      <c r="Q462" s="87"/>
    </row>
    <row r="463" spans="2:17" ht="19.5" x14ac:dyDescent="0.25">
      <c r="B463" s="66">
        <v>462</v>
      </c>
      <c r="C463" s="71" t="s">
        <v>128</v>
      </c>
      <c r="D463" s="61" t="s">
        <v>2463</v>
      </c>
      <c r="E463" s="61">
        <v>28</v>
      </c>
      <c r="F463" s="61">
        <v>18</v>
      </c>
      <c r="G463" s="61">
        <v>4</v>
      </c>
      <c r="H463" s="61" t="s">
        <v>26</v>
      </c>
      <c r="I463" s="61"/>
      <c r="J463" s="61">
        <v>1</v>
      </c>
      <c r="K463" s="64"/>
      <c r="L463" s="64"/>
      <c r="M463" s="64">
        <v>1</v>
      </c>
      <c r="N463" s="65"/>
      <c r="O463" s="65"/>
      <c r="P463" s="65"/>
      <c r="Q463" s="87"/>
    </row>
    <row r="464" spans="2:17" ht="19.5" x14ac:dyDescent="0.25">
      <c r="B464" s="66">
        <v>463</v>
      </c>
      <c r="C464" s="71" t="s">
        <v>132</v>
      </c>
      <c r="D464" s="61" t="s">
        <v>2464</v>
      </c>
      <c r="E464" s="61">
        <v>28</v>
      </c>
      <c r="F464" s="61">
        <v>19</v>
      </c>
      <c r="G464" s="61">
        <v>2</v>
      </c>
      <c r="H464" s="61" t="s">
        <v>26</v>
      </c>
      <c r="I464" s="61"/>
      <c r="J464" s="61">
        <v>1</v>
      </c>
      <c r="K464" s="64"/>
      <c r="L464" s="64"/>
      <c r="M464" s="64">
        <v>1</v>
      </c>
      <c r="N464" s="65"/>
      <c r="O464" s="65"/>
      <c r="P464" s="65"/>
      <c r="Q464" s="87"/>
    </row>
    <row r="465" spans="2:17" ht="19.5" x14ac:dyDescent="0.25">
      <c r="B465" s="66">
        <v>464</v>
      </c>
      <c r="C465" s="71" t="s">
        <v>158</v>
      </c>
      <c r="D465" s="61" t="s">
        <v>2465</v>
      </c>
      <c r="E465" s="61">
        <v>28</v>
      </c>
      <c r="F465" s="61">
        <v>26</v>
      </c>
      <c r="G465" s="61">
        <v>7</v>
      </c>
      <c r="H465" s="61" t="s">
        <v>26</v>
      </c>
      <c r="I465" s="61"/>
      <c r="J465" s="61">
        <v>1</v>
      </c>
      <c r="K465" s="64"/>
      <c r="L465" s="64"/>
      <c r="M465" s="64">
        <v>1</v>
      </c>
      <c r="N465" s="65"/>
      <c r="O465" s="65"/>
      <c r="P465" s="65"/>
      <c r="Q465" s="87"/>
    </row>
    <row r="466" spans="2:17" ht="19.5" x14ac:dyDescent="0.25">
      <c r="B466" s="66">
        <v>465</v>
      </c>
      <c r="C466" s="71" t="s">
        <v>2456</v>
      </c>
      <c r="D466" s="61" t="s">
        <v>67</v>
      </c>
      <c r="E466" s="61">
        <v>28</v>
      </c>
      <c r="F466" s="61">
        <v>21</v>
      </c>
      <c r="G466" s="61">
        <v>5</v>
      </c>
      <c r="H466" s="61" t="s">
        <v>26</v>
      </c>
      <c r="I466" s="61"/>
      <c r="J466" s="61">
        <v>1</v>
      </c>
      <c r="K466" s="64"/>
      <c r="L466" s="64"/>
      <c r="M466" s="64">
        <v>1</v>
      </c>
      <c r="N466" s="65"/>
      <c r="O466" s="65"/>
      <c r="P466" s="65"/>
      <c r="Q466" s="87"/>
    </row>
    <row r="467" spans="2:17" ht="19.5" x14ac:dyDescent="0.25">
      <c r="B467" s="66">
        <v>466</v>
      </c>
      <c r="C467" s="71" t="s">
        <v>280</v>
      </c>
      <c r="D467" s="61" t="s">
        <v>2466</v>
      </c>
      <c r="E467" s="61">
        <v>28</v>
      </c>
      <c r="F467" s="61">
        <v>9</v>
      </c>
      <c r="G467" s="61">
        <v>8</v>
      </c>
      <c r="H467" s="61" t="s">
        <v>26</v>
      </c>
      <c r="I467" s="61"/>
      <c r="J467" s="61">
        <v>1</v>
      </c>
      <c r="K467" s="64"/>
      <c r="L467" s="64"/>
      <c r="M467" s="64">
        <v>1</v>
      </c>
      <c r="N467" s="65"/>
      <c r="O467" s="65"/>
      <c r="P467" s="65"/>
      <c r="Q467" s="87"/>
    </row>
    <row r="468" spans="2:17" ht="19.5" x14ac:dyDescent="0.25">
      <c r="B468" s="66">
        <v>467</v>
      </c>
      <c r="C468" s="71" t="s">
        <v>280</v>
      </c>
      <c r="D468" s="61" t="s">
        <v>2467</v>
      </c>
      <c r="E468" s="61">
        <v>28</v>
      </c>
      <c r="F468" s="61">
        <v>1</v>
      </c>
      <c r="G468" s="61">
        <v>16</v>
      </c>
      <c r="H468" s="61" t="s">
        <v>26</v>
      </c>
      <c r="I468" s="61"/>
      <c r="J468" s="61">
        <v>1</v>
      </c>
      <c r="K468" s="64"/>
      <c r="L468" s="64"/>
      <c r="M468" s="64">
        <v>1</v>
      </c>
      <c r="N468" s="65"/>
      <c r="O468" s="65"/>
      <c r="P468" s="65"/>
      <c r="Q468" s="87"/>
    </row>
    <row r="469" spans="2:17" ht="19.5" x14ac:dyDescent="0.25">
      <c r="B469" s="66">
        <v>468</v>
      </c>
      <c r="C469" s="71" t="s">
        <v>135</v>
      </c>
      <c r="D469" s="61" t="s">
        <v>2468</v>
      </c>
      <c r="E469" s="61">
        <v>28</v>
      </c>
      <c r="F469" s="61">
        <v>5</v>
      </c>
      <c r="G469" s="61">
        <v>17</v>
      </c>
      <c r="H469" s="61" t="s">
        <v>26</v>
      </c>
      <c r="I469" s="61"/>
      <c r="J469" s="61">
        <v>1</v>
      </c>
      <c r="K469" s="64"/>
      <c r="L469" s="64"/>
      <c r="M469" s="64">
        <v>1</v>
      </c>
      <c r="N469" s="65"/>
      <c r="O469" s="65"/>
      <c r="P469" s="65"/>
      <c r="Q469" s="87"/>
    </row>
    <row r="470" spans="2:17" ht="16.5" customHeight="1" x14ac:dyDescent="0.25">
      <c r="B470" s="66">
        <v>469</v>
      </c>
      <c r="C470" s="71" t="s">
        <v>1645</v>
      </c>
      <c r="D470" s="61" t="s">
        <v>2469</v>
      </c>
      <c r="E470" s="61">
        <v>28</v>
      </c>
      <c r="F470" s="61">
        <v>26</v>
      </c>
      <c r="G470" s="61">
        <v>4</v>
      </c>
      <c r="H470" s="61" t="s">
        <v>26</v>
      </c>
      <c r="I470" s="61"/>
      <c r="J470" s="61">
        <v>1</v>
      </c>
      <c r="K470" s="64"/>
      <c r="L470" s="64"/>
      <c r="M470" s="64">
        <v>1</v>
      </c>
      <c r="N470" s="65"/>
      <c r="O470" s="65"/>
      <c r="P470" s="65"/>
      <c r="Q470" s="87"/>
    </row>
    <row r="471" spans="2:17" ht="19.5" x14ac:dyDescent="0.25">
      <c r="B471" s="66">
        <v>470</v>
      </c>
      <c r="C471" s="71" t="s">
        <v>1407</v>
      </c>
      <c r="D471" s="61" t="s">
        <v>2470</v>
      </c>
      <c r="E471" s="61">
        <v>28</v>
      </c>
      <c r="F471" s="61">
        <v>32</v>
      </c>
      <c r="G471" s="61">
        <v>5</v>
      </c>
      <c r="H471" s="61" t="s">
        <v>26</v>
      </c>
      <c r="I471" s="61"/>
      <c r="J471" s="61">
        <v>1</v>
      </c>
      <c r="K471" s="64"/>
      <c r="L471" s="64"/>
      <c r="M471" s="64">
        <v>1</v>
      </c>
      <c r="N471" s="65"/>
      <c r="O471" s="65"/>
      <c r="P471" s="65"/>
      <c r="Q471" s="87"/>
    </row>
    <row r="472" spans="2:17" ht="19.5" x14ac:dyDescent="0.25">
      <c r="B472" s="66">
        <v>471</v>
      </c>
      <c r="C472" s="71" t="s">
        <v>781</v>
      </c>
      <c r="D472" s="61" t="s">
        <v>767</v>
      </c>
      <c r="E472" s="61">
        <v>28</v>
      </c>
      <c r="F472" s="61">
        <v>3</v>
      </c>
      <c r="G472" s="61">
        <v>11</v>
      </c>
      <c r="H472" s="61" t="s">
        <v>26</v>
      </c>
      <c r="I472" s="61"/>
      <c r="J472" s="61">
        <v>1</v>
      </c>
      <c r="K472" s="64"/>
      <c r="L472" s="64"/>
      <c r="M472" s="64">
        <v>1</v>
      </c>
      <c r="N472" s="65"/>
      <c r="O472" s="65"/>
      <c r="P472" s="65"/>
      <c r="Q472" s="87"/>
    </row>
    <row r="473" spans="2:17" ht="19.5" x14ac:dyDescent="0.25">
      <c r="B473" s="66">
        <v>472</v>
      </c>
      <c r="C473" s="71" t="s">
        <v>136</v>
      </c>
      <c r="D473" s="61" t="s">
        <v>2363</v>
      </c>
      <c r="E473" s="61">
        <v>28</v>
      </c>
      <c r="F473" s="61">
        <v>6</v>
      </c>
      <c r="G473" s="61">
        <v>17</v>
      </c>
      <c r="H473" s="61" t="s">
        <v>26</v>
      </c>
      <c r="I473" s="61"/>
      <c r="J473" s="61">
        <v>1</v>
      </c>
      <c r="K473" s="64"/>
      <c r="L473" s="64"/>
      <c r="M473" s="64">
        <v>1</v>
      </c>
      <c r="N473" s="65"/>
      <c r="O473" s="65"/>
      <c r="P473" s="65"/>
      <c r="Q473" s="87"/>
    </row>
    <row r="474" spans="2:17" ht="19.5" x14ac:dyDescent="0.25">
      <c r="B474" s="66">
        <v>473</v>
      </c>
      <c r="C474" s="71" t="s">
        <v>131</v>
      </c>
      <c r="D474" s="61" t="s">
        <v>318</v>
      </c>
      <c r="E474" s="61">
        <v>28</v>
      </c>
      <c r="F474" s="61">
        <v>31</v>
      </c>
      <c r="G474" s="61">
        <v>4</v>
      </c>
      <c r="H474" s="61" t="s">
        <v>26</v>
      </c>
      <c r="I474" s="61"/>
      <c r="J474" s="61">
        <v>1</v>
      </c>
      <c r="K474" s="64"/>
      <c r="L474" s="64"/>
      <c r="M474" s="64">
        <v>1</v>
      </c>
      <c r="N474" s="65"/>
      <c r="O474" s="65"/>
      <c r="P474" s="65"/>
      <c r="Q474" s="87"/>
    </row>
    <row r="475" spans="2:17" ht="19.5" x14ac:dyDescent="0.25">
      <c r="B475" s="66">
        <v>474</v>
      </c>
      <c r="C475" s="71" t="s">
        <v>258</v>
      </c>
      <c r="D475" s="61" t="s">
        <v>2540</v>
      </c>
      <c r="E475" s="61">
        <v>28</v>
      </c>
      <c r="F475" s="61">
        <v>36</v>
      </c>
      <c r="G475" s="61">
        <v>3</v>
      </c>
      <c r="H475" s="61" t="s">
        <v>26</v>
      </c>
      <c r="I475" s="61"/>
      <c r="J475" s="61">
        <v>1</v>
      </c>
      <c r="K475" s="64"/>
      <c r="L475" s="64"/>
      <c r="M475" s="64">
        <v>1</v>
      </c>
      <c r="N475" s="65"/>
      <c r="O475" s="65"/>
      <c r="P475" s="65"/>
      <c r="Q475" s="87"/>
    </row>
    <row r="476" spans="2:17" ht="37.5" x14ac:dyDescent="0.25">
      <c r="B476" s="66">
        <v>475</v>
      </c>
      <c r="C476" s="71" t="s">
        <v>2541</v>
      </c>
      <c r="D476" s="61" t="s">
        <v>2542</v>
      </c>
      <c r="E476" s="61">
        <v>28</v>
      </c>
      <c r="F476" s="61">
        <v>30</v>
      </c>
      <c r="G476" s="61">
        <v>8</v>
      </c>
      <c r="H476" s="61" t="s">
        <v>26</v>
      </c>
      <c r="I476" s="61"/>
      <c r="J476" s="61">
        <v>1</v>
      </c>
      <c r="K476" s="64"/>
      <c r="L476" s="64"/>
      <c r="M476" s="64">
        <v>1</v>
      </c>
      <c r="N476" s="65"/>
      <c r="O476" s="65"/>
      <c r="P476" s="65"/>
      <c r="Q476" s="87"/>
    </row>
    <row r="477" spans="2:17" ht="19.5" x14ac:dyDescent="0.25">
      <c r="B477" s="66">
        <v>476</v>
      </c>
      <c r="C477" s="71" t="s">
        <v>123</v>
      </c>
      <c r="D477" s="61" t="s">
        <v>3069</v>
      </c>
      <c r="E477" s="61">
        <v>28</v>
      </c>
      <c r="F477" s="61">
        <v>14</v>
      </c>
      <c r="G477" s="61">
        <v>16</v>
      </c>
      <c r="H477" s="61" t="s">
        <v>26</v>
      </c>
      <c r="I477" s="61"/>
      <c r="J477" s="61">
        <v>1</v>
      </c>
      <c r="K477" s="64"/>
      <c r="L477" s="64"/>
      <c r="M477" s="64">
        <v>1</v>
      </c>
      <c r="N477" s="65">
        <v>0</v>
      </c>
      <c r="O477" s="65"/>
      <c r="P477" s="65">
        <v>0</v>
      </c>
      <c r="Q477" s="87"/>
    </row>
    <row r="478" spans="2:17" ht="19.5" x14ac:dyDescent="0.25">
      <c r="B478" s="66">
        <v>477</v>
      </c>
      <c r="C478" s="71" t="s">
        <v>187</v>
      </c>
      <c r="D478" s="61" t="s">
        <v>3178</v>
      </c>
      <c r="E478" s="61">
        <v>28</v>
      </c>
      <c r="F478" s="61">
        <v>23</v>
      </c>
      <c r="G478" s="61">
        <v>22</v>
      </c>
      <c r="H478" s="61" t="s">
        <v>26</v>
      </c>
      <c r="I478" s="61"/>
      <c r="J478" s="61">
        <v>1</v>
      </c>
      <c r="K478" s="64"/>
      <c r="L478" s="64"/>
      <c r="M478" s="64">
        <v>1</v>
      </c>
      <c r="N478" s="65"/>
      <c r="O478" s="65"/>
      <c r="P478" s="65"/>
      <c r="Q478" s="87"/>
    </row>
    <row r="479" spans="2:17" ht="19.5" x14ac:dyDescent="0.25">
      <c r="B479" s="66">
        <v>478</v>
      </c>
      <c r="C479" s="71" t="s">
        <v>3059</v>
      </c>
      <c r="D479" s="61" t="s">
        <v>3179</v>
      </c>
      <c r="E479" s="61">
        <v>28</v>
      </c>
      <c r="F479" s="61">
        <v>79</v>
      </c>
      <c r="G479" s="61">
        <v>9</v>
      </c>
      <c r="H479" s="61" t="s">
        <v>26</v>
      </c>
      <c r="I479" s="61"/>
      <c r="J479" s="61">
        <v>1</v>
      </c>
      <c r="K479" s="64"/>
      <c r="L479" s="64"/>
      <c r="M479" s="64">
        <v>1</v>
      </c>
      <c r="N479" s="65"/>
      <c r="O479" s="65"/>
      <c r="P479" s="65"/>
      <c r="Q479" s="87"/>
    </row>
    <row r="480" spans="2:17" ht="19.5" x14ac:dyDescent="0.25">
      <c r="B480" s="66">
        <v>479</v>
      </c>
      <c r="C480" s="71" t="s">
        <v>280</v>
      </c>
      <c r="D480" s="61" t="s">
        <v>2147</v>
      </c>
      <c r="E480" s="61">
        <v>28</v>
      </c>
      <c r="F480" s="61">
        <v>77</v>
      </c>
      <c r="G480" s="61">
        <v>12</v>
      </c>
      <c r="H480" s="61" t="s">
        <v>26</v>
      </c>
      <c r="I480" s="61"/>
      <c r="J480" s="61">
        <v>1</v>
      </c>
      <c r="K480" s="64"/>
      <c r="L480" s="64"/>
      <c r="M480" s="64">
        <v>1</v>
      </c>
      <c r="N480" s="65"/>
      <c r="O480" s="65"/>
      <c r="P480" s="65"/>
      <c r="Q480" s="87"/>
    </row>
    <row r="481" spans="2:17" ht="19.5" x14ac:dyDescent="0.25">
      <c r="B481" s="66">
        <v>480</v>
      </c>
      <c r="C481" s="71" t="s">
        <v>1621</v>
      </c>
      <c r="D481" s="61" t="s">
        <v>3180</v>
      </c>
      <c r="E481" s="61">
        <v>28</v>
      </c>
      <c r="F481" s="61">
        <v>71</v>
      </c>
      <c r="G481" s="61">
        <v>13</v>
      </c>
      <c r="H481" s="61" t="s">
        <v>26</v>
      </c>
      <c r="I481" s="61"/>
      <c r="J481" s="61">
        <v>1</v>
      </c>
      <c r="K481" s="64"/>
      <c r="L481" s="64"/>
      <c r="M481" s="64">
        <v>1</v>
      </c>
      <c r="N481" s="65"/>
      <c r="O481" s="65"/>
      <c r="P481" s="65"/>
      <c r="Q481" s="87"/>
    </row>
    <row r="482" spans="2:17" ht="19.5" x14ac:dyDescent="0.25">
      <c r="B482" s="66">
        <v>481</v>
      </c>
      <c r="C482" s="71" t="s">
        <v>682</v>
      </c>
      <c r="D482" s="61" t="s">
        <v>3181</v>
      </c>
      <c r="E482" s="61">
        <v>28</v>
      </c>
      <c r="F482" s="61">
        <v>68</v>
      </c>
      <c r="G482" s="61">
        <v>18</v>
      </c>
      <c r="H482" s="61" t="s">
        <v>26</v>
      </c>
      <c r="I482" s="61"/>
      <c r="J482" s="61">
        <v>1</v>
      </c>
      <c r="K482" s="64"/>
      <c r="L482" s="64"/>
      <c r="M482" s="64">
        <v>1</v>
      </c>
      <c r="N482" s="65"/>
      <c r="O482" s="65"/>
      <c r="P482" s="65"/>
      <c r="Q482" s="87"/>
    </row>
    <row r="483" spans="2:17" ht="19.5" x14ac:dyDescent="0.25">
      <c r="B483" s="66">
        <v>482</v>
      </c>
      <c r="C483" s="71" t="s">
        <v>137</v>
      </c>
      <c r="D483" s="67" t="s">
        <v>3182</v>
      </c>
      <c r="E483" s="61">
        <v>28</v>
      </c>
      <c r="F483" s="61">
        <v>78</v>
      </c>
      <c r="G483" s="61">
        <v>19</v>
      </c>
      <c r="H483" s="61" t="s">
        <v>26</v>
      </c>
      <c r="I483" s="61"/>
      <c r="J483" s="61">
        <v>1</v>
      </c>
      <c r="K483" s="64"/>
      <c r="L483" s="64"/>
      <c r="M483" s="64">
        <v>1</v>
      </c>
      <c r="N483" s="65"/>
      <c r="O483" s="65"/>
      <c r="P483" s="65"/>
      <c r="Q483" s="87"/>
    </row>
    <row r="484" spans="2:17" ht="19.5" x14ac:dyDescent="0.25">
      <c r="B484" s="66">
        <v>483</v>
      </c>
      <c r="C484" s="71" t="s">
        <v>1272</v>
      </c>
      <c r="D484" s="61" t="s">
        <v>2527</v>
      </c>
      <c r="E484" s="61">
        <v>28</v>
      </c>
      <c r="F484" s="61">
        <v>83</v>
      </c>
      <c r="G484" s="61">
        <v>19</v>
      </c>
      <c r="H484" s="61" t="s">
        <v>26</v>
      </c>
      <c r="I484" s="61"/>
      <c r="J484" s="61">
        <v>1</v>
      </c>
      <c r="K484" s="64"/>
      <c r="L484" s="64"/>
      <c r="M484" s="64">
        <v>1</v>
      </c>
      <c r="N484" s="65"/>
      <c r="O484" s="65"/>
      <c r="P484" s="65"/>
      <c r="Q484" s="87"/>
    </row>
    <row r="485" spans="2:17" ht="19.5" x14ac:dyDescent="0.25">
      <c r="B485" s="66">
        <v>484</v>
      </c>
      <c r="C485" s="71" t="s">
        <v>409</v>
      </c>
      <c r="D485" s="61" t="s">
        <v>184</v>
      </c>
      <c r="E485" s="61">
        <v>28</v>
      </c>
      <c r="F485" s="61">
        <v>99</v>
      </c>
      <c r="G485" s="61">
        <v>4</v>
      </c>
      <c r="H485" s="61" t="s">
        <v>26</v>
      </c>
      <c r="I485" s="61"/>
      <c r="J485" s="61">
        <v>1</v>
      </c>
      <c r="K485" s="64"/>
      <c r="L485" s="64"/>
      <c r="M485" s="64">
        <v>1</v>
      </c>
      <c r="N485" s="65"/>
      <c r="O485" s="65"/>
      <c r="P485" s="65"/>
      <c r="Q485" s="87"/>
    </row>
    <row r="486" spans="2:17" ht="19.5" x14ac:dyDescent="0.25">
      <c r="B486" s="66">
        <v>485</v>
      </c>
      <c r="C486" s="71" t="s">
        <v>600</v>
      </c>
      <c r="D486" s="61" t="s">
        <v>6</v>
      </c>
      <c r="E486" s="61">
        <v>28</v>
      </c>
      <c r="F486" s="61">
        <v>106</v>
      </c>
      <c r="G486" s="61">
        <v>4</v>
      </c>
      <c r="H486" s="61" t="s">
        <v>26</v>
      </c>
      <c r="I486" s="61"/>
      <c r="J486" s="61">
        <v>1</v>
      </c>
      <c r="K486" s="64"/>
      <c r="L486" s="64"/>
      <c r="M486" s="64">
        <v>1</v>
      </c>
      <c r="N486" s="65"/>
      <c r="O486" s="65"/>
      <c r="P486" s="65"/>
      <c r="Q486" s="87"/>
    </row>
    <row r="487" spans="2:17" ht="19.5" x14ac:dyDescent="0.25">
      <c r="B487" s="66">
        <v>486</v>
      </c>
      <c r="C487" s="71" t="s">
        <v>128</v>
      </c>
      <c r="D487" s="61" t="s">
        <v>3197</v>
      </c>
      <c r="E487" s="61">
        <v>28</v>
      </c>
      <c r="F487" s="61">
        <v>5</v>
      </c>
      <c r="G487" s="61">
        <v>542</v>
      </c>
      <c r="H487" s="61" t="s">
        <v>26</v>
      </c>
      <c r="I487" s="61"/>
      <c r="J487" s="61">
        <v>1</v>
      </c>
      <c r="K487" s="64"/>
      <c r="L487" s="64"/>
      <c r="M487" s="64">
        <v>1</v>
      </c>
      <c r="N487" s="65"/>
      <c r="O487" s="65"/>
      <c r="P487" s="65"/>
      <c r="Q487" s="87"/>
    </row>
    <row r="488" spans="2:17" ht="19.5" x14ac:dyDescent="0.25">
      <c r="B488" s="66">
        <v>487</v>
      </c>
      <c r="C488" s="71" t="s">
        <v>214</v>
      </c>
      <c r="D488" s="61" t="s">
        <v>3198</v>
      </c>
      <c r="E488" s="61">
        <v>28</v>
      </c>
      <c r="F488" s="61">
        <v>60</v>
      </c>
      <c r="G488" s="61">
        <v>5</v>
      </c>
      <c r="H488" s="61" t="s">
        <v>26</v>
      </c>
      <c r="I488" s="61"/>
      <c r="J488" s="61">
        <v>1</v>
      </c>
      <c r="K488" s="64"/>
      <c r="L488" s="64"/>
      <c r="M488" s="64">
        <v>1</v>
      </c>
      <c r="N488" s="65"/>
      <c r="O488" s="65"/>
      <c r="P488" s="65"/>
      <c r="Q488" s="87"/>
    </row>
    <row r="489" spans="2:17" ht="19.5" x14ac:dyDescent="0.25">
      <c r="B489" s="66">
        <v>488</v>
      </c>
      <c r="C489" s="71" t="s">
        <v>2185</v>
      </c>
      <c r="D489" s="61" t="s">
        <v>265</v>
      </c>
      <c r="E489" s="61">
        <v>28</v>
      </c>
      <c r="F489" s="61">
        <v>63</v>
      </c>
      <c r="G489" s="61">
        <v>7</v>
      </c>
      <c r="H489" s="61" t="s">
        <v>26</v>
      </c>
      <c r="I489" s="61"/>
      <c r="J489" s="61">
        <v>1</v>
      </c>
      <c r="K489" s="64"/>
      <c r="L489" s="64"/>
      <c r="M489" s="64">
        <v>1</v>
      </c>
      <c r="N489" s="65"/>
      <c r="O489" s="65"/>
      <c r="P489" s="65"/>
      <c r="Q489" s="87"/>
    </row>
    <row r="490" spans="2:17" ht="19.5" x14ac:dyDescent="0.25">
      <c r="B490" s="66">
        <v>489</v>
      </c>
      <c r="C490" s="71" t="s">
        <v>137</v>
      </c>
      <c r="D490" s="61" t="s">
        <v>2249</v>
      </c>
      <c r="E490" s="61">
        <v>28</v>
      </c>
      <c r="F490" s="61">
        <v>67</v>
      </c>
      <c r="G490" s="61">
        <v>1</v>
      </c>
      <c r="H490" s="61" t="s">
        <v>26</v>
      </c>
      <c r="I490" s="61"/>
      <c r="J490" s="61">
        <v>1</v>
      </c>
      <c r="K490" s="64"/>
      <c r="L490" s="64"/>
      <c r="M490" s="64">
        <v>1</v>
      </c>
      <c r="N490" s="65"/>
      <c r="O490" s="65"/>
      <c r="P490" s="65"/>
      <c r="Q490" s="87"/>
    </row>
    <row r="491" spans="2:17" ht="19.5" x14ac:dyDescent="0.25">
      <c r="B491" s="66">
        <v>490</v>
      </c>
      <c r="C491" s="71" t="s">
        <v>1478</v>
      </c>
      <c r="D491" s="61" t="s">
        <v>2782</v>
      </c>
      <c r="E491" s="61">
        <v>28</v>
      </c>
      <c r="F491" s="61">
        <v>128</v>
      </c>
      <c r="G491" s="61">
        <v>16</v>
      </c>
      <c r="H491" s="61" t="s">
        <v>26</v>
      </c>
      <c r="I491" s="61"/>
      <c r="J491" s="61">
        <v>1</v>
      </c>
      <c r="K491" s="64"/>
      <c r="L491" s="64"/>
      <c r="M491" s="64">
        <v>1</v>
      </c>
      <c r="N491" s="65"/>
      <c r="O491" s="65"/>
      <c r="P491" s="65"/>
      <c r="Q491" s="87"/>
    </row>
    <row r="492" spans="2:17" ht="19.5" x14ac:dyDescent="0.25">
      <c r="B492" s="66">
        <v>491</v>
      </c>
      <c r="C492" s="71" t="s">
        <v>179</v>
      </c>
      <c r="D492" s="61" t="s">
        <v>3304</v>
      </c>
      <c r="E492" s="61">
        <v>28</v>
      </c>
      <c r="F492" s="61">
        <v>121</v>
      </c>
      <c r="G492" s="61">
        <v>19</v>
      </c>
      <c r="H492" s="61" t="s">
        <v>26</v>
      </c>
      <c r="I492" s="61"/>
      <c r="J492" s="61">
        <v>1</v>
      </c>
      <c r="K492" s="64"/>
      <c r="L492" s="64"/>
      <c r="M492" s="64">
        <v>1</v>
      </c>
      <c r="N492" s="65"/>
      <c r="O492" s="65"/>
      <c r="P492" s="65"/>
      <c r="Q492" s="87"/>
    </row>
    <row r="493" spans="2:17" ht="19.5" x14ac:dyDescent="0.25">
      <c r="B493" s="66">
        <v>492</v>
      </c>
      <c r="C493" s="71" t="s">
        <v>181</v>
      </c>
      <c r="D493" s="61" t="s">
        <v>3305</v>
      </c>
      <c r="E493" s="61">
        <v>28</v>
      </c>
      <c r="F493" s="61">
        <v>9</v>
      </c>
      <c r="G493" s="61" t="s">
        <v>3306</v>
      </c>
      <c r="H493" s="61" t="s">
        <v>26</v>
      </c>
      <c r="I493" s="61"/>
      <c r="J493" s="61">
        <v>1</v>
      </c>
      <c r="K493" s="64"/>
      <c r="L493" s="64"/>
      <c r="M493" s="64">
        <v>1</v>
      </c>
      <c r="N493" s="65"/>
      <c r="O493" s="65"/>
      <c r="P493" s="65"/>
      <c r="Q493" s="87"/>
    </row>
    <row r="494" spans="2:17" ht="19.5" x14ac:dyDescent="0.25">
      <c r="B494" s="66">
        <v>493</v>
      </c>
      <c r="C494" s="71" t="s">
        <v>3105</v>
      </c>
      <c r="D494" s="61" t="s">
        <v>1443</v>
      </c>
      <c r="E494" s="61">
        <v>28</v>
      </c>
      <c r="F494" s="61">
        <v>115</v>
      </c>
      <c r="G494" s="61">
        <v>18</v>
      </c>
      <c r="H494" s="61" t="s">
        <v>26</v>
      </c>
      <c r="I494" s="61"/>
      <c r="J494" s="61">
        <v>1</v>
      </c>
      <c r="K494" s="64"/>
      <c r="L494" s="64"/>
      <c r="M494" s="64">
        <v>1</v>
      </c>
      <c r="N494" s="65"/>
      <c r="O494" s="65"/>
      <c r="P494" s="65"/>
      <c r="Q494" s="87"/>
    </row>
    <row r="495" spans="2:17" ht="19.5" x14ac:dyDescent="0.25">
      <c r="B495" s="66">
        <v>494</v>
      </c>
      <c r="C495" s="71" t="s">
        <v>3291</v>
      </c>
      <c r="D495" s="61" t="s">
        <v>2780</v>
      </c>
      <c r="E495" s="61">
        <v>28</v>
      </c>
      <c r="F495" s="61">
        <v>118</v>
      </c>
      <c r="G495" s="61">
        <v>19</v>
      </c>
      <c r="H495" s="61" t="s">
        <v>26</v>
      </c>
      <c r="I495" s="61"/>
      <c r="J495" s="61">
        <v>1</v>
      </c>
      <c r="K495" s="64"/>
      <c r="L495" s="64"/>
      <c r="M495" s="64">
        <v>1</v>
      </c>
      <c r="N495" s="65"/>
      <c r="O495" s="65"/>
      <c r="P495" s="65"/>
      <c r="Q495" s="87"/>
    </row>
    <row r="496" spans="2:17" ht="19.5" x14ac:dyDescent="0.25">
      <c r="B496" s="66">
        <v>495</v>
      </c>
      <c r="C496" s="71" t="s">
        <v>136</v>
      </c>
      <c r="D496" s="61" t="s">
        <v>1443</v>
      </c>
      <c r="E496" s="61">
        <v>28</v>
      </c>
      <c r="F496" s="61">
        <v>113</v>
      </c>
      <c r="G496" s="61">
        <v>18</v>
      </c>
      <c r="H496" s="61" t="s">
        <v>26</v>
      </c>
      <c r="I496" s="61"/>
      <c r="J496" s="61">
        <v>1</v>
      </c>
      <c r="K496" s="64"/>
      <c r="L496" s="64"/>
      <c r="M496" s="64">
        <v>1</v>
      </c>
      <c r="N496" s="65"/>
      <c r="O496" s="65"/>
      <c r="P496" s="65"/>
      <c r="Q496" s="87"/>
    </row>
    <row r="497" spans="2:17" ht="19.5" x14ac:dyDescent="0.25">
      <c r="B497" s="66">
        <v>496</v>
      </c>
      <c r="C497" s="71" t="s">
        <v>2922</v>
      </c>
      <c r="D497" s="61" t="s">
        <v>3309</v>
      </c>
      <c r="E497" s="61">
        <v>28</v>
      </c>
      <c r="F497" s="61">
        <v>96</v>
      </c>
      <c r="G497" s="61">
        <v>17</v>
      </c>
      <c r="H497" s="61" t="s">
        <v>26</v>
      </c>
      <c r="I497" s="61"/>
      <c r="J497" s="61">
        <v>1</v>
      </c>
      <c r="K497" s="64"/>
      <c r="L497" s="64"/>
      <c r="M497" s="64">
        <v>1</v>
      </c>
      <c r="N497" s="65"/>
      <c r="O497" s="65"/>
      <c r="P497" s="65"/>
      <c r="Q497" s="87"/>
    </row>
    <row r="498" spans="2:17" ht="19.5" x14ac:dyDescent="0.25">
      <c r="B498" s="66">
        <v>497</v>
      </c>
      <c r="C498" s="71" t="s">
        <v>201</v>
      </c>
      <c r="D498" s="61" t="s">
        <v>3310</v>
      </c>
      <c r="E498" s="61">
        <v>28</v>
      </c>
      <c r="F498" s="61">
        <v>100</v>
      </c>
      <c r="G498" s="61">
        <v>22</v>
      </c>
      <c r="H498" s="61" t="s">
        <v>26</v>
      </c>
      <c r="I498" s="61"/>
      <c r="J498" s="61">
        <v>1</v>
      </c>
      <c r="K498" s="64"/>
      <c r="L498" s="64"/>
      <c r="M498" s="64">
        <v>1</v>
      </c>
      <c r="N498" s="65"/>
      <c r="O498" s="65"/>
      <c r="P498" s="65"/>
      <c r="Q498" s="87"/>
    </row>
    <row r="499" spans="2:17" ht="19.5" x14ac:dyDescent="0.25">
      <c r="B499" s="66">
        <v>498</v>
      </c>
      <c r="C499" s="71" t="s">
        <v>177</v>
      </c>
      <c r="D499" s="61" t="s">
        <v>3312</v>
      </c>
      <c r="E499" s="61">
        <v>28</v>
      </c>
      <c r="F499" s="61">
        <v>91</v>
      </c>
      <c r="G499" s="61">
        <v>6</v>
      </c>
      <c r="H499" s="61" t="s">
        <v>26</v>
      </c>
      <c r="I499" s="61"/>
      <c r="J499" s="61">
        <v>1</v>
      </c>
      <c r="K499" s="64"/>
      <c r="L499" s="64"/>
      <c r="M499" s="64">
        <v>1</v>
      </c>
      <c r="N499" s="65"/>
      <c r="O499" s="65"/>
      <c r="P499" s="65"/>
      <c r="Q499" s="87"/>
    </row>
    <row r="500" spans="2:17" ht="19.5" x14ac:dyDescent="0.25">
      <c r="B500" s="66">
        <v>499</v>
      </c>
      <c r="C500" s="71" t="s">
        <v>891</v>
      </c>
      <c r="D500" s="61" t="s">
        <v>3313</v>
      </c>
      <c r="E500" s="61">
        <v>28</v>
      </c>
      <c r="F500" s="61">
        <v>94</v>
      </c>
      <c r="G500" s="61">
        <v>6</v>
      </c>
      <c r="H500" s="61" t="s">
        <v>26</v>
      </c>
      <c r="I500" s="61"/>
      <c r="J500" s="61">
        <v>1</v>
      </c>
      <c r="K500" s="64"/>
      <c r="L500" s="64"/>
      <c r="M500" s="64">
        <v>1</v>
      </c>
      <c r="N500" s="65"/>
      <c r="O500" s="65"/>
      <c r="P500" s="65"/>
      <c r="Q500" s="87"/>
    </row>
    <row r="501" spans="2:17" ht="19.5" x14ac:dyDescent="0.25">
      <c r="B501" s="66">
        <v>500</v>
      </c>
      <c r="C501" s="71" t="s">
        <v>214</v>
      </c>
      <c r="D501" s="61" t="s">
        <v>3314</v>
      </c>
      <c r="E501" s="61">
        <v>28</v>
      </c>
      <c r="F501" s="61">
        <v>100</v>
      </c>
      <c r="G501" s="61">
        <v>12</v>
      </c>
      <c r="H501" s="61" t="s">
        <v>26</v>
      </c>
      <c r="I501" s="61"/>
      <c r="J501" s="61">
        <v>1</v>
      </c>
      <c r="K501" s="64"/>
      <c r="L501" s="64"/>
      <c r="M501" s="64">
        <v>1</v>
      </c>
      <c r="N501" s="65"/>
      <c r="O501" s="65"/>
      <c r="P501" s="65"/>
      <c r="Q501" s="87"/>
    </row>
    <row r="502" spans="2:17" ht="19.5" x14ac:dyDescent="0.25">
      <c r="B502" s="66">
        <v>501</v>
      </c>
      <c r="C502" s="71" t="s">
        <v>132</v>
      </c>
      <c r="D502" s="61" t="s">
        <v>3009</v>
      </c>
      <c r="E502" s="61">
        <v>28</v>
      </c>
      <c r="F502" s="61">
        <v>101</v>
      </c>
      <c r="G502" s="61">
        <v>4</v>
      </c>
      <c r="H502" s="61" t="s">
        <v>26</v>
      </c>
      <c r="I502" s="61"/>
      <c r="J502" s="61">
        <v>1</v>
      </c>
      <c r="K502" s="64"/>
      <c r="L502" s="64"/>
      <c r="M502" s="64">
        <v>1</v>
      </c>
      <c r="N502" s="65"/>
      <c r="O502" s="65"/>
      <c r="P502" s="65"/>
      <c r="Q502" s="87"/>
    </row>
    <row r="503" spans="2:17" ht="19.5" x14ac:dyDescent="0.25">
      <c r="B503" s="66">
        <v>502</v>
      </c>
      <c r="C503" s="71" t="s">
        <v>135</v>
      </c>
      <c r="D503" s="61" t="s">
        <v>2147</v>
      </c>
      <c r="E503" s="61">
        <v>28</v>
      </c>
      <c r="F503" s="61">
        <v>98</v>
      </c>
      <c r="G503" s="61">
        <v>11</v>
      </c>
      <c r="H503" s="61" t="s">
        <v>26</v>
      </c>
      <c r="I503" s="61"/>
      <c r="J503" s="61">
        <v>1</v>
      </c>
      <c r="K503" s="64"/>
      <c r="L503" s="64"/>
      <c r="M503" s="64">
        <v>1</v>
      </c>
      <c r="N503" s="65"/>
      <c r="O503" s="65"/>
      <c r="P503" s="65"/>
      <c r="Q503" s="87"/>
    </row>
    <row r="504" spans="2:17" ht="22.5" customHeight="1" x14ac:dyDescent="0.25">
      <c r="B504" s="66">
        <v>503</v>
      </c>
      <c r="C504" s="71" t="s">
        <v>659</v>
      </c>
      <c r="D504" s="61" t="s">
        <v>3315</v>
      </c>
      <c r="E504" s="61">
        <v>28</v>
      </c>
      <c r="F504" s="61">
        <v>127</v>
      </c>
      <c r="G504" s="61">
        <v>12</v>
      </c>
      <c r="H504" s="61" t="s">
        <v>26</v>
      </c>
      <c r="I504" s="61"/>
      <c r="J504" s="61">
        <v>1</v>
      </c>
      <c r="K504" s="64"/>
      <c r="L504" s="64"/>
      <c r="M504" s="64">
        <v>1</v>
      </c>
      <c r="N504" s="65"/>
      <c r="O504" s="65"/>
      <c r="P504" s="65"/>
      <c r="Q504" s="87"/>
    </row>
    <row r="505" spans="2:17" ht="19.5" x14ac:dyDescent="0.25">
      <c r="B505" s="66">
        <v>504</v>
      </c>
      <c r="C505" s="71" t="s">
        <v>123</v>
      </c>
      <c r="D505" s="61" t="s">
        <v>3316</v>
      </c>
      <c r="E505" s="61">
        <v>28</v>
      </c>
      <c r="F505" s="61">
        <v>115</v>
      </c>
      <c r="G505" s="61">
        <v>14</v>
      </c>
      <c r="H505" s="61" t="s">
        <v>26</v>
      </c>
      <c r="I505" s="61"/>
      <c r="J505" s="61">
        <v>1</v>
      </c>
      <c r="K505" s="64"/>
      <c r="L505" s="64"/>
      <c r="M505" s="64">
        <v>1</v>
      </c>
      <c r="N505" s="65"/>
      <c r="O505" s="65"/>
      <c r="P505" s="65"/>
      <c r="Q505" s="87"/>
    </row>
    <row r="506" spans="2:17" ht="19.5" x14ac:dyDescent="0.25">
      <c r="B506" s="66">
        <v>505</v>
      </c>
      <c r="C506" s="71" t="s">
        <v>131</v>
      </c>
      <c r="D506" s="61" t="s">
        <v>3317</v>
      </c>
      <c r="E506" s="61">
        <v>28</v>
      </c>
      <c r="F506" s="61">
        <v>85</v>
      </c>
      <c r="G506" s="61">
        <v>17</v>
      </c>
      <c r="H506" s="61" t="s">
        <v>26</v>
      </c>
      <c r="I506" s="61"/>
      <c r="J506" s="61">
        <v>1</v>
      </c>
      <c r="K506" s="64"/>
      <c r="L506" s="64"/>
      <c r="M506" s="64">
        <v>1</v>
      </c>
      <c r="N506" s="65"/>
      <c r="O506" s="65"/>
      <c r="P506" s="65"/>
      <c r="Q506" s="87"/>
    </row>
    <row r="507" spans="2:17" ht="19.5" x14ac:dyDescent="0.25">
      <c r="B507" s="66">
        <v>506</v>
      </c>
      <c r="C507" s="71" t="s">
        <v>131</v>
      </c>
      <c r="D507" s="61" t="s">
        <v>3318</v>
      </c>
      <c r="E507" s="61">
        <v>28</v>
      </c>
      <c r="F507" s="61">
        <v>88</v>
      </c>
      <c r="G507" s="61">
        <v>14</v>
      </c>
      <c r="H507" s="61" t="s">
        <v>26</v>
      </c>
      <c r="I507" s="61"/>
      <c r="J507" s="61">
        <v>1</v>
      </c>
      <c r="K507" s="64"/>
      <c r="L507" s="64"/>
      <c r="M507" s="64">
        <v>1</v>
      </c>
      <c r="N507" s="65"/>
      <c r="O507" s="65"/>
      <c r="P507" s="65"/>
      <c r="Q507" s="87"/>
    </row>
    <row r="508" spans="2:17" ht="19.5" x14ac:dyDescent="0.25">
      <c r="B508" s="66">
        <v>507</v>
      </c>
      <c r="C508" s="71" t="s">
        <v>1055</v>
      </c>
      <c r="D508" s="61" t="s">
        <v>1114</v>
      </c>
      <c r="E508" s="61">
        <v>28</v>
      </c>
      <c r="F508" s="61">
        <v>89</v>
      </c>
      <c r="G508" s="61">
        <v>17</v>
      </c>
      <c r="H508" s="61" t="s">
        <v>26</v>
      </c>
      <c r="I508" s="61"/>
      <c r="J508" s="61">
        <v>1</v>
      </c>
      <c r="K508" s="64"/>
      <c r="L508" s="64"/>
      <c r="M508" s="64">
        <v>1</v>
      </c>
      <c r="N508" s="65"/>
      <c r="O508" s="65"/>
      <c r="P508" s="65"/>
      <c r="Q508" s="87"/>
    </row>
    <row r="509" spans="2:17" ht="19.5" x14ac:dyDescent="0.25">
      <c r="B509" s="66">
        <v>508</v>
      </c>
      <c r="C509" s="71" t="s">
        <v>3319</v>
      </c>
      <c r="D509" s="61" t="s">
        <v>3320</v>
      </c>
      <c r="E509" s="61">
        <v>28</v>
      </c>
      <c r="F509" s="61">
        <v>116</v>
      </c>
      <c r="G509" s="61">
        <v>10</v>
      </c>
      <c r="H509" s="61" t="s">
        <v>26</v>
      </c>
      <c r="I509" s="61"/>
      <c r="J509" s="61">
        <v>1</v>
      </c>
      <c r="K509" s="64"/>
      <c r="L509" s="64"/>
      <c r="M509" s="64">
        <v>1</v>
      </c>
      <c r="N509" s="65"/>
      <c r="O509" s="65"/>
      <c r="P509" s="65"/>
      <c r="Q509" s="87"/>
    </row>
    <row r="510" spans="2:17" ht="19.5" x14ac:dyDescent="0.25">
      <c r="B510" s="66">
        <v>509</v>
      </c>
      <c r="C510" s="71" t="s">
        <v>3321</v>
      </c>
      <c r="D510" s="61" t="s">
        <v>3322</v>
      </c>
      <c r="E510" s="61">
        <v>28</v>
      </c>
      <c r="F510" s="61">
        <v>108</v>
      </c>
      <c r="G510" s="61">
        <v>14</v>
      </c>
      <c r="H510" s="61" t="s">
        <v>26</v>
      </c>
      <c r="I510" s="61"/>
      <c r="J510" s="61">
        <v>1</v>
      </c>
      <c r="K510" s="64"/>
      <c r="L510" s="64"/>
      <c r="M510" s="64">
        <v>1</v>
      </c>
      <c r="N510" s="65"/>
      <c r="O510" s="65"/>
      <c r="P510" s="65"/>
      <c r="Q510" s="87"/>
    </row>
    <row r="511" spans="2:17" ht="19.5" x14ac:dyDescent="0.25">
      <c r="B511" s="66">
        <v>510</v>
      </c>
      <c r="C511" s="71" t="s">
        <v>1055</v>
      </c>
      <c r="D511" s="61" t="s">
        <v>3323</v>
      </c>
      <c r="E511" s="61">
        <v>28</v>
      </c>
      <c r="F511" s="61">
        <v>8</v>
      </c>
      <c r="G511" s="61">
        <v>5</v>
      </c>
      <c r="H511" s="61" t="s">
        <v>26</v>
      </c>
      <c r="I511" s="61"/>
      <c r="J511" s="61">
        <v>1</v>
      </c>
      <c r="K511" s="64"/>
      <c r="L511" s="64"/>
      <c r="M511" s="64">
        <v>1</v>
      </c>
      <c r="N511" s="65"/>
      <c r="O511" s="65"/>
      <c r="P511" s="65"/>
      <c r="Q511" s="87"/>
    </row>
    <row r="512" spans="2:17" ht="19.5" x14ac:dyDescent="0.25">
      <c r="B512" s="66">
        <v>511</v>
      </c>
      <c r="C512" s="71" t="s">
        <v>209</v>
      </c>
      <c r="D512" s="61" t="s">
        <v>3324</v>
      </c>
      <c r="E512" s="61">
        <v>28</v>
      </c>
      <c r="F512" s="61">
        <v>29</v>
      </c>
      <c r="G512" s="61">
        <v>7</v>
      </c>
      <c r="H512" s="61" t="s">
        <v>26</v>
      </c>
      <c r="I512" s="61"/>
      <c r="J512" s="61">
        <v>1</v>
      </c>
      <c r="K512" s="64"/>
      <c r="L512" s="64"/>
      <c r="M512" s="64">
        <v>1</v>
      </c>
      <c r="N512" s="65"/>
      <c r="O512" s="65"/>
      <c r="P512" s="65"/>
      <c r="Q512" s="87"/>
    </row>
    <row r="513" spans="1:18" ht="19.5" x14ac:dyDescent="0.25">
      <c r="B513" s="66">
        <v>512</v>
      </c>
      <c r="C513" s="71" t="s">
        <v>600</v>
      </c>
      <c r="D513" s="61" t="s">
        <v>6</v>
      </c>
      <c r="E513" s="61">
        <v>28</v>
      </c>
      <c r="F513" s="61">
        <v>15</v>
      </c>
      <c r="G513" s="61">
        <v>9</v>
      </c>
      <c r="H513" s="61" t="s">
        <v>26</v>
      </c>
      <c r="I513" s="61"/>
      <c r="J513" s="61">
        <v>1</v>
      </c>
      <c r="K513" s="64"/>
      <c r="L513" s="64"/>
      <c r="M513" s="64">
        <v>1</v>
      </c>
      <c r="N513" s="65"/>
      <c r="O513" s="65"/>
      <c r="P513" s="65"/>
      <c r="Q513" s="87"/>
    </row>
    <row r="514" spans="1:18" ht="19.5" x14ac:dyDescent="0.25">
      <c r="B514" s="66">
        <v>513</v>
      </c>
      <c r="C514" s="71" t="s">
        <v>483</v>
      </c>
      <c r="D514" s="61" t="s">
        <v>3325</v>
      </c>
      <c r="E514" s="61">
        <v>28</v>
      </c>
      <c r="F514" s="61">
        <v>19</v>
      </c>
      <c r="G514" s="61">
        <v>11</v>
      </c>
      <c r="H514" s="61" t="s">
        <v>26</v>
      </c>
      <c r="I514" s="61"/>
      <c r="J514" s="61">
        <v>1</v>
      </c>
      <c r="K514" s="64"/>
      <c r="L514" s="64"/>
      <c r="M514" s="64">
        <v>1</v>
      </c>
      <c r="N514" s="65"/>
      <c r="O514" s="65"/>
      <c r="P514" s="65"/>
      <c r="Q514" s="87"/>
    </row>
    <row r="515" spans="1:18" s="70" customFormat="1" ht="21" x14ac:dyDescent="0.25">
      <c r="B515" s="73"/>
      <c r="C515" s="73"/>
      <c r="D515" s="73"/>
      <c r="E515" s="73"/>
      <c r="F515" s="73"/>
      <c r="G515" s="73"/>
      <c r="H515" s="73"/>
      <c r="I515" s="53">
        <f>SUM(I2:I514)</f>
        <v>286</v>
      </c>
      <c r="J515" s="53">
        <f>SUM(J2:J514)</f>
        <v>203</v>
      </c>
      <c r="K515" s="64">
        <f>SUM(K2:K419)</f>
        <v>0</v>
      </c>
      <c r="L515" s="64">
        <f>SUM(L2:L419)</f>
        <v>0</v>
      </c>
      <c r="M515" s="64">
        <f>SUM(M2:M514)</f>
        <v>135</v>
      </c>
      <c r="N515" s="65">
        <f>SUM(N2:N514)</f>
        <v>55</v>
      </c>
      <c r="O515" s="65">
        <f>SUM(O2:O419)</f>
        <v>0</v>
      </c>
      <c r="P515" s="65">
        <f>SUM(P2:P514)</f>
        <v>230</v>
      </c>
      <c r="Q515" s="73"/>
      <c r="R515" s="100"/>
    </row>
    <row r="516" spans="1:18" s="70" customFormat="1" ht="308.25" customHeight="1" x14ac:dyDescent="0.25">
      <c r="A516" s="88"/>
      <c r="B516" s="88"/>
      <c r="C516" s="88"/>
      <c r="D516" s="88"/>
      <c r="E516" s="88"/>
      <c r="F516" s="88"/>
      <c r="G516" s="88"/>
      <c r="H516" s="88"/>
      <c r="I516" s="89"/>
      <c r="J516" s="89"/>
      <c r="K516" s="60"/>
      <c r="L516" s="60"/>
      <c r="M516" s="60"/>
      <c r="N516" s="60"/>
      <c r="O516" s="60"/>
      <c r="P516" s="60"/>
      <c r="Q516" s="88"/>
      <c r="R516" s="90"/>
    </row>
    <row r="517" spans="1:18" thickBot="1" x14ac:dyDescent="0.3">
      <c r="K517" s="58"/>
      <c r="L517" s="58"/>
      <c r="M517" s="58"/>
      <c r="N517" s="59"/>
      <c r="O517" s="59"/>
      <c r="P517" s="59"/>
    </row>
    <row r="518" spans="1:18" ht="19.5" x14ac:dyDescent="0.25"/>
    <row r="519" spans="1:18" ht="19.5" x14ac:dyDescent="0.25"/>
    <row r="520" spans="1:18" ht="19.5" x14ac:dyDescent="0.25"/>
    <row r="521" spans="1:18" ht="19.5" x14ac:dyDescent="0.25"/>
    <row r="522" spans="1:18" ht="19.5" x14ac:dyDescent="0.25"/>
    <row r="523" spans="1:18" ht="19.5" x14ac:dyDescent="0.25"/>
    <row r="524" spans="1:18" ht="19.5" x14ac:dyDescent="0.25"/>
    <row r="525" spans="1:18" ht="19.5" x14ac:dyDescent="0.25"/>
    <row r="526" spans="1:18" ht="19.5" x14ac:dyDescent="0.25"/>
    <row r="527" spans="1:18" ht="19.5" x14ac:dyDescent="0.25"/>
    <row r="528" spans="1:18" ht="19.5" x14ac:dyDescent="0.25"/>
    <row r="529" ht="19.5" x14ac:dyDescent="0.25"/>
    <row r="530" ht="19.5" x14ac:dyDescent="0.25"/>
    <row r="531" ht="19.5" x14ac:dyDescent="0.25"/>
    <row r="532" ht="19.5" x14ac:dyDescent="0.25"/>
    <row r="533" ht="19.5" x14ac:dyDescent="0.25"/>
    <row r="534" ht="19.5" x14ac:dyDescent="0.25"/>
    <row r="535" ht="19.5" x14ac:dyDescent="0.25"/>
    <row r="536" ht="19.5" x14ac:dyDescent="0.25"/>
    <row r="537" ht="19.5" x14ac:dyDescent="0.25"/>
    <row r="538" ht="19.5" x14ac:dyDescent="0.25"/>
    <row r="539" ht="19.5" x14ac:dyDescent="0.25"/>
    <row r="540" ht="19.5" x14ac:dyDescent="0.25"/>
    <row r="541" ht="19.5" x14ac:dyDescent="0.25"/>
    <row r="542" ht="19.5" x14ac:dyDescent="0.25"/>
  </sheetData>
  <autoFilter ref="B1:Q515" xr:uid="{12231DA3-12DB-4BD6-90B6-A5994DD75E34}"/>
  <pageMargins left="0.7" right="0.7" top="0.75" bottom="0.75" header="0.3" footer="0.3"/>
  <pageSetup orientation="portrait" r:id="rId1"/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E0F6CB-1B8F-4A23-9750-9893067018B5}">
  <dimension ref="A1:R440"/>
  <sheetViews>
    <sheetView rightToLeft="1" zoomScale="140" zoomScaleNormal="140" workbookViewId="0">
      <pane ySplit="1" topLeftCell="A411" activePane="bottomLeft" state="frozen"/>
      <selection pane="bottomLeft" activeCell="P409" sqref="P409"/>
    </sheetView>
  </sheetViews>
  <sheetFormatPr defaultRowHeight="20.25" thickBottom="1" x14ac:dyDescent="0.3"/>
  <cols>
    <col min="1" max="1" width="9.140625" style="42"/>
    <col min="2" max="2" width="4" style="42" bestFit="1" customWidth="1"/>
    <col min="3" max="3" width="9.42578125" style="42" customWidth="1"/>
    <col min="4" max="4" width="15.140625" style="42" customWidth="1"/>
    <col min="5" max="5" width="7.28515625" style="42" customWidth="1"/>
    <col min="6" max="6" width="6.85546875" style="42" customWidth="1"/>
    <col min="7" max="7" width="5.85546875" style="42" customWidth="1"/>
    <col min="8" max="8" width="9.85546875" style="42" customWidth="1"/>
    <col min="9" max="9" width="7.7109375" style="42" customWidth="1"/>
    <col min="10" max="10" width="6.42578125" style="42" customWidth="1"/>
    <col min="11" max="11" width="9.7109375" style="40" customWidth="1"/>
    <col min="12" max="12" width="8.42578125" style="40" customWidth="1"/>
    <col min="13" max="13" width="9.5703125" style="40" customWidth="1"/>
    <col min="14" max="14" width="9.28515625" style="41" customWidth="1"/>
    <col min="15" max="15" width="8.42578125" style="41" customWidth="1"/>
    <col min="16" max="16" width="10.85546875" style="41" customWidth="1"/>
    <col min="17" max="17" width="21.42578125" style="42" customWidth="1"/>
    <col min="18" max="18" width="16.85546875" style="42" customWidth="1"/>
    <col min="19" max="16384" width="9.140625" style="42"/>
  </cols>
  <sheetData>
    <row r="1" spans="2:17" ht="60" customHeight="1" thickBot="1" x14ac:dyDescent="0.3">
      <c r="B1" s="74"/>
      <c r="C1" s="25" t="s">
        <v>420</v>
      </c>
      <c r="D1" s="25" t="s">
        <v>419</v>
      </c>
      <c r="E1" s="25" t="s">
        <v>1</v>
      </c>
      <c r="F1" s="25" t="s">
        <v>0</v>
      </c>
      <c r="G1" s="25" t="s">
        <v>2</v>
      </c>
      <c r="H1" s="25" t="s">
        <v>4</v>
      </c>
      <c r="I1" s="39" t="s">
        <v>27</v>
      </c>
      <c r="J1" s="39" t="s">
        <v>435</v>
      </c>
      <c r="K1" s="40" t="s">
        <v>438</v>
      </c>
      <c r="L1" s="40" t="s">
        <v>439</v>
      </c>
      <c r="M1" s="40" t="s">
        <v>440</v>
      </c>
      <c r="N1" s="41" t="s">
        <v>437</v>
      </c>
      <c r="O1" s="41" t="s">
        <v>436</v>
      </c>
      <c r="P1" s="41" t="s">
        <v>443</v>
      </c>
      <c r="Q1" s="26" t="s">
        <v>5</v>
      </c>
    </row>
    <row r="2" spans="2:17" thickBot="1" x14ac:dyDescent="0.3">
      <c r="B2" s="75">
        <v>1</v>
      </c>
      <c r="C2" s="75" t="s">
        <v>280</v>
      </c>
      <c r="D2" s="76" t="s">
        <v>1427</v>
      </c>
      <c r="E2" s="66">
        <v>29</v>
      </c>
      <c r="F2" s="66">
        <v>41</v>
      </c>
      <c r="G2" s="66">
        <v>3</v>
      </c>
      <c r="H2" s="66" t="s">
        <v>26</v>
      </c>
      <c r="I2" s="66"/>
      <c r="J2" s="66">
        <v>1</v>
      </c>
      <c r="M2" s="40">
        <v>1</v>
      </c>
      <c r="Q2" s="66"/>
    </row>
    <row r="3" spans="2:17" thickBot="1" x14ac:dyDescent="0.3">
      <c r="B3" s="75">
        <v>2</v>
      </c>
      <c r="C3" s="77" t="s">
        <v>137</v>
      </c>
      <c r="D3" s="2" t="s">
        <v>1426</v>
      </c>
      <c r="E3" s="67">
        <v>29</v>
      </c>
      <c r="F3" s="67">
        <v>4</v>
      </c>
      <c r="G3" s="67">
        <v>4</v>
      </c>
      <c r="H3" s="67" t="s">
        <v>26</v>
      </c>
      <c r="I3" s="67"/>
      <c r="J3" s="66">
        <v>1</v>
      </c>
      <c r="M3" s="40">
        <v>1</v>
      </c>
      <c r="Q3" s="67"/>
    </row>
    <row r="4" spans="2:17" thickBot="1" x14ac:dyDescent="0.3">
      <c r="B4" s="75">
        <v>3</v>
      </c>
      <c r="C4" s="77" t="s">
        <v>1381</v>
      </c>
      <c r="D4" s="2" t="s">
        <v>1425</v>
      </c>
      <c r="E4" s="67">
        <v>29</v>
      </c>
      <c r="F4" s="67">
        <v>42</v>
      </c>
      <c r="G4" s="67">
        <v>3</v>
      </c>
      <c r="H4" s="67" t="s">
        <v>26</v>
      </c>
      <c r="I4" s="67"/>
      <c r="J4" s="66">
        <v>1</v>
      </c>
      <c r="M4" s="40">
        <v>1</v>
      </c>
      <c r="Q4" s="67"/>
    </row>
    <row r="5" spans="2:17" thickBot="1" x14ac:dyDescent="0.3">
      <c r="B5" s="75">
        <v>4</v>
      </c>
      <c r="C5" s="75" t="s">
        <v>128</v>
      </c>
      <c r="D5" s="2" t="s">
        <v>1424</v>
      </c>
      <c r="E5" s="67">
        <v>29</v>
      </c>
      <c r="F5" s="67">
        <v>5</v>
      </c>
      <c r="G5" s="67">
        <v>5</v>
      </c>
      <c r="H5" s="67" t="s">
        <v>26</v>
      </c>
      <c r="I5" s="67"/>
      <c r="J5" s="66">
        <v>1</v>
      </c>
      <c r="M5" s="40">
        <v>1</v>
      </c>
      <c r="Q5" s="67"/>
    </row>
    <row r="6" spans="2:17" thickBot="1" x14ac:dyDescent="0.3">
      <c r="B6" s="75">
        <v>5</v>
      </c>
      <c r="C6" s="77" t="s">
        <v>402</v>
      </c>
      <c r="D6" s="2" t="s">
        <v>1423</v>
      </c>
      <c r="E6" s="67">
        <v>29</v>
      </c>
      <c r="F6" s="67">
        <v>16</v>
      </c>
      <c r="G6" s="67">
        <v>3</v>
      </c>
      <c r="H6" s="67" t="s">
        <v>26</v>
      </c>
      <c r="I6" s="67"/>
      <c r="J6" s="66">
        <v>1</v>
      </c>
      <c r="M6" s="40">
        <v>1</v>
      </c>
      <c r="Q6" s="67"/>
    </row>
    <row r="7" spans="2:17" thickBot="1" x14ac:dyDescent="0.3">
      <c r="B7" s="75">
        <v>6</v>
      </c>
      <c r="C7" s="77" t="s">
        <v>1326</v>
      </c>
      <c r="D7" s="2" t="s">
        <v>1422</v>
      </c>
      <c r="E7" s="67">
        <v>29</v>
      </c>
      <c r="F7" s="67">
        <v>17</v>
      </c>
      <c r="G7" s="67">
        <v>4</v>
      </c>
      <c r="H7" s="67" t="s">
        <v>26</v>
      </c>
      <c r="I7" s="67"/>
      <c r="J7" s="66">
        <v>1</v>
      </c>
      <c r="M7" s="40">
        <v>1</v>
      </c>
      <c r="Q7" s="67"/>
    </row>
    <row r="8" spans="2:17" thickBot="1" x14ac:dyDescent="0.3">
      <c r="B8" s="75">
        <v>7</v>
      </c>
      <c r="C8" s="75" t="s">
        <v>682</v>
      </c>
      <c r="D8" s="2" t="s">
        <v>1421</v>
      </c>
      <c r="E8" s="67">
        <v>29</v>
      </c>
      <c r="F8" s="67">
        <v>11</v>
      </c>
      <c r="G8" s="67">
        <v>3</v>
      </c>
      <c r="H8" s="67" t="s">
        <v>26</v>
      </c>
      <c r="I8" s="67"/>
      <c r="J8" s="66">
        <v>1</v>
      </c>
      <c r="M8" s="40">
        <v>1</v>
      </c>
      <c r="Q8" s="67"/>
    </row>
    <row r="9" spans="2:17" thickBot="1" x14ac:dyDescent="0.3">
      <c r="B9" s="75">
        <v>8</v>
      </c>
      <c r="C9" s="77" t="s">
        <v>1194</v>
      </c>
      <c r="D9" s="2" t="s">
        <v>1420</v>
      </c>
      <c r="E9" s="67">
        <v>29</v>
      </c>
      <c r="F9" s="67">
        <v>7</v>
      </c>
      <c r="G9" s="67">
        <v>3</v>
      </c>
      <c r="H9" s="67" t="s">
        <v>26</v>
      </c>
      <c r="I9" s="67"/>
      <c r="J9" s="66">
        <v>1</v>
      </c>
      <c r="Q9" s="67"/>
    </row>
    <row r="10" spans="2:17" thickBot="1" x14ac:dyDescent="0.3">
      <c r="B10" s="75">
        <v>9</v>
      </c>
      <c r="C10" s="77" t="s">
        <v>138</v>
      </c>
      <c r="D10" s="2" t="s">
        <v>1419</v>
      </c>
      <c r="E10" s="67">
        <v>29</v>
      </c>
      <c r="F10" s="67">
        <v>20</v>
      </c>
      <c r="G10" s="67">
        <v>4</v>
      </c>
      <c r="H10" s="67" t="s">
        <v>26</v>
      </c>
      <c r="I10" s="67"/>
      <c r="J10" s="66">
        <v>1</v>
      </c>
      <c r="M10" s="40">
        <v>1</v>
      </c>
      <c r="P10" s="41">
        <v>1</v>
      </c>
      <c r="Q10" s="67"/>
    </row>
    <row r="11" spans="2:17" thickBot="1" x14ac:dyDescent="0.3">
      <c r="B11" s="75">
        <v>10</v>
      </c>
      <c r="C11" s="75" t="s">
        <v>1418</v>
      </c>
      <c r="D11" s="2" t="s">
        <v>1417</v>
      </c>
      <c r="E11" s="67">
        <v>29</v>
      </c>
      <c r="F11" s="67">
        <v>45</v>
      </c>
      <c r="G11" s="67">
        <v>1</v>
      </c>
      <c r="H11" s="67" t="s">
        <v>27</v>
      </c>
      <c r="I11" s="67">
        <v>1</v>
      </c>
      <c r="J11" s="67"/>
      <c r="Q11" s="69" t="s">
        <v>2413</v>
      </c>
    </row>
    <row r="12" spans="2:17" thickBot="1" x14ac:dyDescent="0.3">
      <c r="B12" s="75">
        <v>11</v>
      </c>
      <c r="C12" s="77" t="s">
        <v>137</v>
      </c>
      <c r="D12" s="2" t="s">
        <v>1416</v>
      </c>
      <c r="E12" s="67">
        <v>29</v>
      </c>
      <c r="F12" s="67">
        <v>1</v>
      </c>
      <c r="G12" s="67">
        <v>6</v>
      </c>
      <c r="H12" s="67" t="s">
        <v>26</v>
      </c>
      <c r="I12" s="67"/>
      <c r="J12" s="66">
        <v>1</v>
      </c>
      <c r="M12" s="40">
        <v>1</v>
      </c>
      <c r="Q12" s="67"/>
    </row>
    <row r="13" spans="2:17" ht="36.75" thickBot="1" x14ac:dyDescent="0.3">
      <c r="B13" s="75">
        <v>12</v>
      </c>
      <c r="C13" s="77" t="s">
        <v>362</v>
      </c>
      <c r="D13" s="2" t="s">
        <v>1415</v>
      </c>
      <c r="E13" s="67">
        <v>29</v>
      </c>
      <c r="F13" s="67">
        <v>23</v>
      </c>
      <c r="G13" s="67">
        <v>6</v>
      </c>
      <c r="H13" s="67" t="s">
        <v>26</v>
      </c>
      <c r="I13" s="67"/>
      <c r="J13" s="66">
        <v>1</v>
      </c>
      <c r="Q13" s="67" t="s">
        <v>431</v>
      </c>
    </row>
    <row r="14" spans="2:17" thickBot="1" x14ac:dyDescent="0.3">
      <c r="B14" s="75">
        <v>13</v>
      </c>
      <c r="C14" s="75" t="s">
        <v>1414</v>
      </c>
      <c r="D14" s="2" t="s">
        <v>1413</v>
      </c>
      <c r="E14" s="67">
        <v>29</v>
      </c>
      <c r="F14" s="67">
        <v>18</v>
      </c>
      <c r="G14" s="67">
        <v>6</v>
      </c>
      <c r="H14" s="67" t="s">
        <v>26</v>
      </c>
      <c r="I14" s="67"/>
      <c r="J14" s="66">
        <v>1</v>
      </c>
      <c r="M14" s="40">
        <v>1</v>
      </c>
      <c r="Q14" s="67"/>
    </row>
    <row r="15" spans="2:17" thickBot="1" x14ac:dyDescent="0.3">
      <c r="B15" s="75">
        <v>14</v>
      </c>
      <c r="C15" s="77" t="s">
        <v>1369</v>
      </c>
      <c r="D15" s="2" t="s">
        <v>1412</v>
      </c>
      <c r="E15" s="67">
        <v>29</v>
      </c>
      <c r="F15" s="67">
        <v>12</v>
      </c>
      <c r="G15" s="67">
        <v>6</v>
      </c>
      <c r="H15" s="67" t="s">
        <v>26</v>
      </c>
      <c r="I15" s="67"/>
      <c r="J15" s="66">
        <v>1</v>
      </c>
      <c r="M15" s="40">
        <v>1</v>
      </c>
      <c r="Q15" s="67"/>
    </row>
    <row r="16" spans="2:17" thickBot="1" x14ac:dyDescent="0.3">
      <c r="B16" s="75">
        <v>15</v>
      </c>
      <c r="C16" s="77" t="s">
        <v>133</v>
      </c>
      <c r="D16" s="2" t="s">
        <v>1411</v>
      </c>
      <c r="E16" s="67">
        <v>29</v>
      </c>
      <c r="F16" s="67">
        <v>17</v>
      </c>
      <c r="G16" s="67">
        <v>6</v>
      </c>
      <c r="H16" s="67" t="s">
        <v>26</v>
      </c>
      <c r="I16" s="67"/>
      <c r="J16" s="66">
        <v>1</v>
      </c>
      <c r="M16" s="40">
        <v>1</v>
      </c>
      <c r="Q16" s="67"/>
    </row>
    <row r="17" spans="2:17" thickBot="1" x14ac:dyDescent="0.3">
      <c r="B17" s="75">
        <v>16</v>
      </c>
      <c r="C17" s="75" t="s">
        <v>1410</v>
      </c>
      <c r="D17" s="2" t="s">
        <v>1409</v>
      </c>
      <c r="E17" s="67">
        <v>29</v>
      </c>
      <c r="F17" s="67">
        <v>15</v>
      </c>
      <c r="G17" s="67">
        <v>6</v>
      </c>
      <c r="H17" s="67" t="s">
        <v>26</v>
      </c>
      <c r="I17" s="67"/>
      <c r="J17" s="66">
        <v>1</v>
      </c>
      <c r="M17" s="40">
        <v>1</v>
      </c>
      <c r="Q17" s="67"/>
    </row>
    <row r="18" spans="2:17" thickBot="1" x14ac:dyDescent="0.3">
      <c r="B18" s="75">
        <v>17</v>
      </c>
      <c r="C18" s="77" t="s">
        <v>402</v>
      </c>
      <c r="D18" s="2" t="s">
        <v>1408</v>
      </c>
      <c r="E18" s="67">
        <v>29</v>
      </c>
      <c r="F18" s="67">
        <v>19</v>
      </c>
      <c r="G18" s="67">
        <v>5</v>
      </c>
      <c r="H18" s="67" t="s">
        <v>26</v>
      </c>
      <c r="I18" s="67"/>
      <c r="J18" s="66">
        <v>1</v>
      </c>
      <c r="M18" s="40">
        <v>1</v>
      </c>
      <c r="Q18" s="67"/>
    </row>
    <row r="19" spans="2:17" thickBot="1" x14ac:dyDescent="0.3">
      <c r="B19" s="75">
        <v>18</v>
      </c>
      <c r="C19" s="77" t="s">
        <v>1407</v>
      </c>
      <c r="D19" s="2" t="s">
        <v>1031</v>
      </c>
      <c r="E19" s="67">
        <v>29</v>
      </c>
      <c r="F19" s="67">
        <v>21</v>
      </c>
      <c r="G19" s="67">
        <v>5</v>
      </c>
      <c r="H19" s="67" t="s">
        <v>26</v>
      </c>
      <c r="I19" s="67"/>
      <c r="J19" s="66">
        <v>1</v>
      </c>
      <c r="M19" s="40">
        <v>1</v>
      </c>
      <c r="Q19" s="67"/>
    </row>
    <row r="20" spans="2:17" thickBot="1" x14ac:dyDescent="0.3">
      <c r="B20" s="75">
        <v>19</v>
      </c>
      <c r="C20" s="75" t="s">
        <v>143</v>
      </c>
      <c r="D20" s="2" t="s">
        <v>1406</v>
      </c>
      <c r="E20" s="67">
        <v>29</v>
      </c>
      <c r="F20" s="67">
        <v>15</v>
      </c>
      <c r="G20" s="67">
        <v>5</v>
      </c>
      <c r="H20" s="67" t="s">
        <v>26</v>
      </c>
      <c r="I20" s="67"/>
      <c r="J20" s="66">
        <v>1</v>
      </c>
      <c r="M20" s="40">
        <v>1</v>
      </c>
      <c r="Q20" s="67"/>
    </row>
    <row r="21" spans="2:17" thickBot="1" x14ac:dyDescent="0.3">
      <c r="B21" s="75">
        <v>20</v>
      </c>
      <c r="C21" s="77" t="s">
        <v>253</v>
      </c>
      <c r="D21" s="2" t="s">
        <v>1405</v>
      </c>
      <c r="E21" s="67">
        <v>29</v>
      </c>
      <c r="F21" s="67">
        <v>31</v>
      </c>
      <c r="G21" s="67">
        <v>2</v>
      </c>
      <c r="H21" s="67" t="s">
        <v>26</v>
      </c>
      <c r="I21" s="67"/>
      <c r="J21" s="66">
        <v>1</v>
      </c>
      <c r="M21" s="40">
        <v>1</v>
      </c>
      <c r="Q21" s="67"/>
    </row>
    <row r="22" spans="2:17" thickBot="1" x14ac:dyDescent="0.3">
      <c r="B22" s="75">
        <v>21</v>
      </c>
      <c r="C22" s="77" t="s">
        <v>128</v>
      </c>
      <c r="D22" s="2" t="s">
        <v>1404</v>
      </c>
      <c r="E22" s="67">
        <v>29</v>
      </c>
      <c r="F22" s="67">
        <v>17</v>
      </c>
      <c r="G22" s="67">
        <v>5</v>
      </c>
      <c r="H22" s="67" t="s">
        <v>26</v>
      </c>
      <c r="I22" s="67"/>
      <c r="J22" s="66">
        <v>1</v>
      </c>
      <c r="M22" s="40">
        <v>1</v>
      </c>
      <c r="Q22" s="67"/>
    </row>
    <row r="23" spans="2:17" thickBot="1" x14ac:dyDescent="0.3">
      <c r="B23" s="75">
        <v>22</v>
      </c>
      <c r="C23" s="75" t="s">
        <v>682</v>
      </c>
      <c r="D23" s="2" t="s">
        <v>1403</v>
      </c>
      <c r="E23" s="67">
        <v>29</v>
      </c>
      <c r="F23" s="67">
        <v>8</v>
      </c>
      <c r="G23" s="67">
        <v>4</v>
      </c>
      <c r="H23" s="67" t="s">
        <v>26</v>
      </c>
      <c r="I23" s="67"/>
      <c r="J23" s="66">
        <v>1</v>
      </c>
      <c r="M23" s="40">
        <v>1</v>
      </c>
      <c r="Q23" s="67"/>
    </row>
    <row r="24" spans="2:17" thickBot="1" x14ac:dyDescent="0.3">
      <c r="B24" s="75">
        <v>23</v>
      </c>
      <c r="C24" s="77" t="s">
        <v>815</v>
      </c>
      <c r="D24" s="2" t="s">
        <v>1402</v>
      </c>
      <c r="E24" s="67">
        <v>29</v>
      </c>
      <c r="F24" s="67">
        <v>52</v>
      </c>
      <c r="G24" s="67">
        <v>3</v>
      </c>
      <c r="H24" s="67" t="s">
        <v>26</v>
      </c>
      <c r="I24" s="67"/>
      <c r="J24" s="66">
        <v>1</v>
      </c>
      <c r="M24" s="40">
        <v>1</v>
      </c>
      <c r="Q24" s="67"/>
    </row>
    <row r="25" spans="2:17" thickBot="1" x14ac:dyDescent="0.3">
      <c r="B25" s="75">
        <v>24</v>
      </c>
      <c r="C25" s="77" t="s">
        <v>166</v>
      </c>
      <c r="D25" s="2" t="s">
        <v>698</v>
      </c>
      <c r="E25" s="67">
        <v>29</v>
      </c>
      <c r="F25" s="67">
        <v>26</v>
      </c>
      <c r="G25" s="67">
        <v>3</v>
      </c>
      <c r="H25" s="67" t="s">
        <v>26</v>
      </c>
      <c r="I25" s="67"/>
      <c r="J25" s="66">
        <v>1</v>
      </c>
      <c r="M25" s="40">
        <v>1</v>
      </c>
      <c r="Q25" s="67"/>
    </row>
    <row r="26" spans="2:17" thickBot="1" x14ac:dyDescent="0.3">
      <c r="B26" s="75">
        <v>25</v>
      </c>
      <c r="C26" s="75" t="s">
        <v>137</v>
      </c>
      <c r="D26" s="2" t="s">
        <v>515</v>
      </c>
      <c r="E26" s="67">
        <v>29</v>
      </c>
      <c r="F26" s="67">
        <v>6</v>
      </c>
      <c r="G26" s="67">
        <v>5</v>
      </c>
      <c r="H26" s="67" t="s">
        <v>26</v>
      </c>
      <c r="I26" s="67"/>
      <c r="J26" s="66">
        <v>1</v>
      </c>
      <c r="M26" s="40">
        <v>1</v>
      </c>
      <c r="Q26" s="67"/>
    </row>
    <row r="27" spans="2:17" thickBot="1" x14ac:dyDescent="0.3">
      <c r="B27" s="75">
        <v>26</v>
      </c>
      <c r="C27" s="77" t="s">
        <v>1085</v>
      </c>
      <c r="D27" s="2" t="s">
        <v>1401</v>
      </c>
      <c r="E27" s="67">
        <v>29</v>
      </c>
      <c r="F27" s="67">
        <v>39</v>
      </c>
      <c r="G27" s="67">
        <v>4</v>
      </c>
      <c r="H27" s="67" t="s">
        <v>26</v>
      </c>
      <c r="I27" s="67"/>
      <c r="J27" s="66">
        <v>1</v>
      </c>
      <c r="M27" s="40">
        <v>1</v>
      </c>
      <c r="Q27" s="67"/>
    </row>
    <row r="28" spans="2:17" thickBot="1" x14ac:dyDescent="0.3">
      <c r="B28" s="75">
        <v>27</v>
      </c>
      <c r="C28" s="77" t="s">
        <v>697</v>
      </c>
      <c r="D28" s="2" t="s">
        <v>1400</v>
      </c>
      <c r="E28" s="67">
        <v>29</v>
      </c>
      <c r="F28" s="67">
        <v>9</v>
      </c>
      <c r="G28" s="67">
        <v>5</v>
      </c>
      <c r="H28" s="67" t="s">
        <v>26</v>
      </c>
      <c r="I28" s="67"/>
      <c r="J28" s="66">
        <v>1</v>
      </c>
      <c r="M28" s="40">
        <v>1</v>
      </c>
      <c r="Q28" s="67"/>
    </row>
    <row r="29" spans="2:17" thickBot="1" x14ac:dyDescent="0.3">
      <c r="B29" s="75">
        <v>28</v>
      </c>
      <c r="C29" s="75" t="s">
        <v>1399</v>
      </c>
      <c r="D29" s="2" t="s">
        <v>398</v>
      </c>
      <c r="E29" s="67">
        <v>29</v>
      </c>
      <c r="F29" s="67">
        <v>23</v>
      </c>
      <c r="G29" s="68">
        <v>1</v>
      </c>
      <c r="H29" s="67" t="s">
        <v>26</v>
      </c>
      <c r="I29" s="67"/>
      <c r="J29" s="66">
        <v>1</v>
      </c>
      <c r="M29" s="40">
        <v>1</v>
      </c>
      <c r="Q29" s="67"/>
    </row>
    <row r="30" spans="2:17" thickBot="1" x14ac:dyDescent="0.3">
      <c r="B30" s="75">
        <v>29</v>
      </c>
      <c r="C30" s="77" t="s">
        <v>1398</v>
      </c>
      <c r="D30" s="2" t="s">
        <v>1397</v>
      </c>
      <c r="E30" s="67">
        <v>29</v>
      </c>
      <c r="F30" s="67">
        <v>48</v>
      </c>
      <c r="G30" s="67">
        <v>3</v>
      </c>
      <c r="H30" s="67" t="s">
        <v>26</v>
      </c>
      <c r="I30" s="67"/>
      <c r="J30" s="66">
        <v>1</v>
      </c>
      <c r="M30" s="40">
        <v>1</v>
      </c>
      <c r="Q30" s="67"/>
    </row>
    <row r="31" spans="2:17" thickBot="1" x14ac:dyDescent="0.3">
      <c r="B31" s="75">
        <v>30</v>
      </c>
      <c r="C31" s="77" t="s">
        <v>123</v>
      </c>
      <c r="D31" s="2" t="s">
        <v>761</v>
      </c>
      <c r="E31" s="67">
        <v>29</v>
      </c>
      <c r="F31" s="67">
        <v>51</v>
      </c>
      <c r="G31" s="67">
        <v>2</v>
      </c>
      <c r="H31" s="67" t="s">
        <v>26</v>
      </c>
      <c r="I31" s="67"/>
      <c r="J31" s="66">
        <v>1</v>
      </c>
      <c r="M31" s="40">
        <v>1</v>
      </c>
      <c r="Q31" s="67"/>
    </row>
    <row r="32" spans="2:17" thickBot="1" x14ac:dyDescent="0.3">
      <c r="B32" s="75">
        <v>31</v>
      </c>
      <c r="C32" s="75" t="s">
        <v>132</v>
      </c>
      <c r="D32" s="2" t="s">
        <v>1396</v>
      </c>
      <c r="E32" s="67">
        <v>29</v>
      </c>
      <c r="F32" s="67">
        <v>11</v>
      </c>
      <c r="G32" s="67">
        <v>5</v>
      </c>
      <c r="H32" s="67" t="s">
        <v>26</v>
      </c>
      <c r="I32" s="67"/>
      <c r="J32" s="66">
        <v>1</v>
      </c>
      <c r="M32" s="40">
        <v>1</v>
      </c>
      <c r="Q32" s="67"/>
    </row>
    <row r="33" spans="2:17" thickBot="1" x14ac:dyDescent="0.3">
      <c r="B33" s="75">
        <v>32</v>
      </c>
      <c r="C33" s="77" t="s">
        <v>296</v>
      </c>
      <c r="D33" s="2" t="s">
        <v>689</v>
      </c>
      <c r="E33" s="67">
        <v>29</v>
      </c>
      <c r="F33" s="67">
        <v>47</v>
      </c>
      <c r="G33" s="67">
        <v>3</v>
      </c>
      <c r="H33" s="67" t="s">
        <v>27</v>
      </c>
      <c r="I33" s="67">
        <v>1</v>
      </c>
      <c r="J33" s="67"/>
      <c r="Q33" s="67"/>
    </row>
    <row r="34" spans="2:17" thickBot="1" x14ac:dyDescent="0.3">
      <c r="B34" s="75">
        <v>33</v>
      </c>
      <c r="C34" s="77" t="s">
        <v>143</v>
      </c>
      <c r="D34" s="2" t="s">
        <v>1395</v>
      </c>
      <c r="E34" s="67">
        <v>29</v>
      </c>
      <c r="F34" s="67">
        <v>5</v>
      </c>
      <c r="G34" s="67">
        <v>3</v>
      </c>
      <c r="H34" s="67" t="s">
        <v>26</v>
      </c>
      <c r="I34" s="67"/>
      <c r="J34" s="66">
        <v>1</v>
      </c>
      <c r="M34" s="40">
        <v>1</v>
      </c>
      <c r="Q34" s="67"/>
    </row>
    <row r="35" spans="2:17" thickBot="1" x14ac:dyDescent="0.3">
      <c r="B35" s="75">
        <v>34</v>
      </c>
      <c r="C35" s="75" t="s">
        <v>224</v>
      </c>
      <c r="D35" s="2" t="s">
        <v>1394</v>
      </c>
      <c r="E35" s="67">
        <v>29</v>
      </c>
      <c r="F35" s="67">
        <v>37</v>
      </c>
      <c r="G35" s="67">
        <v>4</v>
      </c>
      <c r="H35" s="67" t="s">
        <v>26</v>
      </c>
      <c r="I35" s="67"/>
      <c r="J35" s="66">
        <v>1</v>
      </c>
      <c r="M35" s="40">
        <v>1</v>
      </c>
      <c r="Q35" s="67"/>
    </row>
    <row r="36" spans="2:17" thickBot="1" x14ac:dyDescent="0.3">
      <c r="B36" s="75">
        <v>35</v>
      </c>
      <c r="C36" s="77" t="s">
        <v>815</v>
      </c>
      <c r="D36" s="2" t="s">
        <v>1393</v>
      </c>
      <c r="E36" s="67">
        <v>29</v>
      </c>
      <c r="F36" s="67">
        <v>3</v>
      </c>
      <c r="G36" s="67">
        <v>3</v>
      </c>
      <c r="H36" s="67" t="s">
        <v>26</v>
      </c>
      <c r="I36" s="67"/>
      <c r="J36" s="66">
        <v>1</v>
      </c>
      <c r="M36" s="40">
        <v>1</v>
      </c>
      <c r="Q36" s="67"/>
    </row>
    <row r="37" spans="2:17" thickBot="1" x14ac:dyDescent="0.3">
      <c r="B37" s="75">
        <v>36</v>
      </c>
      <c r="C37" s="77" t="s">
        <v>125</v>
      </c>
      <c r="D37" s="2" t="s">
        <v>1392</v>
      </c>
      <c r="E37" s="67">
        <v>29</v>
      </c>
      <c r="F37" s="67">
        <v>18</v>
      </c>
      <c r="G37" s="67">
        <v>5</v>
      </c>
      <c r="H37" s="67" t="s">
        <v>26</v>
      </c>
      <c r="I37" s="67"/>
      <c r="J37" s="66">
        <v>1</v>
      </c>
      <c r="M37" s="40">
        <v>1</v>
      </c>
      <c r="Q37" s="67"/>
    </row>
    <row r="38" spans="2:17" ht="36.75" thickBot="1" x14ac:dyDescent="0.3">
      <c r="B38" s="75">
        <v>37</v>
      </c>
      <c r="C38" s="75" t="s">
        <v>136</v>
      </c>
      <c r="D38" s="2" t="s">
        <v>1391</v>
      </c>
      <c r="E38" s="67">
        <v>29</v>
      </c>
      <c r="F38" s="67">
        <v>5</v>
      </c>
      <c r="G38" s="67">
        <v>5</v>
      </c>
      <c r="H38" s="67" t="s">
        <v>27</v>
      </c>
      <c r="I38" s="67">
        <v>1</v>
      </c>
      <c r="J38" s="67"/>
      <c r="P38" s="41">
        <v>1</v>
      </c>
      <c r="Q38" s="67" t="s">
        <v>432</v>
      </c>
    </row>
    <row r="39" spans="2:17" thickBot="1" x14ac:dyDescent="0.3">
      <c r="B39" s="75">
        <v>38</v>
      </c>
      <c r="C39" s="77" t="s">
        <v>832</v>
      </c>
      <c r="D39" s="2" t="s">
        <v>641</v>
      </c>
      <c r="E39" s="67">
        <v>29</v>
      </c>
      <c r="F39" s="67">
        <v>35</v>
      </c>
      <c r="G39" s="67">
        <v>1</v>
      </c>
      <c r="H39" s="67" t="s">
        <v>27</v>
      </c>
      <c r="I39" s="67">
        <v>1</v>
      </c>
      <c r="J39" s="67"/>
      <c r="P39" s="41">
        <v>1</v>
      </c>
      <c r="Q39" s="67"/>
    </row>
    <row r="40" spans="2:17" thickBot="1" x14ac:dyDescent="0.3">
      <c r="B40" s="75">
        <v>39</v>
      </c>
      <c r="C40" s="77" t="s">
        <v>125</v>
      </c>
      <c r="D40" s="2" t="s">
        <v>1390</v>
      </c>
      <c r="E40" s="67">
        <v>29</v>
      </c>
      <c r="F40" s="67">
        <v>1</v>
      </c>
      <c r="G40" s="67">
        <v>2</v>
      </c>
      <c r="H40" s="67" t="s">
        <v>27</v>
      </c>
      <c r="I40" s="67">
        <v>1</v>
      </c>
      <c r="J40" s="67"/>
      <c r="P40" s="41">
        <v>1</v>
      </c>
      <c r="Q40" s="67"/>
    </row>
    <row r="41" spans="2:17" thickBot="1" x14ac:dyDescent="0.3">
      <c r="B41" s="75">
        <v>40</v>
      </c>
      <c r="C41" s="75" t="s">
        <v>1389</v>
      </c>
      <c r="D41" s="2" t="s">
        <v>1388</v>
      </c>
      <c r="E41" s="67">
        <v>29</v>
      </c>
      <c r="F41" s="67">
        <v>9</v>
      </c>
      <c r="G41" s="67">
        <v>2</v>
      </c>
      <c r="H41" s="67" t="s">
        <v>27</v>
      </c>
      <c r="I41" s="67">
        <v>1</v>
      </c>
      <c r="J41" s="67"/>
      <c r="P41" s="41">
        <v>1</v>
      </c>
      <c r="Q41" s="67"/>
    </row>
    <row r="42" spans="2:17" thickBot="1" x14ac:dyDescent="0.3">
      <c r="B42" s="75">
        <v>41</v>
      </c>
      <c r="C42" s="77" t="s">
        <v>1286</v>
      </c>
      <c r="D42" s="2" t="s">
        <v>1387</v>
      </c>
      <c r="E42" s="67">
        <v>29</v>
      </c>
      <c r="F42" s="67">
        <v>20</v>
      </c>
      <c r="G42" s="67">
        <v>2</v>
      </c>
      <c r="H42" s="67" t="s">
        <v>27</v>
      </c>
      <c r="I42" s="67">
        <v>1</v>
      </c>
      <c r="J42" s="67"/>
      <c r="P42" s="41">
        <v>1</v>
      </c>
      <c r="Q42" s="67"/>
    </row>
    <row r="43" spans="2:17" thickBot="1" x14ac:dyDescent="0.3">
      <c r="B43" s="75">
        <v>42</v>
      </c>
      <c r="C43" s="77" t="s">
        <v>135</v>
      </c>
      <c r="D43" s="2" t="s">
        <v>1386</v>
      </c>
      <c r="E43" s="67">
        <v>29</v>
      </c>
      <c r="F43" s="67">
        <v>43</v>
      </c>
      <c r="G43" s="67">
        <v>3</v>
      </c>
      <c r="H43" s="67" t="s">
        <v>27</v>
      </c>
      <c r="I43" s="67">
        <v>1</v>
      </c>
      <c r="J43" s="67"/>
      <c r="P43" s="41">
        <v>1</v>
      </c>
      <c r="Q43" s="67"/>
    </row>
    <row r="44" spans="2:17" thickBot="1" x14ac:dyDescent="0.3">
      <c r="B44" s="75">
        <v>43</v>
      </c>
      <c r="C44" s="75" t="s">
        <v>640</v>
      </c>
      <c r="D44" s="2" t="s">
        <v>1385</v>
      </c>
      <c r="E44" s="67">
        <v>29</v>
      </c>
      <c r="F44" s="67">
        <v>46</v>
      </c>
      <c r="G44" s="67">
        <v>3</v>
      </c>
      <c r="H44" s="67" t="s">
        <v>27</v>
      </c>
      <c r="I44" s="67">
        <v>1</v>
      </c>
      <c r="J44" s="67"/>
      <c r="P44" s="41">
        <v>1</v>
      </c>
      <c r="Q44" s="67"/>
    </row>
    <row r="45" spans="2:17" thickBot="1" x14ac:dyDescent="0.3">
      <c r="B45" s="75">
        <v>44</v>
      </c>
      <c r="C45" s="77" t="s">
        <v>716</v>
      </c>
      <c r="D45" s="2" t="s">
        <v>515</v>
      </c>
      <c r="E45" s="67">
        <v>29</v>
      </c>
      <c r="F45" s="67">
        <v>21</v>
      </c>
      <c r="G45" s="67">
        <v>4</v>
      </c>
      <c r="H45" s="67" t="s">
        <v>27</v>
      </c>
      <c r="I45" s="67">
        <v>1</v>
      </c>
      <c r="J45" s="67"/>
      <c r="P45" s="41">
        <v>1</v>
      </c>
      <c r="Q45" s="67"/>
    </row>
    <row r="46" spans="2:17" thickBot="1" x14ac:dyDescent="0.3">
      <c r="B46" s="75">
        <v>45</v>
      </c>
      <c r="C46" s="77" t="s">
        <v>125</v>
      </c>
      <c r="D46" s="2" t="s">
        <v>1384</v>
      </c>
      <c r="E46" s="67">
        <v>29</v>
      </c>
      <c r="F46" s="67">
        <v>38</v>
      </c>
      <c r="G46" s="67">
        <v>4</v>
      </c>
      <c r="H46" s="67" t="s">
        <v>27</v>
      </c>
      <c r="I46" s="67">
        <v>1</v>
      </c>
      <c r="J46" s="67"/>
      <c r="P46" s="41">
        <v>1</v>
      </c>
      <c r="Q46" s="67"/>
    </row>
    <row r="47" spans="2:17" thickBot="1" x14ac:dyDescent="0.3">
      <c r="B47" s="75">
        <v>46</v>
      </c>
      <c r="C47" s="75" t="s">
        <v>284</v>
      </c>
      <c r="D47" s="2" t="s">
        <v>1378</v>
      </c>
      <c r="E47" s="67">
        <v>29</v>
      </c>
      <c r="F47" s="67">
        <v>25</v>
      </c>
      <c r="G47" s="67">
        <v>5</v>
      </c>
      <c r="H47" s="67" t="s">
        <v>27</v>
      </c>
      <c r="I47" s="67">
        <v>1</v>
      </c>
      <c r="J47" s="67"/>
      <c r="P47" s="41">
        <v>1</v>
      </c>
      <c r="Q47" s="67"/>
    </row>
    <row r="48" spans="2:17" thickBot="1" x14ac:dyDescent="0.3">
      <c r="B48" s="75">
        <v>47</v>
      </c>
      <c r="C48" s="77" t="s">
        <v>483</v>
      </c>
      <c r="D48" s="2" t="s">
        <v>910</v>
      </c>
      <c r="E48" s="67">
        <v>29</v>
      </c>
      <c r="F48" s="67">
        <v>37</v>
      </c>
      <c r="G48" s="67">
        <v>6</v>
      </c>
      <c r="H48" s="67" t="s">
        <v>27</v>
      </c>
      <c r="I48" s="67">
        <v>1</v>
      </c>
      <c r="J48" s="67"/>
      <c r="P48" s="41">
        <v>1</v>
      </c>
      <c r="Q48" s="67"/>
    </row>
    <row r="49" spans="1:17" thickBot="1" x14ac:dyDescent="0.3">
      <c r="B49" s="75">
        <v>48</v>
      </c>
      <c r="C49" s="77" t="s">
        <v>1383</v>
      </c>
      <c r="D49" s="2" t="s">
        <v>383</v>
      </c>
      <c r="E49" s="67">
        <v>29</v>
      </c>
      <c r="F49" s="67">
        <v>40</v>
      </c>
      <c r="G49" s="67">
        <v>6</v>
      </c>
      <c r="H49" s="67" t="s">
        <v>27</v>
      </c>
      <c r="I49" s="67">
        <v>1</v>
      </c>
      <c r="J49" s="67"/>
      <c r="P49" s="41">
        <v>1</v>
      </c>
      <c r="Q49" s="67"/>
    </row>
    <row r="50" spans="1:17" thickBot="1" x14ac:dyDescent="0.3">
      <c r="B50" s="75">
        <v>49</v>
      </c>
      <c r="C50" s="75" t="s">
        <v>128</v>
      </c>
      <c r="D50" s="2" t="s">
        <v>1161</v>
      </c>
      <c r="E50" s="67">
        <v>29</v>
      </c>
      <c r="F50" s="67">
        <v>41</v>
      </c>
      <c r="G50" s="67">
        <v>6</v>
      </c>
      <c r="H50" s="67" t="s">
        <v>27</v>
      </c>
      <c r="I50" s="67">
        <v>1</v>
      </c>
      <c r="J50" s="67"/>
      <c r="P50" s="41">
        <v>1</v>
      </c>
      <c r="Q50" s="67"/>
    </row>
    <row r="51" spans="1:17" thickBot="1" x14ac:dyDescent="0.3">
      <c r="B51" s="75">
        <v>50</v>
      </c>
      <c r="C51" s="77" t="s">
        <v>280</v>
      </c>
      <c r="D51" s="2" t="s">
        <v>1382</v>
      </c>
      <c r="E51" s="67">
        <v>29</v>
      </c>
      <c r="F51" s="67">
        <v>42</v>
      </c>
      <c r="G51" s="67">
        <v>6</v>
      </c>
      <c r="H51" s="67" t="s">
        <v>27</v>
      </c>
      <c r="I51" s="67">
        <v>1</v>
      </c>
      <c r="J51" s="67"/>
      <c r="P51" s="41">
        <v>1</v>
      </c>
      <c r="Q51" s="67"/>
    </row>
    <row r="52" spans="1:17" thickBot="1" x14ac:dyDescent="0.3">
      <c r="B52" s="75">
        <v>51</v>
      </c>
      <c r="C52" s="77" t="s">
        <v>1381</v>
      </c>
      <c r="D52" s="2" t="s">
        <v>1380</v>
      </c>
      <c r="E52" s="67">
        <v>29</v>
      </c>
      <c r="F52" s="67">
        <v>43</v>
      </c>
      <c r="G52" s="67">
        <v>6</v>
      </c>
      <c r="H52" s="67" t="s">
        <v>27</v>
      </c>
      <c r="I52" s="67">
        <v>1</v>
      </c>
      <c r="J52" s="67"/>
      <c r="P52" s="41">
        <v>1</v>
      </c>
      <c r="Q52" s="67"/>
    </row>
    <row r="53" spans="1:17" thickBot="1" x14ac:dyDescent="0.3">
      <c r="B53" s="75">
        <v>52</v>
      </c>
      <c r="C53" s="75" t="s">
        <v>891</v>
      </c>
      <c r="D53" s="2" t="s">
        <v>1312</v>
      </c>
      <c r="E53" s="67">
        <v>29</v>
      </c>
      <c r="F53" s="67">
        <v>48</v>
      </c>
      <c r="G53" s="67">
        <v>6</v>
      </c>
      <c r="H53" s="67" t="s">
        <v>27</v>
      </c>
      <c r="I53" s="67">
        <v>1</v>
      </c>
      <c r="J53" s="67"/>
      <c r="P53" s="41">
        <v>1</v>
      </c>
      <c r="Q53" s="67"/>
    </row>
    <row r="54" spans="1:17" thickBot="1" x14ac:dyDescent="0.3">
      <c r="A54" s="96"/>
      <c r="B54" s="75">
        <v>53</v>
      </c>
      <c r="C54" s="75" t="s">
        <v>799</v>
      </c>
      <c r="D54" s="2" t="s">
        <v>1379</v>
      </c>
      <c r="E54" s="67">
        <v>29</v>
      </c>
      <c r="F54" s="67">
        <v>16</v>
      </c>
      <c r="G54" s="67">
        <v>2</v>
      </c>
      <c r="H54" s="67" t="s">
        <v>27</v>
      </c>
      <c r="I54" s="67">
        <v>1</v>
      </c>
      <c r="J54" s="67"/>
      <c r="Q54" s="67"/>
    </row>
    <row r="55" spans="1:17" ht="30.75" thickBot="1" x14ac:dyDescent="0.3">
      <c r="A55" s="101" t="s">
        <v>3302</v>
      </c>
      <c r="B55" s="75">
        <v>54</v>
      </c>
      <c r="C55" s="233" t="s">
        <v>131</v>
      </c>
      <c r="D55" s="234" t="s">
        <v>1378</v>
      </c>
      <c r="E55" s="235">
        <v>29</v>
      </c>
      <c r="F55" s="235">
        <v>26</v>
      </c>
      <c r="G55" s="235">
        <v>5</v>
      </c>
      <c r="H55" s="235" t="s">
        <v>118</v>
      </c>
      <c r="I55" s="235"/>
      <c r="J55" s="235"/>
      <c r="Q55" s="78" t="s">
        <v>434</v>
      </c>
    </row>
    <row r="56" spans="1:17" thickBot="1" x14ac:dyDescent="0.3">
      <c r="A56" s="101" t="s">
        <v>2414</v>
      </c>
      <c r="B56" s="75">
        <v>55</v>
      </c>
      <c r="C56" s="77" t="s">
        <v>138</v>
      </c>
      <c r="D56" s="2" t="s">
        <v>1377</v>
      </c>
      <c r="E56" s="67">
        <v>29</v>
      </c>
      <c r="F56" s="67">
        <v>42</v>
      </c>
      <c r="G56" s="67">
        <v>4</v>
      </c>
      <c r="H56" s="67" t="s">
        <v>27</v>
      </c>
      <c r="I56" s="67">
        <v>1</v>
      </c>
      <c r="J56" s="67"/>
      <c r="Q56" s="67"/>
    </row>
    <row r="57" spans="1:17" thickBot="1" x14ac:dyDescent="0.3">
      <c r="B57" s="75">
        <v>56</v>
      </c>
      <c r="C57" s="75" t="s">
        <v>575</v>
      </c>
      <c r="D57" s="2" t="s">
        <v>1376</v>
      </c>
      <c r="E57" s="67">
        <v>29</v>
      </c>
      <c r="F57" s="67">
        <v>79</v>
      </c>
      <c r="G57" s="67">
        <v>2</v>
      </c>
      <c r="H57" s="67" t="s">
        <v>26</v>
      </c>
      <c r="I57" s="67"/>
      <c r="J57" s="66">
        <v>1</v>
      </c>
      <c r="M57" s="40">
        <v>1</v>
      </c>
      <c r="Q57" s="67"/>
    </row>
    <row r="58" spans="1:17" thickBot="1" x14ac:dyDescent="0.3">
      <c r="B58" s="75">
        <v>57</v>
      </c>
      <c r="C58" s="77" t="s">
        <v>1375</v>
      </c>
      <c r="D58" s="2" t="s">
        <v>1374</v>
      </c>
      <c r="E58" s="67">
        <v>29</v>
      </c>
      <c r="F58" s="67">
        <v>77</v>
      </c>
      <c r="G58" s="67">
        <v>2</v>
      </c>
      <c r="H58" s="67" t="s">
        <v>26</v>
      </c>
      <c r="I58" s="67"/>
      <c r="J58" s="66">
        <v>1</v>
      </c>
      <c r="M58" s="40">
        <v>1</v>
      </c>
      <c r="Q58" s="67"/>
    </row>
    <row r="59" spans="1:17" thickBot="1" x14ac:dyDescent="0.3">
      <c r="B59" s="75">
        <v>58</v>
      </c>
      <c r="C59" s="77" t="s">
        <v>891</v>
      </c>
      <c r="D59" s="2" t="s">
        <v>1373</v>
      </c>
      <c r="E59" s="67">
        <v>29</v>
      </c>
      <c r="F59" s="67">
        <v>73</v>
      </c>
      <c r="G59" s="67">
        <v>2</v>
      </c>
      <c r="H59" s="67" t="s">
        <v>26</v>
      </c>
      <c r="I59" s="67"/>
      <c r="J59" s="66">
        <v>1</v>
      </c>
      <c r="M59" s="40">
        <v>1</v>
      </c>
      <c r="Q59" s="67"/>
    </row>
    <row r="60" spans="1:17" thickBot="1" x14ac:dyDescent="0.3">
      <c r="B60" s="75">
        <v>59</v>
      </c>
      <c r="C60" s="75" t="s">
        <v>778</v>
      </c>
      <c r="D60" s="2" t="s">
        <v>1372</v>
      </c>
      <c r="E60" s="67">
        <v>29</v>
      </c>
      <c r="F60" s="67">
        <v>85</v>
      </c>
      <c r="G60" s="67">
        <v>2</v>
      </c>
      <c r="H60" s="67" t="s">
        <v>26</v>
      </c>
      <c r="I60" s="67"/>
      <c r="J60" s="66">
        <v>1</v>
      </c>
      <c r="M60" s="40">
        <v>1</v>
      </c>
      <c r="Q60" s="67"/>
    </row>
    <row r="61" spans="1:17" thickBot="1" x14ac:dyDescent="0.3">
      <c r="B61" s="75">
        <v>60</v>
      </c>
      <c r="C61" s="77" t="s">
        <v>619</v>
      </c>
      <c r="D61" s="2" t="s">
        <v>1371</v>
      </c>
      <c r="E61" s="67">
        <v>29</v>
      </c>
      <c r="F61" s="67">
        <v>88</v>
      </c>
      <c r="G61" s="67">
        <v>2</v>
      </c>
      <c r="H61" s="67" t="s">
        <v>26</v>
      </c>
      <c r="I61" s="67"/>
      <c r="J61" s="66">
        <v>1</v>
      </c>
      <c r="M61" s="40">
        <v>1</v>
      </c>
      <c r="Q61" s="67"/>
    </row>
    <row r="62" spans="1:17" thickBot="1" x14ac:dyDescent="0.3">
      <c r="B62" s="75">
        <v>61</v>
      </c>
      <c r="C62" s="77" t="s">
        <v>311</v>
      </c>
      <c r="D62" s="2" t="s">
        <v>1370</v>
      </c>
      <c r="E62" s="67">
        <v>29</v>
      </c>
      <c r="F62" s="67">
        <v>93</v>
      </c>
      <c r="G62" s="67">
        <v>2</v>
      </c>
      <c r="H62" s="67" t="s">
        <v>26</v>
      </c>
      <c r="I62" s="67"/>
      <c r="J62" s="66">
        <v>1</v>
      </c>
      <c r="M62" s="40">
        <v>1</v>
      </c>
      <c r="Q62" s="67"/>
    </row>
    <row r="63" spans="1:17" thickBot="1" x14ac:dyDescent="0.3">
      <c r="B63" s="75">
        <v>62</v>
      </c>
      <c r="C63" s="75" t="s">
        <v>1369</v>
      </c>
      <c r="D63" s="2" t="s">
        <v>1368</v>
      </c>
      <c r="E63" s="67">
        <v>29</v>
      </c>
      <c r="F63" s="67">
        <v>112</v>
      </c>
      <c r="G63" s="67">
        <v>2</v>
      </c>
      <c r="H63" s="67" t="s">
        <v>26</v>
      </c>
      <c r="I63" s="67"/>
      <c r="J63" s="66">
        <v>1</v>
      </c>
      <c r="M63" s="40">
        <v>1</v>
      </c>
      <c r="Q63" s="67"/>
    </row>
    <row r="64" spans="1:17" thickBot="1" x14ac:dyDescent="0.3">
      <c r="B64" s="75">
        <v>63</v>
      </c>
      <c r="C64" s="77" t="s">
        <v>731</v>
      </c>
      <c r="D64" s="2" t="s">
        <v>628</v>
      </c>
      <c r="E64" s="67">
        <v>29</v>
      </c>
      <c r="F64" s="67">
        <v>103</v>
      </c>
      <c r="G64" s="67">
        <v>2</v>
      </c>
      <c r="H64" s="67" t="s">
        <v>26</v>
      </c>
      <c r="I64" s="67"/>
      <c r="J64" s="66">
        <v>1</v>
      </c>
      <c r="M64" s="40">
        <v>1</v>
      </c>
      <c r="Q64" s="67"/>
    </row>
    <row r="65" spans="2:17" thickBot="1" x14ac:dyDescent="0.3">
      <c r="B65" s="75">
        <v>64</v>
      </c>
      <c r="C65" s="77" t="s">
        <v>128</v>
      </c>
      <c r="D65" s="2" t="s">
        <v>1367</v>
      </c>
      <c r="E65" s="67">
        <v>29</v>
      </c>
      <c r="F65" s="67">
        <v>64</v>
      </c>
      <c r="G65" s="67">
        <v>1</v>
      </c>
      <c r="H65" s="67" t="s">
        <v>26</v>
      </c>
      <c r="I65" s="67"/>
      <c r="J65" s="66">
        <v>1</v>
      </c>
      <c r="M65" s="40">
        <v>1</v>
      </c>
      <c r="Q65" s="67"/>
    </row>
    <row r="66" spans="2:17" thickBot="1" x14ac:dyDescent="0.3">
      <c r="B66" s="75">
        <v>65</v>
      </c>
      <c r="C66" s="75" t="s">
        <v>138</v>
      </c>
      <c r="D66" s="2" t="s">
        <v>1366</v>
      </c>
      <c r="E66" s="67">
        <v>29</v>
      </c>
      <c r="F66" s="67">
        <v>86</v>
      </c>
      <c r="G66" s="67">
        <v>1</v>
      </c>
      <c r="H66" s="67" t="s">
        <v>26</v>
      </c>
      <c r="I66" s="67"/>
      <c r="J66" s="66">
        <v>1</v>
      </c>
      <c r="M66" s="40">
        <v>1</v>
      </c>
      <c r="Q66" s="67"/>
    </row>
    <row r="67" spans="2:17" thickBot="1" x14ac:dyDescent="0.3">
      <c r="B67" s="75">
        <v>66</v>
      </c>
      <c r="C67" s="77" t="s">
        <v>135</v>
      </c>
      <c r="D67" s="2" t="s">
        <v>1365</v>
      </c>
      <c r="E67" s="67">
        <v>29</v>
      </c>
      <c r="F67" s="67">
        <v>76</v>
      </c>
      <c r="G67" s="67">
        <v>6</v>
      </c>
      <c r="H67" s="67" t="s">
        <v>26</v>
      </c>
      <c r="I67" s="67"/>
      <c r="J67" s="66">
        <v>1</v>
      </c>
      <c r="M67" s="40">
        <v>1</v>
      </c>
      <c r="Q67" s="67"/>
    </row>
    <row r="68" spans="2:17" thickBot="1" x14ac:dyDescent="0.3">
      <c r="B68" s="75">
        <v>67</v>
      </c>
      <c r="C68" s="77" t="s">
        <v>143</v>
      </c>
      <c r="D68" s="2" t="s">
        <v>1364</v>
      </c>
      <c r="E68" s="67">
        <v>29</v>
      </c>
      <c r="F68" s="67">
        <v>60</v>
      </c>
      <c r="G68" s="67">
        <v>6</v>
      </c>
      <c r="H68" s="67" t="s">
        <v>26</v>
      </c>
      <c r="I68" s="67"/>
      <c r="J68" s="66">
        <v>1</v>
      </c>
      <c r="M68" s="40">
        <v>1</v>
      </c>
      <c r="Q68" s="67"/>
    </row>
    <row r="69" spans="2:17" thickBot="1" x14ac:dyDescent="0.3">
      <c r="B69" s="75">
        <v>68</v>
      </c>
      <c r="C69" s="75" t="s">
        <v>138</v>
      </c>
      <c r="D69" s="2" t="s">
        <v>1363</v>
      </c>
      <c r="E69" s="67">
        <v>29</v>
      </c>
      <c r="F69" s="67">
        <v>97</v>
      </c>
      <c r="G69" s="67">
        <v>5</v>
      </c>
      <c r="H69" s="67" t="s">
        <v>26</v>
      </c>
      <c r="I69" s="67"/>
      <c r="J69" s="66">
        <v>1</v>
      </c>
      <c r="Q69" s="67"/>
    </row>
    <row r="70" spans="2:17" thickBot="1" x14ac:dyDescent="0.3">
      <c r="B70" s="75">
        <v>69</v>
      </c>
      <c r="C70" s="77" t="s">
        <v>1362</v>
      </c>
      <c r="D70" s="2" t="s">
        <v>1361</v>
      </c>
      <c r="E70" s="67">
        <v>29</v>
      </c>
      <c r="F70" s="67">
        <v>88</v>
      </c>
      <c r="G70" s="67">
        <v>5</v>
      </c>
      <c r="H70" s="67" t="s">
        <v>26</v>
      </c>
      <c r="I70" s="67"/>
      <c r="J70" s="66">
        <v>1</v>
      </c>
      <c r="M70" s="40">
        <v>1</v>
      </c>
      <c r="Q70" s="67"/>
    </row>
    <row r="71" spans="2:17" thickBot="1" x14ac:dyDescent="0.3">
      <c r="B71" s="75">
        <v>70</v>
      </c>
      <c r="C71" s="77" t="s">
        <v>1360</v>
      </c>
      <c r="D71" s="2" t="s">
        <v>383</v>
      </c>
      <c r="E71" s="67">
        <v>29</v>
      </c>
      <c r="F71" s="67">
        <v>83</v>
      </c>
      <c r="G71" s="67">
        <v>6</v>
      </c>
      <c r="H71" s="67" t="s">
        <v>26</v>
      </c>
      <c r="I71" s="67"/>
      <c r="J71" s="66">
        <v>1</v>
      </c>
      <c r="M71" s="40">
        <v>1</v>
      </c>
      <c r="Q71" s="67"/>
    </row>
    <row r="72" spans="2:17" thickBot="1" x14ac:dyDescent="0.3">
      <c r="B72" s="75">
        <v>71</v>
      </c>
      <c r="C72" s="75" t="s">
        <v>1359</v>
      </c>
      <c r="D72" s="2" t="s">
        <v>1358</v>
      </c>
      <c r="E72" s="67">
        <v>29</v>
      </c>
      <c r="F72" s="67">
        <v>111</v>
      </c>
      <c r="G72" s="67">
        <v>3</v>
      </c>
      <c r="H72" s="67" t="s">
        <v>26</v>
      </c>
      <c r="I72" s="67"/>
      <c r="J72" s="66">
        <v>1</v>
      </c>
      <c r="Q72" s="69" t="s">
        <v>2415</v>
      </c>
    </row>
    <row r="73" spans="2:17" thickBot="1" x14ac:dyDescent="0.3">
      <c r="B73" s="75">
        <v>72</v>
      </c>
      <c r="C73" s="77" t="s">
        <v>131</v>
      </c>
      <c r="D73" s="2" t="s">
        <v>1357</v>
      </c>
      <c r="E73" s="67">
        <v>29</v>
      </c>
      <c r="F73" s="67">
        <v>109</v>
      </c>
      <c r="G73" s="67">
        <v>6</v>
      </c>
      <c r="H73" s="67" t="s">
        <v>26</v>
      </c>
      <c r="I73" s="67"/>
      <c r="J73" s="66">
        <v>1</v>
      </c>
      <c r="Q73" s="69" t="s">
        <v>2415</v>
      </c>
    </row>
    <row r="74" spans="2:17" thickBot="1" x14ac:dyDescent="0.3">
      <c r="B74" s="75">
        <v>73</v>
      </c>
      <c r="C74" s="77" t="s">
        <v>135</v>
      </c>
      <c r="D74" s="2" t="s">
        <v>1356</v>
      </c>
      <c r="E74" s="67">
        <v>29</v>
      </c>
      <c r="F74" s="67">
        <v>96</v>
      </c>
      <c r="G74" s="67">
        <v>5</v>
      </c>
      <c r="H74" s="67" t="s">
        <v>26</v>
      </c>
      <c r="I74" s="67"/>
      <c r="J74" s="66">
        <v>1</v>
      </c>
      <c r="M74" s="40">
        <v>1</v>
      </c>
      <c r="Q74" s="67"/>
    </row>
    <row r="75" spans="2:17" thickBot="1" x14ac:dyDescent="0.3">
      <c r="B75" s="75">
        <v>74</v>
      </c>
      <c r="C75" s="75" t="s">
        <v>1246</v>
      </c>
      <c r="D75" s="2" t="s">
        <v>496</v>
      </c>
      <c r="E75" s="67">
        <v>29</v>
      </c>
      <c r="F75" s="67">
        <v>86</v>
      </c>
      <c r="G75" s="67">
        <v>6</v>
      </c>
      <c r="H75" s="67" t="s">
        <v>26</v>
      </c>
      <c r="I75" s="67"/>
      <c r="J75" s="66">
        <v>1</v>
      </c>
      <c r="M75" s="40">
        <v>1</v>
      </c>
      <c r="Q75" s="67"/>
    </row>
    <row r="76" spans="2:17" thickBot="1" x14ac:dyDescent="0.3">
      <c r="B76" s="75">
        <v>75</v>
      </c>
      <c r="C76" s="77" t="s">
        <v>138</v>
      </c>
      <c r="D76" s="2" t="s">
        <v>714</v>
      </c>
      <c r="E76" s="67">
        <v>29</v>
      </c>
      <c r="F76" s="67">
        <v>78</v>
      </c>
      <c r="G76" s="67">
        <v>6</v>
      </c>
      <c r="H76" s="67" t="s">
        <v>26</v>
      </c>
      <c r="I76" s="67"/>
      <c r="J76" s="66">
        <v>1</v>
      </c>
      <c r="M76" s="40">
        <v>1</v>
      </c>
      <c r="Q76" s="67"/>
    </row>
    <row r="77" spans="2:17" thickBot="1" x14ac:dyDescent="0.3">
      <c r="B77" s="75">
        <v>76</v>
      </c>
      <c r="C77" s="77" t="s">
        <v>362</v>
      </c>
      <c r="D77" s="2" t="s">
        <v>1031</v>
      </c>
      <c r="E77" s="67">
        <v>29</v>
      </c>
      <c r="F77" s="67">
        <v>85</v>
      </c>
      <c r="G77" s="67">
        <v>1</v>
      </c>
      <c r="H77" s="67" t="s">
        <v>26</v>
      </c>
      <c r="I77" s="67"/>
      <c r="J77" s="66">
        <v>1</v>
      </c>
      <c r="M77" s="40">
        <v>1</v>
      </c>
      <c r="Q77" s="67"/>
    </row>
    <row r="78" spans="2:17" thickBot="1" x14ac:dyDescent="0.3">
      <c r="B78" s="75">
        <v>77</v>
      </c>
      <c r="C78" s="75" t="s">
        <v>125</v>
      </c>
      <c r="D78" s="2" t="s">
        <v>1355</v>
      </c>
      <c r="E78" s="67">
        <v>29</v>
      </c>
      <c r="F78" s="67">
        <v>110</v>
      </c>
      <c r="G78" s="67">
        <v>3</v>
      </c>
      <c r="H78" s="67" t="s">
        <v>26</v>
      </c>
      <c r="I78" s="67"/>
      <c r="J78" s="66">
        <v>1</v>
      </c>
      <c r="M78" s="40">
        <v>1</v>
      </c>
      <c r="Q78" s="67"/>
    </row>
    <row r="79" spans="2:17" thickBot="1" x14ac:dyDescent="0.3">
      <c r="B79" s="75">
        <v>78</v>
      </c>
      <c r="C79" s="77" t="s">
        <v>1354</v>
      </c>
      <c r="D79" s="2" t="s">
        <v>1353</v>
      </c>
      <c r="E79" s="67">
        <v>29</v>
      </c>
      <c r="F79" s="67">
        <v>79</v>
      </c>
      <c r="G79" s="67">
        <v>3</v>
      </c>
      <c r="H79" s="67" t="s">
        <v>26</v>
      </c>
      <c r="I79" s="67"/>
      <c r="J79" s="66">
        <v>1</v>
      </c>
      <c r="M79" s="40">
        <v>1</v>
      </c>
      <c r="Q79" s="67"/>
    </row>
    <row r="80" spans="2:17" thickBot="1" x14ac:dyDescent="0.3">
      <c r="B80" s="75">
        <v>79</v>
      </c>
      <c r="C80" s="77" t="s">
        <v>584</v>
      </c>
      <c r="D80" s="2" t="s">
        <v>1352</v>
      </c>
      <c r="E80" s="67">
        <v>29</v>
      </c>
      <c r="F80" s="67">
        <v>87</v>
      </c>
      <c r="G80" s="67">
        <v>3</v>
      </c>
      <c r="H80" s="67" t="s">
        <v>26</v>
      </c>
      <c r="I80" s="67"/>
      <c r="J80" s="66">
        <v>1</v>
      </c>
      <c r="M80" s="40">
        <v>1</v>
      </c>
      <c r="Q80" s="67"/>
    </row>
    <row r="81" spans="2:17" thickBot="1" x14ac:dyDescent="0.3">
      <c r="B81" s="75">
        <v>80</v>
      </c>
      <c r="C81" s="75" t="s">
        <v>139</v>
      </c>
      <c r="D81" s="2" t="s">
        <v>1351</v>
      </c>
      <c r="E81" s="67">
        <v>29</v>
      </c>
      <c r="F81" s="67">
        <v>85</v>
      </c>
      <c r="G81" s="67">
        <v>5</v>
      </c>
      <c r="H81" s="67" t="s">
        <v>26</v>
      </c>
      <c r="I81" s="67"/>
      <c r="J81" s="66">
        <v>1</v>
      </c>
      <c r="M81" s="40">
        <v>1</v>
      </c>
      <c r="Q81" s="67"/>
    </row>
    <row r="82" spans="2:17" thickBot="1" x14ac:dyDescent="0.3">
      <c r="B82" s="75">
        <v>81</v>
      </c>
      <c r="C82" s="77" t="s">
        <v>682</v>
      </c>
      <c r="D82" s="2" t="s">
        <v>1350</v>
      </c>
      <c r="E82" s="67">
        <v>29</v>
      </c>
      <c r="F82" s="67">
        <v>81</v>
      </c>
      <c r="G82" s="67">
        <v>3</v>
      </c>
      <c r="H82" s="67" t="s">
        <v>26</v>
      </c>
      <c r="I82" s="67"/>
      <c r="J82" s="66">
        <v>1</v>
      </c>
      <c r="M82" s="40">
        <v>1</v>
      </c>
      <c r="Q82" s="67"/>
    </row>
    <row r="83" spans="2:17" thickBot="1" x14ac:dyDescent="0.3">
      <c r="B83" s="75">
        <v>82</v>
      </c>
      <c r="C83" s="77" t="s">
        <v>197</v>
      </c>
      <c r="D83" s="2" t="s">
        <v>1264</v>
      </c>
      <c r="E83" s="67">
        <v>29</v>
      </c>
      <c r="F83" s="67">
        <v>108</v>
      </c>
      <c r="G83" s="67">
        <v>3</v>
      </c>
      <c r="H83" s="67" t="s">
        <v>26</v>
      </c>
      <c r="I83" s="67"/>
      <c r="J83" s="66">
        <v>1</v>
      </c>
      <c r="M83" s="40">
        <v>1</v>
      </c>
      <c r="Q83" s="67"/>
    </row>
    <row r="84" spans="2:17" thickBot="1" x14ac:dyDescent="0.3">
      <c r="B84" s="75">
        <v>83</v>
      </c>
      <c r="C84" s="75" t="s">
        <v>491</v>
      </c>
      <c r="D84" s="2" t="s">
        <v>1349</v>
      </c>
      <c r="E84" s="67">
        <v>29</v>
      </c>
      <c r="F84" s="67">
        <v>73</v>
      </c>
      <c r="G84" s="67">
        <v>4</v>
      </c>
      <c r="H84" s="67" t="s">
        <v>26</v>
      </c>
      <c r="I84" s="67"/>
      <c r="J84" s="66">
        <v>1</v>
      </c>
      <c r="M84" s="40">
        <v>1</v>
      </c>
      <c r="Q84" s="67"/>
    </row>
    <row r="85" spans="2:17" thickBot="1" x14ac:dyDescent="0.3">
      <c r="B85" s="75">
        <v>84</v>
      </c>
      <c r="C85" s="77" t="s">
        <v>1348</v>
      </c>
      <c r="D85" s="2" t="s">
        <v>542</v>
      </c>
      <c r="E85" s="67">
        <v>29</v>
      </c>
      <c r="F85" s="67">
        <v>83</v>
      </c>
      <c r="G85" s="67">
        <v>3</v>
      </c>
      <c r="H85" s="50" t="s">
        <v>27</v>
      </c>
      <c r="I85" s="67">
        <v>1</v>
      </c>
      <c r="J85" s="50"/>
      <c r="P85" s="41">
        <v>1</v>
      </c>
      <c r="Q85" s="67"/>
    </row>
    <row r="86" spans="2:17" thickBot="1" x14ac:dyDescent="0.3">
      <c r="B86" s="75">
        <v>85</v>
      </c>
      <c r="C86" s="77" t="s">
        <v>234</v>
      </c>
      <c r="D86" s="2" t="s">
        <v>1347</v>
      </c>
      <c r="E86" s="67">
        <v>29</v>
      </c>
      <c r="F86" s="67">
        <v>66</v>
      </c>
      <c r="G86" s="67">
        <v>2</v>
      </c>
      <c r="H86" s="67" t="s">
        <v>26</v>
      </c>
      <c r="I86" s="67"/>
      <c r="J86" s="66">
        <v>1</v>
      </c>
      <c r="M86" s="40">
        <v>1</v>
      </c>
      <c r="Q86" s="67"/>
    </row>
    <row r="87" spans="2:17" thickBot="1" x14ac:dyDescent="0.3">
      <c r="B87" s="75">
        <v>86</v>
      </c>
      <c r="C87" s="75" t="s">
        <v>575</v>
      </c>
      <c r="D87" s="2" t="s">
        <v>1346</v>
      </c>
      <c r="E87" s="67">
        <v>29</v>
      </c>
      <c r="F87" s="67">
        <v>70</v>
      </c>
      <c r="G87" s="67">
        <v>2</v>
      </c>
      <c r="H87" s="67" t="s">
        <v>26</v>
      </c>
      <c r="I87" s="67"/>
      <c r="J87" s="66">
        <v>1</v>
      </c>
      <c r="M87" s="40">
        <v>1</v>
      </c>
      <c r="Q87" s="67"/>
    </row>
    <row r="88" spans="2:17" thickBot="1" x14ac:dyDescent="0.3">
      <c r="B88" s="75">
        <v>87</v>
      </c>
      <c r="C88" s="77" t="s">
        <v>1244</v>
      </c>
      <c r="D88" s="2" t="s">
        <v>1345</v>
      </c>
      <c r="E88" s="67">
        <v>29</v>
      </c>
      <c r="F88" s="67">
        <v>87</v>
      </c>
      <c r="G88" s="67">
        <v>2</v>
      </c>
      <c r="H88" s="67" t="s">
        <v>27</v>
      </c>
      <c r="I88" s="67">
        <v>1</v>
      </c>
      <c r="J88" s="67"/>
      <c r="P88" s="41">
        <v>1</v>
      </c>
      <c r="Q88" s="67"/>
    </row>
    <row r="89" spans="2:17" thickBot="1" x14ac:dyDescent="0.3">
      <c r="B89" s="75">
        <v>88</v>
      </c>
      <c r="C89" s="77" t="s">
        <v>280</v>
      </c>
      <c r="D89" s="2" t="s">
        <v>1344</v>
      </c>
      <c r="E89" s="67">
        <v>29</v>
      </c>
      <c r="F89" s="67">
        <v>106</v>
      </c>
      <c r="G89" s="67">
        <v>2</v>
      </c>
      <c r="H89" s="67" t="s">
        <v>27</v>
      </c>
      <c r="I89" s="67">
        <v>1</v>
      </c>
      <c r="J89" s="67"/>
      <c r="Q89" s="67"/>
    </row>
    <row r="90" spans="2:17" thickBot="1" x14ac:dyDescent="0.3">
      <c r="B90" s="75">
        <v>89</v>
      </c>
      <c r="C90" s="75" t="s">
        <v>1343</v>
      </c>
      <c r="D90" s="2" t="s">
        <v>1342</v>
      </c>
      <c r="E90" s="67">
        <v>29</v>
      </c>
      <c r="F90" s="67">
        <v>146</v>
      </c>
      <c r="G90" s="67">
        <v>5</v>
      </c>
      <c r="H90" s="67" t="s">
        <v>26</v>
      </c>
      <c r="I90" s="67"/>
      <c r="J90" s="66">
        <v>1</v>
      </c>
      <c r="M90" s="40">
        <v>1</v>
      </c>
      <c r="Q90" s="67"/>
    </row>
    <row r="91" spans="2:17" thickBot="1" x14ac:dyDescent="0.3">
      <c r="B91" s="75">
        <v>90</v>
      </c>
      <c r="C91" s="77" t="s">
        <v>135</v>
      </c>
      <c r="D91" s="2" t="s">
        <v>1341</v>
      </c>
      <c r="E91" s="67">
        <v>29</v>
      </c>
      <c r="F91" s="67"/>
      <c r="G91" s="67"/>
      <c r="H91" s="67" t="s">
        <v>26</v>
      </c>
      <c r="I91" s="67"/>
      <c r="J91" s="66">
        <v>1</v>
      </c>
      <c r="M91" s="40">
        <v>1</v>
      </c>
      <c r="Q91" s="67"/>
    </row>
    <row r="92" spans="2:17" thickBot="1" x14ac:dyDescent="0.3">
      <c r="B92" s="75">
        <v>91</v>
      </c>
      <c r="C92" s="77" t="s">
        <v>918</v>
      </c>
      <c r="D92" s="2" t="s">
        <v>1340</v>
      </c>
      <c r="E92" s="67">
        <v>29</v>
      </c>
      <c r="F92" s="67">
        <v>144</v>
      </c>
      <c r="G92" s="67">
        <v>2</v>
      </c>
      <c r="H92" s="67" t="s">
        <v>27</v>
      </c>
      <c r="I92" s="67">
        <v>1</v>
      </c>
      <c r="J92" s="67"/>
      <c r="P92" s="41">
        <v>1</v>
      </c>
      <c r="Q92" s="67"/>
    </row>
    <row r="93" spans="2:17" thickBot="1" x14ac:dyDescent="0.3">
      <c r="B93" s="75">
        <v>92</v>
      </c>
      <c r="C93" s="75" t="s">
        <v>891</v>
      </c>
      <c r="D93" s="2" t="s">
        <v>1339</v>
      </c>
      <c r="E93" s="67">
        <v>29</v>
      </c>
      <c r="F93" s="67">
        <v>138</v>
      </c>
      <c r="G93" s="67">
        <v>2</v>
      </c>
      <c r="H93" s="67" t="s">
        <v>27</v>
      </c>
      <c r="I93" s="67">
        <v>1</v>
      </c>
      <c r="J93" s="67"/>
      <c r="P93" s="41">
        <v>1</v>
      </c>
      <c r="Q93" s="67"/>
    </row>
    <row r="94" spans="2:17" thickBot="1" x14ac:dyDescent="0.3">
      <c r="B94" s="75">
        <v>93</v>
      </c>
      <c r="C94" s="77" t="s">
        <v>1338</v>
      </c>
      <c r="D94" s="2" t="s">
        <v>742</v>
      </c>
      <c r="E94" s="67">
        <v>29</v>
      </c>
      <c r="F94" s="67">
        <v>130</v>
      </c>
      <c r="G94" s="67">
        <v>3</v>
      </c>
      <c r="H94" s="67" t="s">
        <v>27</v>
      </c>
      <c r="I94" s="67">
        <v>1</v>
      </c>
      <c r="J94" s="67"/>
      <c r="P94" s="41">
        <v>1</v>
      </c>
      <c r="Q94" s="67"/>
    </row>
    <row r="95" spans="2:17" thickBot="1" x14ac:dyDescent="0.3">
      <c r="B95" s="75">
        <v>94</v>
      </c>
      <c r="C95" s="77" t="s">
        <v>1337</v>
      </c>
      <c r="D95" s="2" t="s">
        <v>1336</v>
      </c>
      <c r="E95" s="67">
        <v>29</v>
      </c>
      <c r="F95" s="67">
        <v>3</v>
      </c>
      <c r="G95" s="67">
        <v>145</v>
      </c>
      <c r="H95" s="67" t="s">
        <v>27</v>
      </c>
      <c r="I95" s="67">
        <v>1</v>
      </c>
      <c r="J95" s="67"/>
      <c r="P95" s="41">
        <v>1</v>
      </c>
      <c r="Q95" s="67"/>
    </row>
    <row r="96" spans="2:17" thickBot="1" x14ac:dyDescent="0.3">
      <c r="B96" s="75">
        <v>95</v>
      </c>
      <c r="C96" s="75" t="s">
        <v>1105</v>
      </c>
      <c r="D96" s="2" t="s">
        <v>1335</v>
      </c>
      <c r="E96" s="67">
        <v>29</v>
      </c>
      <c r="F96" s="67">
        <v>134</v>
      </c>
      <c r="G96" s="67">
        <v>6</v>
      </c>
      <c r="H96" s="67" t="s">
        <v>27</v>
      </c>
      <c r="I96" s="67">
        <v>1</v>
      </c>
      <c r="J96" s="67"/>
      <c r="P96" s="41">
        <v>1</v>
      </c>
      <c r="Q96" s="67"/>
    </row>
    <row r="97" spans="2:17" thickBot="1" x14ac:dyDescent="0.3">
      <c r="B97" s="75">
        <v>96</v>
      </c>
      <c r="C97" s="77" t="s">
        <v>600</v>
      </c>
      <c r="D97" s="2" t="s">
        <v>6</v>
      </c>
      <c r="E97" s="67">
        <v>29</v>
      </c>
      <c r="F97" s="67">
        <v>123</v>
      </c>
      <c r="G97" s="67">
        <v>1</v>
      </c>
      <c r="H97" s="67" t="s">
        <v>27</v>
      </c>
      <c r="I97" s="67">
        <v>1</v>
      </c>
      <c r="J97" s="67"/>
      <c r="P97" s="41">
        <v>1</v>
      </c>
      <c r="Q97" s="67"/>
    </row>
    <row r="98" spans="2:17" thickBot="1" x14ac:dyDescent="0.3">
      <c r="B98" s="75">
        <v>97</v>
      </c>
      <c r="C98" s="77" t="s">
        <v>600</v>
      </c>
      <c r="D98" s="2" t="s">
        <v>6</v>
      </c>
      <c r="E98" s="67">
        <v>29</v>
      </c>
      <c r="F98" s="67">
        <v>152</v>
      </c>
      <c r="G98" s="67">
        <v>6</v>
      </c>
      <c r="H98" s="67" t="s">
        <v>27</v>
      </c>
      <c r="I98" s="67">
        <v>1</v>
      </c>
      <c r="J98" s="67"/>
      <c r="P98" s="41">
        <v>1</v>
      </c>
      <c r="Q98" s="67"/>
    </row>
    <row r="99" spans="2:17" thickBot="1" x14ac:dyDescent="0.3">
      <c r="B99" s="75">
        <v>98</v>
      </c>
      <c r="C99" s="75" t="s">
        <v>932</v>
      </c>
      <c r="D99" s="2" t="s">
        <v>1334</v>
      </c>
      <c r="E99" s="67">
        <v>29</v>
      </c>
      <c r="F99" s="67">
        <v>150</v>
      </c>
      <c r="G99" s="67">
        <v>4</v>
      </c>
      <c r="H99" s="67" t="s">
        <v>27</v>
      </c>
      <c r="I99" s="67">
        <v>1</v>
      </c>
      <c r="J99" s="67"/>
      <c r="P99" s="41">
        <v>1</v>
      </c>
      <c r="Q99" s="67"/>
    </row>
    <row r="100" spans="2:17" thickBot="1" x14ac:dyDescent="0.3">
      <c r="B100" s="75">
        <v>99</v>
      </c>
      <c r="C100" s="77" t="s">
        <v>128</v>
      </c>
      <c r="D100" s="2" t="s">
        <v>1333</v>
      </c>
      <c r="E100" s="67">
        <v>29</v>
      </c>
      <c r="F100" s="67">
        <v>138</v>
      </c>
      <c r="G100" s="67">
        <v>6</v>
      </c>
      <c r="H100" s="67" t="s">
        <v>27</v>
      </c>
      <c r="I100" s="67">
        <v>1</v>
      </c>
      <c r="J100" s="67"/>
      <c r="P100" s="41">
        <v>1</v>
      </c>
      <c r="Q100" s="67"/>
    </row>
    <row r="101" spans="2:17" thickBot="1" x14ac:dyDescent="0.3">
      <c r="B101" s="75">
        <v>100</v>
      </c>
      <c r="C101" s="77" t="s">
        <v>1150</v>
      </c>
      <c r="D101" s="2" t="s">
        <v>1332</v>
      </c>
      <c r="E101" s="67">
        <v>29</v>
      </c>
      <c r="F101" s="67">
        <v>5</v>
      </c>
      <c r="G101" s="67">
        <v>12</v>
      </c>
      <c r="H101" s="67" t="s">
        <v>26</v>
      </c>
      <c r="I101" s="67"/>
      <c r="J101" s="66">
        <v>1</v>
      </c>
      <c r="M101" s="40">
        <v>1</v>
      </c>
      <c r="Q101" s="67"/>
    </row>
    <row r="102" spans="2:17" thickBot="1" x14ac:dyDescent="0.3">
      <c r="B102" s="75">
        <v>101</v>
      </c>
      <c r="C102" s="75" t="s">
        <v>135</v>
      </c>
      <c r="D102" s="2" t="s">
        <v>1331</v>
      </c>
      <c r="E102" s="67">
        <v>29</v>
      </c>
      <c r="F102" s="67">
        <v>8</v>
      </c>
      <c r="G102" s="67">
        <v>11</v>
      </c>
      <c r="H102" s="67" t="s">
        <v>26</v>
      </c>
      <c r="I102" s="67"/>
      <c r="J102" s="66">
        <v>1</v>
      </c>
      <c r="M102" s="40">
        <v>1</v>
      </c>
      <c r="Q102" s="67"/>
    </row>
    <row r="103" spans="2:17" thickBot="1" x14ac:dyDescent="0.3">
      <c r="B103" s="75">
        <v>102</v>
      </c>
      <c r="C103" s="77" t="s">
        <v>712</v>
      </c>
      <c r="D103" s="2" t="s">
        <v>1330</v>
      </c>
      <c r="E103" s="67">
        <v>29</v>
      </c>
      <c r="F103" s="67">
        <v>3</v>
      </c>
      <c r="G103" s="67">
        <v>9</v>
      </c>
      <c r="H103" s="67" t="s">
        <v>26</v>
      </c>
      <c r="I103" s="67"/>
      <c r="J103" s="66">
        <v>1</v>
      </c>
      <c r="M103" s="40">
        <v>1</v>
      </c>
      <c r="Q103" s="67"/>
    </row>
    <row r="104" spans="2:17" thickBot="1" x14ac:dyDescent="0.3">
      <c r="B104" s="75">
        <v>103</v>
      </c>
      <c r="C104" s="77" t="s">
        <v>362</v>
      </c>
      <c r="D104" s="2" t="s">
        <v>1329</v>
      </c>
      <c r="E104" s="67">
        <v>29</v>
      </c>
      <c r="F104" s="67"/>
      <c r="G104" s="67"/>
      <c r="H104" s="67" t="s">
        <v>26</v>
      </c>
      <c r="I104" s="67"/>
      <c r="J104" s="66">
        <v>1</v>
      </c>
      <c r="M104" s="40">
        <v>1</v>
      </c>
      <c r="Q104" s="67"/>
    </row>
    <row r="105" spans="2:17" thickBot="1" x14ac:dyDescent="0.3">
      <c r="B105" s="75">
        <v>104</v>
      </c>
      <c r="C105" s="75" t="s">
        <v>157</v>
      </c>
      <c r="D105" s="2" t="s">
        <v>1328</v>
      </c>
      <c r="E105" s="67">
        <v>29</v>
      </c>
      <c r="F105" s="67">
        <v>3</v>
      </c>
      <c r="G105" s="67">
        <v>8</v>
      </c>
      <c r="H105" s="67" t="s">
        <v>26</v>
      </c>
      <c r="I105" s="67"/>
      <c r="J105" s="66">
        <v>1</v>
      </c>
      <c r="M105" s="40">
        <v>1</v>
      </c>
      <c r="Q105" s="67"/>
    </row>
    <row r="106" spans="2:17" thickBot="1" x14ac:dyDescent="0.3">
      <c r="B106" s="75">
        <v>105</v>
      </c>
      <c r="C106" s="75" t="s">
        <v>131</v>
      </c>
      <c r="D106" s="2" t="s">
        <v>1327</v>
      </c>
      <c r="E106" s="67">
        <v>29</v>
      </c>
      <c r="F106" s="67">
        <v>13</v>
      </c>
      <c r="G106" s="67">
        <v>9</v>
      </c>
      <c r="H106" s="67" t="s">
        <v>26</v>
      </c>
      <c r="I106" s="67"/>
      <c r="J106" s="66">
        <v>1</v>
      </c>
      <c r="M106" s="40">
        <v>1</v>
      </c>
      <c r="Q106" s="67"/>
    </row>
    <row r="107" spans="2:17" thickBot="1" x14ac:dyDescent="0.3">
      <c r="B107" s="75">
        <v>106</v>
      </c>
      <c r="C107" s="77" t="s">
        <v>138</v>
      </c>
      <c r="D107" s="2" t="s">
        <v>1003</v>
      </c>
      <c r="E107" s="67">
        <v>29</v>
      </c>
      <c r="F107" s="67">
        <v>10</v>
      </c>
      <c r="G107" s="67">
        <v>7</v>
      </c>
      <c r="H107" s="67" t="s">
        <v>26</v>
      </c>
      <c r="I107" s="67"/>
      <c r="J107" s="66">
        <v>1</v>
      </c>
      <c r="M107" s="40">
        <v>1</v>
      </c>
      <c r="Q107" s="67"/>
    </row>
    <row r="108" spans="2:17" thickBot="1" x14ac:dyDescent="0.3">
      <c r="B108" s="75">
        <v>107</v>
      </c>
      <c r="C108" s="77" t="s">
        <v>1326</v>
      </c>
      <c r="D108" s="2" t="s">
        <v>515</v>
      </c>
      <c r="E108" s="67">
        <v>29</v>
      </c>
      <c r="F108" s="67">
        <v>11</v>
      </c>
      <c r="G108" s="67">
        <v>7</v>
      </c>
      <c r="H108" s="67" t="s">
        <v>26</v>
      </c>
      <c r="I108" s="67"/>
      <c r="J108" s="66">
        <v>1</v>
      </c>
      <c r="M108" s="40">
        <v>1</v>
      </c>
      <c r="Q108" s="67"/>
    </row>
    <row r="109" spans="2:17" thickBot="1" x14ac:dyDescent="0.3">
      <c r="B109" s="75">
        <v>108</v>
      </c>
      <c r="C109" s="75" t="s">
        <v>170</v>
      </c>
      <c r="D109" s="2" t="s">
        <v>1325</v>
      </c>
      <c r="E109" s="67">
        <v>29</v>
      </c>
      <c r="F109" s="67">
        <v>8</v>
      </c>
      <c r="G109" s="67">
        <v>8</v>
      </c>
      <c r="H109" s="67" t="s">
        <v>27</v>
      </c>
      <c r="I109" s="67">
        <v>1</v>
      </c>
      <c r="J109" s="67"/>
      <c r="P109" s="41">
        <v>1</v>
      </c>
      <c r="Q109" s="67"/>
    </row>
    <row r="110" spans="2:17" thickBot="1" x14ac:dyDescent="0.3">
      <c r="B110" s="75">
        <v>109</v>
      </c>
      <c r="C110" s="77" t="s">
        <v>600</v>
      </c>
      <c r="D110" s="2" t="s">
        <v>6</v>
      </c>
      <c r="E110" s="67">
        <v>29</v>
      </c>
      <c r="F110" s="67">
        <v>25</v>
      </c>
      <c r="G110" s="67">
        <v>8</v>
      </c>
      <c r="H110" s="67" t="s">
        <v>27</v>
      </c>
      <c r="I110" s="67">
        <v>1</v>
      </c>
      <c r="J110" s="67"/>
      <c r="Q110" s="67"/>
    </row>
    <row r="111" spans="2:17" thickBot="1" x14ac:dyDescent="0.3">
      <c r="B111" s="75">
        <v>110</v>
      </c>
      <c r="C111" s="77" t="s">
        <v>1324</v>
      </c>
      <c r="D111" s="2" t="s">
        <v>1323</v>
      </c>
      <c r="E111" s="67">
        <v>29</v>
      </c>
      <c r="F111" s="67">
        <v>82</v>
      </c>
      <c r="G111" s="67">
        <v>8</v>
      </c>
      <c r="H111" s="67" t="s">
        <v>26</v>
      </c>
      <c r="I111" s="67"/>
      <c r="J111" s="66">
        <v>1</v>
      </c>
      <c r="M111" s="40">
        <v>1</v>
      </c>
      <c r="Q111" s="67"/>
    </row>
    <row r="112" spans="2:17" thickBot="1" x14ac:dyDescent="0.3">
      <c r="B112" s="75">
        <v>111</v>
      </c>
      <c r="C112" s="75" t="s">
        <v>138</v>
      </c>
      <c r="D112" s="2" t="s">
        <v>1322</v>
      </c>
      <c r="E112" s="67">
        <v>29</v>
      </c>
      <c r="F112" s="67">
        <v>65</v>
      </c>
      <c r="G112" s="67">
        <v>8</v>
      </c>
      <c r="H112" s="67" t="s">
        <v>26</v>
      </c>
      <c r="I112" s="67"/>
      <c r="J112" s="66">
        <v>1</v>
      </c>
      <c r="M112" s="40">
        <v>1</v>
      </c>
      <c r="Q112" s="67"/>
    </row>
    <row r="113" spans="2:17" thickBot="1" x14ac:dyDescent="0.3">
      <c r="B113" s="75">
        <v>112</v>
      </c>
      <c r="C113" s="77" t="s">
        <v>1320</v>
      </c>
      <c r="D113" s="2" t="s">
        <v>1321</v>
      </c>
      <c r="E113" s="67">
        <v>29</v>
      </c>
      <c r="F113" s="67">
        <v>48</v>
      </c>
      <c r="G113" s="67">
        <v>8</v>
      </c>
      <c r="H113" s="67" t="s">
        <v>26</v>
      </c>
      <c r="I113" s="67"/>
      <c r="J113" s="66">
        <v>1</v>
      </c>
      <c r="M113" s="40">
        <v>1</v>
      </c>
      <c r="Q113" s="67"/>
    </row>
    <row r="114" spans="2:17" thickBot="1" x14ac:dyDescent="0.3">
      <c r="B114" s="75">
        <v>113</v>
      </c>
      <c r="C114" s="77" t="s">
        <v>128</v>
      </c>
      <c r="D114" s="2" t="s">
        <v>1319</v>
      </c>
      <c r="E114" s="67">
        <v>29</v>
      </c>
      <c r="F114" s="67">
        <v>41</v>
      </c>
      <c r="G114" s="67">
        <v>8</v>
      </c>
      <c r="H114" s="67" t="s">
        <v>26</v>
      </c>
      <c r="I114" s="67"/>
      <c r="J114" s="66">
        <v>1</v>
      </c>
      <c r="M114" s="40">
        <v>1</v>
      </c>
      <c r="Q114" s="67"/>
    </row>
    <row r="115" spans="2:17" thickBot="1" x14ac:dyDescent="0.3">
      <c r="B115" s="75">
        <v>114</v>
      </c>
      <c r="C115" s="75" t="s">
        <v>812</v>
      </c>
      <c r="D115" s="2" t="s">
        <v>1318</v>
      </c>
      <c r="E115" s="67">
        <v>29</v>
      </c>
      <c r="F115" s="67"/>
      <c r="G115" s="67"/>
      <c r="H115" s="67" t="s">
        <v>26</v>
      </c>
      <c r="I115" s="67"/>
      <c r="J115" s="66">
        <v>1</v>
      </c>
      <c r="M115" s="40">
        <v>1</v>
      </c>
      <c r="Q115" s="67"/>
    </row>
    <row r="116" spans="2:17" thickBot="1" x14ac:dyDescent="0.3">
      <c r="B116" s="75">
        <v>115</v>
      </c>
      <c r="C116" s="77" t="s">
        <v>270</v>
      </c>
      <c r="D116" s="2" t="s">
        <v>1317</v>
      </c>
      <c r="E116" s="67">
        <v>29</v>
      </c>
      <c r="F116" s="67">
        <v>67</v>
      </c>
      <c r="G116" s="67">
        <v>8</v>
      </c>
      <c r="H116" s="67" t="s">
        <v>26</v>
      </c>
      <c r="I116" s="67"/>
      <c r="J116" s="66">
        <v>1</v>
      </c>
      <c r="M116" s="40">
        <v>1</v>
      </c>
      <c r="Q116" s="67"/>
    </row>
    <row r="117" spans="2:17" thickBot="1" x14ac:dyDescent="0.3">
      <c r="B117" s="75">
        <v>116</v>
      </c>
      <c r="C117" s="77" t="s">
        <v>143</v>
      </c>
      <c r="D117" s="2" t="s">
        <v>999</v>
      </c>
      <c r="E117" s="67">
        <v>29</v>
      </c>
      <c r="F117" s="67">
        <v>75</v>
      </c>
      <c r="G117" s="67">
        <v>7</v>
      </c>
      <c r="H117" s="67" t="s">
        <v>26</v>
      </c>
      <c r="I117" s="67"/>
      <c r="J117" s="66">
        <v>1</v>
      </c>
      <c r="M117" s="40">
        <v>1</v>
      </c>
      <c r="Q117" s="67"/>
    </row>
    <row r="118" spans="2:17" thickBot="1" x14ac:dyDescent="0.3">
      <c r="B118" s="75">
        <v>117</v>
      </c>
      <c r="C118" s="75" t="s">
        <v>1150</v>
      </c>
      <c r="D118" s="2" t="s">
        <v>1316</v>
      </c>
      <c r="E118" s="67">
        <v>29</v>
      </c>
      <c r="F118" s="67">
        <v>64</v>
      </c>
      <c r="G118" s="67">
        <v>8</v>
      </c>
      <c r="H118" s="67" t="s">
        <v>26</v>
      </c>
      <c r="I118" s="67"/>
      <c r="J118" s="66">
        <v>1</v>
      </c>
      <c r="M118" s="40">
        <v>1</v>
      </c>
      <c r="Q118" s="67"/>
    </row>
    <row r="119" spans="2:17" thickBot="1" x14ac:dyDescent="0.3">
      <c r="B119" s="75">
        <v>118</v>
      </c>
      <c r="C119" s="77" t="s">
        <v>125</v>
      </c>
      <c r="D119" s="2" t="s">
        <v>1315</v>
      </c>
      <c r="E119" s="67">
        <v>29</v>
      </c>
      <c r="F119" s="67">
        <v>54</v>
      </c>
      <c r="G119" s="67">
        <v>8</v>
      </c>
      <c r="H119" s="67" t="s">
        <v>26</v>
      </c>
      <c r="I119" s="67"/>
      <c r="J119" s="66">
        <v>1</v>
      </c>
      <c r="M119" s="40">
        <v>1</v>
      </c>
      <c r="Q119" s="67"/>
    </row>
    <row r="120" spans="2:17" thickBot="1" x14ac:dyDescent="0.3">
      <c r="B120" s="75">
        <v>119</v>
      </c>
      <c r="C120" s="77" t="s">
        <v>131</v>
      </c>
      <c r="D120" s="2" t="s">
        <v>1314</v>
      </c>
      <c r="E120" s="67">
        <v>29</v>
      </c>
      <c r="F120" s="67">
        <v>43</v>
      </c>
      <c r="G120" s="67">
        <v>11</v>
      </c>
      <c r="H120" s="67" t="s">
        <v>27</v>
      </c>
      <c r="I120" s="67">
        <v>1</v>
      </c>
      <c r="J120" s="67"/>
      <c r="P120" s="41">
        <v>1</v>
      </c>
      <c r="Q120" s="67"/>
    </row>
    <row r="121" spans="2:17" thickBot="1" x14ac:dyDescent="0.3">
      <c r="B121" s="75">
        <v>120</v>
      </c>
      <c r="C121" s="75" t="s">
        <v>1313</v>
      </c>
      <c r="D121" s="2" t="s">
        <v>1312</v>
      </c>
      <c r="E121" s="67">
        <v>29</v>
      </c>
      <c r="F121" s="67">
        <v>77</v>
      </c>
      <c r="G121" s="67">
        <v>5</v>
      </c>
      <c r="H121" s="67" t="s">
        <v>26</v>
      </c>
      <c r="I121" s="67"/>
      <c r="J121" s="66">
        <v>1</v>
      </c>
      <c r="M121" s="40">
        <v>1</v>
      </c>
      <c r="Q121" s="67"/>
    </row>
    <row r="122" spans="2:17" thickBot="1" x14ac:dyDescent="0.3">
      <c r="B122" s="75">
        <v>121</v>
      </c>
      <c r="C122" s="77" t="s">
        <v>128</v>
      </c>
      <c r="D122" s="2" t="s">
        <v>1311</v>
      </c>
      <c r="E122" s="67">
        <v>29</v>
      </c>
      <c r="F122" s="67">
        <v>58</v>
      </c>
      <c r="G122" s="67">
        <v>11</v>
      </c>
      <c r="H122" s="67" t="s">
        <v>26</v>
      </c>
      <c r="I122" s="67"/>
      <c r="J122" s="66">
        <v>1</v>
      </c>
      <c r="M122" s="40">
        <v>1</v>
      </c>
      <c r="Q122" s="67"/>
    </row>
    <row r="123" spans="2:17" thickBot="1" x14ac:dyDescent="0.3">
      <c r="B123" s="75">
        <v>122</v>
      </c>
      <c r="C123" s="77" t="s">
        <v>1310</v>
      </c>
      <c r="D123" s="2" t="s">
        <v>1309</v>
      </c>
      <c r="E123" s="67">
        <v>29</v>
      </c>
      <c r="F123" s="67">
        <v>65</v>
      </c>
      <c r="G123" s="67">
        <v>11</v>
      </c>
      <c r="H123" s="67" t="s">
        <v>27</v>
      </c>
      <c r="I123" s="67">
        <v>1</v>
      </c>
      <c r="J123" s="67"/>
      <c r="N123" s="41">
        <v>1</v>
      </c>
      <c r="Q123" s="67"/>
    </row>
    <row r="124" spans="2:17" thickBot="1" x14ac:dyDescent="0.3">
      <c r="B124" s="75">
        <v>123</v>
      </c>
      <c r="C124" s="75" t="s">
        <v>135</v>
      </c>
      <c r="D124" s="2" t="s">
        <v>496</v>
      </c>
      <c r="E124" s="67">
        <v>29</v>
      </c>
      <c r="F124" s="67">
        <v>45</v>
      </c>
      <c r="G124" s="67"/>
      <c r="H124" s="67" t="s">
        <v>26</v>
      </c>
      <c r="I124" s="67"/>
      <c r="J124" s="66">
        <v>1</v>
      </c>
      <c r="M124" s="40">
        <v>1</v>
      </c>
      <c r="Q124" s="67"/>
    </row>
    <row r="125" spans="2:17" thickBot="1" x14ac:dyDescent="0.3">
      <c r="B125" s="75">
        <v>124</v>
      </c>
      <c r="C125" s="77" t="s">
        <v>138</v>
      </c>
      <c r="D125" s="2" t="s">
        <v>1308</v>
      </c>
      <c r="E125" s="67">
        <v>29</v>
      </c>
      <c r="F125" s="67">
        <v>63</v>
      </c>
      <c r="G125" s="67">
        <v>11</v>
      </c>
      <c r="H125" s="67" t="s">
        <v>27</v>
      </c>
      <c r="I125" s="67">
        <v>1</v>
      </c>
      <c r="J125" s="67"/>
      <c r="Q125" s="67"/>
    </row>
    <row r="126" spans="2:17" thickBot="1" x14ac:dyDescent="0.3">
      <c r="B126" s="75">
        <v>125</v>
      </c>
      <c r="C126" s="77" t="s">
        <v>188</v>
      </c>
      <c r="D126" s="2" t="s">
        <v>1089</v>
      </c>
      <c r="E126" s="67">
        <v>29</v>
      </c>
      <c r="F126" s="67">
        <v>51</v>
      </c>
      <c r="G126" s="67">
        <v>11</v>
      </c>
      <c r="H126" s="67" t="s">
        <v>27</v>
      </c>
      <c r="I126" s="67">
        <v>1</v>
      </c>
      <c r="J126" s="67"/>
      <c r="Q126" s="67"/>
    </row>
    <row r="127" spans="2:17" thickBot="1" x14ac:dyDescent="0.3">
      <c r="B127" s="75">
        <v>126</v>
      </c>
      <c r="C127" s="75" t="s">
        <v>177</v>
      </c>
      <c r="D127" s="2" t="s">
        <v>1307</v>
      </c>
      <c r="E127" s="67">
        <v>29</v>
      </c>
      <c r="F127" s="67">
        <v>39</v>
      </c>
      <c r="G127" s="67">
        <v>12</v>
      </c>
      <c r="H127" s="67" t="s">
        <v>27</v>
      </c>
      <c r="I127" s="67">
        <v>1</v>
      </c>
      <c r="J127" s="66"/>
      <c r="Q127" s="67"/>
    </row>
    <row r="128" spans="2:17" thickBot="1" x14ac:dyDescent="0.3">
      <c r="B128" s="75">
        <v>127</v>
      </c>
      <c r="C128" s="77" t="s">
        <v>137</v>
      </c>
      <c r="D128" s="2" t="s">
        <v>1306</v>
      </c>
      <c r="E128" s="67">
        <v>29</v>
      </c>
      <c r="F128" s="67">
        <v>36</v>
      </c>
      <c r="G128" s="67">
        <v>11</v>
      </c>
      <c r="H128" s="67" t="s">
        <v>27</v>
      </c>
      <c r="I128" s="67">
        <v>1</v>
      </c>
      <c r="J128" s="66"/>
      <c r="Q128" s="67"/>
    </row>
    <row r="129" spans="2:17" thickBot="1" x14ac:dyDescent="0.3">
      <c r="B129" s="75">
        <v>128</v>
      </c>
      <c r="C129" s="77" t="s">
        <v>177</v>
      </c>
      <c r="D129" s="2" t="s">
        <v>1305</v>
      </c>
      <c r="E129" s="67">
        <v>29</v>
      </c>
      <c r="F129" s="67">
        <v>52</v>
      </c>
      <c r="G129" s="67">
        <v>11</v>
      </c>
      <c r="H129" s="67" t="s">
        <v>26</v>
      </c>
      <c r="I129" s="67"/>
      <c r="J129" s="66">
        <v>1</v>
      </c>
      <c r="M129" s="40">
        <v>1</v>
      </c>
      <c r="Q129" s="67"/>
    </row>
    <row r="130" spans="2:17" thickBot="1" x14ac:dyDescent="0.3">
      <c r="B130" s="75">
        <v>129</v>
      </c>
      <c r="C130" s="75" t="s">
        <v>122</v>
      </c>
      <c r="D130" s="2" t="s">
        <v>1304</v>
      </c>
      <c r="E130" s="67">
        <v>29</v>
      </c>
      <c r="F130" s="67">
        <v>43</v>
      </c>
      <c r="G130" s="67">
        <v>10</v>
      </c>
      <c r="H130" s="67" t="s">
        <v>27</v>
      </c>
      <c r="I130" s="67">
        <v>1</v>
      </c>
      <c r="J130" s="66"/>
      <c r="Q130" s="67"/>
    </row>
    <row r="131" spans="2:17" thickBot="1" x14ac:dyDescent="0.3">
      <c r="B131" s="75">
        <v>130</v>
      </c>
      <c r="C131" s="77" t="s">
        <v>726</v>
      </c>
      <c r="D131" s="2" t="s">
        <v>1303</v>
      </c>
      <c r="E131" s="67">
        <v>29</v>
      </c>
      <c r="F131" s="67">
        <v>47</v>
      </c>
      <c r="G131" s="67">
        <v>10</v>
      </c>
      <c r="H131" s="67" t="s">
        <v>27</v>
      </c>
      <c r="I131" s="67">
        <v>1</v>
      </c>
      <c r="J131" s="67"/>
      <c r="P131" s="41">
        <v>1</v>
      </c>
      <c r="Q131" s="67"/>
    </row>
    <row r="132" spans="2:17" thickBot="1" x14ac:dyDescent="0.3">
      <c r="B132" s="75">
        <v>131</v>
      </c>
      <c r="C132" s="77" t="s">
        <v>396</v>
      </c>
      <c r="D132" s="2" t="s">
        <v>1302</v>
      </c>
      <c r="E132" s="67">
        <v>29</v>
      </c>
      <c r="F132" s="67">
        <v>45</v>
      </c>
      <c r="G132" s="67">
        <v>7</v>
      </c>
      <c r="H132" s="67" t="s">
        <v>26</v>
      </c>
      <c r="I132" s="67"/>
      <c r="J132" s="66">
        <v>1</v>
      </c>
      <c r="M132" s="40">
        <v>1</v>
      </c>
      <c r="Q132" s="67"/>
    </row>
    <row r="133" spans="2:17" thickBot="1" x14ac:dyDescent="0.3">
      <c r="B133" s="75">
        <v>132</v>
      </c>
      <c r="C133" s="75" t="s">
        <v>123</v>
      </c>
      <c r="D133" s="2" t="s">
        <v>1301</v>
      </c>
      <c r="E133" s="67">
        <v>29</v>
      </c>
      <c r="F133" s="67">
        <v>82</v>
      </c>
      <c r="G133" s="67">
        <v>9</v>
      </c>
      <c r="H133" s="67" t="s">
        <v>26</v>
      </c>
      <c r="I133" s="67"/>
      <c r="J133" s="66">
        <v>1</v>
      </c>
      <c r="M133" s="40">
        <v>1</v>
      </c>
      <c r="Q133" s="67"/>
    </row>
    <row r="134" spans="2:17" thickBot="1" x14ac:dyDescent="0.3">
      <c r="B134" s="75">
        <v>133</v>
      </c>
      <c r="C134" s="77" t="s">
        <v>1135</v>
      </c>
      <c r="D134" s="2" t="s">
        <v>1300</v>
      </c>
      <c r="E134" s="67">
        <v>29</v>
      </c>
      <c r="F134" s="67">
        <v>54</v>
      </c>
      <c r="G134" s="67">
        <v>7</v>
      </c>
      <c r="H134" s="67" t="s">
        <v>26</v>
      </c>
      <c r="I134" s="67"/>
      <c r="J134" s="66">
        <v>1</v>
      </c>
      <c r="M134" s="40">
        <v>1</v>
      </c>
      <c r="Q134" s="67"/>
    </row>
    <row r="135" spans="2:17" thickBot="1" x14ac:dyDescent="0.3">
      <c r="B135" s="75">
        <v>134</v>
      </c>
      <c r="C135" s="77" t="s">
        <v>677</v>
      </c>
      <c r="D135" s="2" t="s">
        <v>894</v>
      </c>
      <c r="E135" s="67">
        <v>29</v>
      </c>
      <c r="F135" s="67">
        <v>38</v>
      </c>
      <c r="G135" s="67">
        <v>7</v>
      </c>
      <c r="H135" s="67" t="s">
        <v>26</v>
      </c>
      <c r="I135" s="67"/>
      <c r="J135" s="66">
        <v>1</v>
      </c>
      <c r="M135" s="40">
        <v>1</v>
      </c>
      <c r="Q135" s="67"/>
    </row>
    <row r="136" spans="2:17" thickBot="1" x14ac:dyDescent="0.3">
      <c r="B136" s="75">
        <v>135</v>
      </c>
      <c r="C136" s="75" t="s">
        <v>402</v>
      </c>
      <c r="D136" s="2" t="s">
        <v>1133</v>
      </c>
      <c r="E136" s="67">
        <v>29</v>
      </c>
      <c r="F136" s="67">
        <v>83</v>
      </c>
      <c r="G136" s="67">
        <v>11</v>
      </c>
      <c r="H136" s="67" t="s">
        <v>27</v>
      </c>
      <c r="I136" s="67">
        <v>1</v>
      </c>
      <c r="J136" s="67"/>
      <c r="M136" s="40">
        <v>1</v>
      </c>
      <c r="P136" s="41">
        <v>1</v>
      </c>
      <c r="Q136" s="67"/>
    </row>
    <row r="137" spans="2:17" thickBot="1" x14ac:dyDescent="0.3">
      <c r="B137" s="75">
        <v>136</v>
      </c>
      <c r="C137" s="77" t="s">
        <v>891</v>
      </c>
      <c r="D137" s="2" t="s">
        <v>511</v>
      </c>
      <c r="E137" s="67">
        <v>29</v>
      </c>
      <c r="F137" s="67">
        <v>72</v>
      </c>
      <c r="G137" s="67">
        <v>11</v>
      </c>
      <c r="H137" s="67" t="s">
        <v>27</v>
      </c>
      <c r="I137" s="67">
        <v>1</v>
      </c>
      <c r="J137" s="67"/>
      <c r="P137" s="41">
        <v>1</v>
      </c>
      <c r="Q137" s="67"/>
    </row>
    <row r="138" spans="2:17" thickBot="1" x14ac:dyDescent="0.3">
      <c r="B138" s="75">
        <v>137</v>
      </c>
      <c r="C138" s="77" t="s">
        <v>1299</v>
      </c>
      <c r="D138" s="2" t="s">
        <v>1298</v>
      </c>
      <c r="E138" s="67">
        <v>29</v>
      </c>
      <c r="F138" s="67">
        <v>45</v>
      </c>
      <c r="G138" s="67">
        <v>8</v>
      </c>
      <c r="H138" s="67" t="s">
        <v>27</v>
      </c>
      <c r="I138" s="67">
        <v>1</v>
      </c>
      <c r="J138" s="67"/>
      <c r="P138" s="41">
        <v>1</v>
      </c>
      <c r="Q138" s="67"/>
    </row>
    <row r="139" spans="2:17" thickBot="1" x14ac:dyDescent="0.3">
      <c r="B139" s="75">
        <v>138</v>
      </c>
      <c r="C139" s="75" t="s">
        <v>682</v>
      </c>
      <c r="D139" s="2" t="s">
        <v>1297</v>
      </c>
      <c r="E139" s="67">
        <v>29</v>
      </c>
      <c r="F139" s="67">
        <v>40</v>
      </c>
      <c r="G139" s="67">
        <v>8</v>
      </c>
      <c r="H139" s="67" t="s">
        <v>27</v>
      </c>
      <c r="I139" s="67">
        <v>1</v>
      </c>
      <c r="J139" s="67"/>
      <c r="P139" s="41">
        <v>1</v>
      </c>
      <c r="Q139" s="67"/>
    </row>
    <row r="140" spans="2:17" thickBot="1" x14ac:dyDescent="0.3">
      <c r="B140" s="75">
        <v>139</v>
      </c>
      <c r="C140" s="77" t="s">
        <v>131</v>
      </c>
      <c r="D140" s="2" t="s">
        <v>1296</v>
      </c>
      <c r="E140" s="67">
        <v>29</v>
      </c>
      <c r="F140" s="67"/>
      <c r="G140" s="67"/>
      <c r="H140" s="67" t="s">
        <v>26</v>
      </c>
      <c r="I140" s="67"/>
      <c r="J140" s="66">
        <v>1</v>
      </c>
      <c r="M140" s="40">
        <v>1</v>
      </c>
      <c r="Q140" s="67"/>
    </row>
    <row r="141" spans="2:17" thickBot="1" x14ac:dyDescent="0.3">
      <c r="B141" s="75">
        <v>140</v>
      </c>
      <c r="C141" s="77" t="s">
        <v>599</v>
      </c>
      <c r="D141" s="2" t="s">
        <v>1295</v>
      </c>
      <c r="E141" s="67">
        <v>29</v>
      </c>
      <c r="F141" s="67">
        <v>97</v>
      </c>
      <c r="G141" s="67">
        <v>9</v>
      </c>
      <c r="H141" s="67" t="s">
        <v>26</v>
      </c>
      <c r="I141" s="67"/>
      <c r="J141" s="66">
        <v>1</v>
      </c>
      <c r="M141" s="40">
        <v>1</v>
      </c>
      <c r="Q141" s="67"/>
    </row>
    <row r="142" spans="2:17" thickBot="1" x14ac:dyDescent="0.3">
      <c r="B142" s="75">
        <v>141</v>
      </c>
      <c r="C142" s="75" t="s">
        <v>138</v>
      </c>
      <c r="D142" s="2" t="s">
        <v>1294</v>
      </c>
      <c r="E142" s="67">
        <v>29</v>
      </c>
      <c r="F142" s="67">
        <v>100</v>
      </c>
      <c r="G142" s="67">
        <v>9</v>
      </c>
      <c r="H142" s="67" t="s">
        <v>26</v>
      </c>
      <c r="I142" s="67"/>
      <c r="J142" s="66">
        <v>1</v>
      </c>
      <c r="M142" s="40">
        <v>1</v>
      </c>
      <c r="Q142" s="67"/>
    </row>
    <row r="143" spans="2:17" thickBot="1" x14ac:dyDescent="0.3">
      <c r="B143" s="75">
        <v>142</v>
      </c>
      <c r="C143" s="77" t="s">
        <v>177</v>
      </c>
      <c r="D143" s="2" t="s">
        <v>398</v>
      </c>
      <c r="E143" s="67">
        <v>29</v>
      </c>
      <c r="F143" s="67">
        <v>111</v>
      </c>
      <c r="G143" s="67">
        <v>10</v>
      </c>
      <c r="H143" s="67" t="s">
        <v>26</v>
      </c>
      <c r="I143" s="67"/>
      <c r="J143" s="66">
        <v>1</v>
      </c>
      <c r="M143" s="40">
        <v>1</v>
      </c>
      <c r="Q143" s="67"/>
    </row>
    <row r="144" spans="2:17" thickBot="1" x14ac:dyDescent="0.3">
      <c r="B144" s="75">
        <v>143</v>
      </c>
      <c r="C144" s="77" t="s">
        <v>1293</v>
      </c>
      <c r="D144" s="2" t="s">
        <v>849</v>
      </c>
      <c r="E144" s="67">
        <v>29</v>
      </c>
      <c r="F144" s="67"/>
      <c r="G144" s="67">
        <v>7</v>
      </c>
      <c r="H144" s="67" t="s">
        <v>26</v>
      </c>
      <c r="I144" s="67"/>
      <c r="J144" s="66">
        <v>1</v>
      </c>
      <c r="M144" s="40">
        <v>1</v>
      </c>
      <c r="Q144" s="67"/>
    </row>
    <row r="145" spans="2:17" thickBot="1" x14ac:dyDescent="0.3">
      <c r="B145" s="75">
        <v>144</v>
      </c>
      <c r="C145" s="75" t="s">
        <v>123</v>
      </c>
      <c r="D145" s="2" t="s">
        <v>509</v>
      </c>
      <c r="E145" s="67">
        <v>29</v>
      </c>
      <c r="F145" s="67">
        <v>119</v>
      </c>
      <c r="G145" s="67">
        <v>9</v>
      </c>
      <c r="H145" s="67" t="s">
        <v>26</v>
      </c>
      <c r="I145" s="67"/>
      <c r="J145" s="66">
        <v>1</v>
      </c>
      <c r="M145" s="40">
        <v>1</v>
      </c>
      <c r="Q145" s="67"/>
    </row>
    <row r="146" spans="2:17" thickBot="1" x14ac:dyDescent="0.3">
      <c r="B146" s="75">
        <v>145</v>
      </c>
      <c r="C146" s="77" t="s">
        <v>138</v>
      </c>
      <c r="D146" s="2" t="s">
        <v>1292</v>
      </c>
      <c r="E146" s="67">
        <v>29</v>
      </c>
      <c r="F146" s="67">
        <v>99</v>
      </c>
      <c r="G146" s="67">
        <v>11</v>
      </c>
      <c r="H146" s="67" t="s">
        <v>26</v>
      </c>
      <c r="I146" s="67"/>
      <c r="J146" s="66">
        <v>1</v>
      </c>
      <c r="M146" s="40">
        <v>1</v>
      </c>
      <c r="Q146" s="67"/>
    </row>
    <row r="147" spans="2:17" thickBot="1" x14ac:dyDescent="0.3">
      <c r="B147" s="75">
        <v>146</v>
      </c>
      <c r="C147" s="77" t="s">
        <v>409</v>
      </c>
      <c r="D147" s="2" t="s">
        <v>1291</v>
      </c>
      <c r="E147" s="67">
        <v>29</v>
      </c>
      <c r="F147" s="67">
        <v>104</v>
      </c>
      <c r="G147" s="67">
        <v>11</v>
      </c>
      <c r="H147" s="67" t="s">
        <v>26</v>
      </c>
      <c r="I147" s="67"/>
      <c r="J147" s="66">
        <v>1</v>
      </c>
      <c r="M147" s="40">
        <v>1</v>
      </c>
      <c r="Q147" s="67"/>
    </row>
    <row r="148" spans="2:17" thickBot="1" x14ac:dyDescent="0.3">
      <c r="B148" s="75">
        <v>147</v>
      </c>
      <c r="C148" s="75" t="s">
        <v>701</v>
      </c>
      <c r="D148" s="2" t="s">
        <v>1290</v>
      </c>
      <c r="E148" s="67">
        <v>29</v>
      </c>
      <c r="F148" s="67">
        <v>114</v>
      </c>
      <c r="G148" s="67">
        <v>11</v>
      </c>
      <c r="H148" s="67" t="s">
        <v>26</v>
      </c>
      <c r="I148" s="67"/>
      <c r="J148" s="66">
        <v>1</v>
      </c>
      <c r="M148" s="40">
        <v>1</v>
      </c>
      <c r="Q148" s="67"/>
    </row>
    <row r="149" spans="2:17" thickBot="1" x14ac:dyDescent="0.3">
      <c r="B149" s="75">
        <v>148</v>
      </c>
      <c r="C149" s="77" t="s">
        <v>143</v>
      </c>
      <c r="D149" s="2" t="s">
        <v>1289</v>
      </c>
      <c r="E149" s="67">
        <v>29</v>
      </c>
      <c r="F149" s="67">
        <v>109</v>
      </c>
      <c r="G149" s="67">
        <v>7</v>
      </c>
      <c r="H149" s="67" t="s">
        <v>27</v>
      </c>
      <c r="I149" s="67">
        <v>1</v>
      </c>
      <c r="J149" s="67"/>
      <c r="P149" s="41">
        <v>1</v>
      </c>
      <c r="Q149" s="67"/>
    </row>
    <row r="150" spans="2:17" thickBot="1" x14ac:dyDescent="0.3">
      <c r="B150" s="75">
        <v>149</v>
      </c>
      <c r="C150" s="77" t="s">
        <v>640</v>
      </c>
      <c r="D150" s="2" t="s">
        <v>1288</v>
      </c>
      <c r="E150" s="67">
        <v>29</v>
      </c>
      <c r="F150" s="67">
        <v>128</v>
      </c>
      <c r="G150" s="67">
        <v>9</v>
      </c>
      <c r="H150" s="67" t="s">
        <v>27</v>
      </c>
      <c r="I150" s="67">
        <v>1</v>
      </c>
      <c r="J150" s="67"/>
      <c r="P150" s="41">
        <v>1</v>
      </c>
      <c r="Q150" s="67"/>
    </row>
    <row r="151" spans="2:17" thickBot="1" x14ac:dyDescent="0.3">
      <c r="B151" s="75">
        <v>150</v>
      </c>
      <c r="C151" s="75" t="s">
        <v>253</v>
      </c>
      <c r="D151" s="2" t="s">
        <v>2416</v>
      </c>
      <c r="E151" s="67">
        <v>29</v>
      </c>
      <c r="F151" s="67">
        <v>92</v>
      </c>
      <c r="G151" s="67">
        <v>9</v>
      </c>
      <c r="H151" s="67" t="s">
        <v>27</v>
      </c>
      <c r="I151" s="67">
        <v>1</v>
      </c>
      <c r="J151" s="67"/>
      <c r="P151" s="41">
        <v>1</v>
      </c>
      <c r="Q151" s="67"/>
    </row>
    <row r="152" spans="2:17" thickBot="1" x14ac:dyDescent="0.3">
      <c r="B152" s="75">
        <v>151</v>
      </c>
      <c r="C152" s="77" t="s">
        <v>1286</v>
      </c>
      <c r="D152" s="2" t="s">
        <v>1285</v>
      </c>
      <c r="E152" s="67">
        <v>29</v>
      </c>
      <c r="F152" s="67">
        <v>94</v>
      </c>
      <c r="G152" s="67">
        <v>9</v>
      </c>
      <c r="H152" s="67" t="s">
        <v>27</v>
      </c>
      <c r="I152" s="67">
        <v>1</v>
      </c>
      <c r="J152" s="67"/>
      <c r="P152" s="41">
        <v>1</v>
      </c>
      <c r="Q152" s="67"/>
    </row>
    <row r="153" spans="2:17" thickBot="1" x14ac:dyDescent="0.3">
      <c r="B153" s="75">
        <v>152</v>
      </c>
      <c r="C153" s="77" t="s">
        <v>137</v>
      </c>
      <c r="D153" s="2" t="s">
        <v>509</v>
      </c>
      <c r="E153" s="67">
        <v>29</v>
      </c>
      <c r="F153" s="67">
        <v>84</v>
      </c>
      <c r="G153" s="67">
        <v>7</v>
      </c>
      <c r="H153" s="67" t="s">
        <v>27</v>
      </c>
      <c r="I153" s="67">
        <v>1</v>
      </c>
      <c r="J153" s="67"/>
      <c r="P153" s="41">
        <v>1</v>
      </c>
      <c r="Q153" s="67"/>
    </row>
    <row r="154" spans="2:17" thickBot="1" x14ac:dyDescent="0.3">
      <c r="B154" s="75">
        <v>153</v>
      </c>
      <c r="C154" s="75" t="s">
        <v>137</v>
      </c>
      <c r="D154" s="2" t="s">
        <v>1284</v>
      </c>
      <c r="E154" s="67">
        <v>29</v>
      </c>
      <c r="F154" s="67">
        <v>166</v>
      </c>
      <c r="G154" s="67">
        <v>9</v>
      </c>
      <c r="H154" s="67" t="s">
        <v>26</v>
      </c>
      <c r="I154" s="67"/>
      <c r="J154" s="66">
        <v>1</v>
      </c>
      <c r="M154" s="40">
        <v>1</v>
      </c>
      <c r="Q154" s="67"/>
    </row>
    <row r="155" spans="2:17" thickBot="1" x14ac:dyDescent="0.3">
      <c r="B155" s="75">
        <v>154</v>
      </c>
      <c r="C155" s="77" t="s">
        <v>131</v>
      </c>
      <c r="D155" s="2" t="s">
        <v>1283</v>
      </c>
      <c r="E155" s="67">
        <v>29</v>
      </c>
      <c r="F155" s="67">
        <v>153</v>
      </c>
      <c r="G155" s="67">
        <v>10</v>
      </c>
      <c r="H155" s="67" t="s">
        <v>26</v>
      </c>
      <c r="I155" s="67"/>
      <c r="J155" s="66">
        <v>1</v>
      </c>
      <c r="M155" s="40">
        <v>1</v>
      </c>
      <c r="Q155" s="67"/>
    </row>
    <row r="156" spans="2:17" thickBot="1" x14ac:dyDescent="0.3">
      <c r="B156" s="75">
        <v>155</v>
      </c>
      <c r="C156" s="77" t="s">
        <v>201</v>
      </c>
      <c r="D156" s="2" t="s">
        <v>1282</v>
      </c>
      <c r="E156" s="67">
        <v>29</v>
      </c>
      <c r="F156" s="67">
        <v>154</v>
      </c>
      <c r="G156" s="67">
        <v>10</v>
      </c>
      <c r="H156" s="67" t="s">
        <v>26</v>
      </c>
      <c r="I156" s="67"/>
      <c r="J156" s="66">
        <v>1</v>
      </c>
      <c r="M156" s="40">
        <v>1</v>
      </c>
      <c r="Q156" s="67"/>
    </row>
    <row r="157" spans="2:17" thickBot="1" x14ac:dyDescent="0.3">
      <c r="B157" s="75">
        <v>156</v>
      </c>
      <c r="C157" s="75" t="s">
        <v>268</v>
      </c>
      <c r="D157" s="2" t="s">
        <v>1281</v>
      </c>
      <c r="E157" s="67">
        <v>29</v>
      </c>
      <c r="F157" s="67">
        <v>155</v>
      </c>
      <c r="G157" s="67">
        <v>10</v>
      </c>
      <c r="H157" s="67" t="s">
        <v>26</v>
      </c>
      <c r="I157" s="67"/>
      <c r="J157" s="66">
        <v>1</v>
      </c>
      <c r="M157" s="40">
        <v>1</v>
      </c>
      <c r="Q157" s="67"/>
    </row>
    <row r="158" spans="2:17" thickBot="1" x14ac:dyDescent="0.3">
      <c r="B158" s="75">
        <v>157</v>
      </c>
      <c r="C158" s="75" t="s">
        <v>809</v>
      </c>
      <c r="D158" s="2" t="s">
        <v>1280</v>
      </c>
      <c r="E158" s="67">
        <v>29</v>
      </c>
      <c r="F158" s="67">
        <v>118</v>
      </c>
      <c r="G158" s="67"/>
      <c r="H158" s="67" t="s">
        <v>26</v>
      </c>
      <c r="I158" s="67"/>
      <c r="J158" s="66">
        <v>1</v>
      </c>
      <c r="M158" s="40">
        <v>1</v>
      </c>
      <c r="Q158" s="67"/>
    </row>
    <row r="159" spans="2:17" ht="36.75" thickBot="1" x14ac:dyDescent="0.3">
      <c r="B159" s="75">
        <v>158</v>
      </c>
      <c r="C159" s="77" t="s">
        <v>402</v>
      </c>
      <c r="D159" s="2" t="s">
        <v>1279</v>
      </c>
      <c r="E159" s="67">
        <v>29</v>
      </c>
      <c r="F159" s="67">
        <v>167</v>
      </c>
      <c r="G159" s="67">
        <v>11</v>
      </c>
      <c r="H159" s="67" t="s">
        <v>26</v>
      </c>
      <c r="I159" s="67"/>
      <c r="J159" s="66">
        <v>1</v>
      </c>
      <c r="M159" s="40">
        <v>1</v>
      </c>
      <c r="Q159" s="67" t="s">
        <v>3303</v>
      </c>
    </row>
    <row r="160" spans="2:17" thickBot="1" x14ac:dyDescent="0.3">
      <c r="B160" s="75">
        <v>159</v>
      </c>
      <c r="C160" s="77" t="s">
        <v>131</v>
      </c>
      <c r="D160" s="2" t="s">
        <v>1278</v>
      </c>
      <c r="E160" s="67">
        <v>29</v>
      </c>
      <c r="F160" s="67">
        <v>172</v>
      </c>
      <c r="G160" s="67">
        <v>8</v>
      </c>
      <c r="H160" s="67" t="s">
        <v>27</v>
      </c>
      <c r="I160" s="67">
        <v>1</v>
      </c>
      <c r="J160" s="66">
        <v>0</v>
      </c>
      <c r="Q160" s="67"/>
    </row>
    <row r="161" spans="1:17" thickBot="1" x14ac:dyDescent="0.3">
      <c r="B161" s="75">
        <v>160</v>
      </c>
      <c r="C161" s="75" t="s">
        <v>138</v>
      </c>
      <c r="D161" s="2" t="s">
        <v>1273</v>
      </c>
      <c r="E161" s="67">
        <v>29</v>
      </c>
      <c r="F161" s="67">
        <v>169</v>
      </c>
      <c r="G161" s="67">
        <v>12</v>
      </c>
      <c r="H161" s="67" t="s">
        <v>26</v>
      </c>
      <c r="I161" s="67"/>
      <c r="J161" s="66">
        <v>1</v>
      </c>
      <c r="M161" s="40">
        <v>1</v>
      </c>
      <c r="Q161" s="67"/>
    </row>
    <row r="162" spans="1:17" thickBot="1" x14ac:dyDescent="0.3">
      <c r="B162" s="75">
        <v>161</v>
      </c>
      <c r="C162" s="77" t="s">
        <v>132</v>
      </c>
      <c r="D162" s="2" t="s">
        <v>1277</v>
      </c>
      <c r="E162" s="67">
        <v>29</v>
      </c>
      <c r="F162" s="67">
        <v>153</v>
      </c>
      <c r="G162" s="67">
        <v>16</v>
      </c>
      <c r="H162" s="67" t="s">
        <v>26</v>
      </c>
      <c r="I162" s="67"/>
      <c r="J162" s="66">
        <v>1</v>
      </c>
      <c r="M162" s="40">
        <v>1</v>
      </c>
      <c r="Q162" s="67"/>
    </row>
    <row r="163" spans="1:17" thickBot="1" x14ac:dyDescent="0.3">
      <c r="B163" s="75">
        <v>162</v>
      </c>
      <c r="C163" s="77" t="s">
        <v>253</v>
      </c>
      <c r="D163" s="2" t="s">
        <v>1276</v>
      </c>
      <c r="E163" s="67">
        <v>29</v>
      </c>
      <c r="F163" s="67">
        <v>150</v>
      </c>
      <c r="G163" s="67">
        <v>12</v>
      </c>
      <c r="H163" s="67" t="s">
        <v>26</v>
      </c>
      <c r="I163" s="67"/>
      <c r="J163" s="66">
        <v>1</v>
      </c>
      <c r="M163" s="40">
        <v>1</v>
      </c>
      <c r="Q163" s="67"/>
    </row>
    <row r="164" spans="1:17" thickBot="1" x14ac:dyDescent="0.3">
      <c r="B164" s="75">
        <v>163</v>
      </c>
      <c r="C164" s="75" t="s">
        <v>302</v>
      </c>
      <c r="D164" s="2" t="s">
        <v>1275</v>
      </c>
      <c r="E164" s="67">
        <v>29</v>
      </c>
      <c r="F164" s="67">
        <v>149</v>
      </c>
      <c r="G164" s="67">
        <v>9</v>
      </c>
      <c r="H164" s="67" t="s">
        <v>26</v>
      </c>
      <c r="I164" s="67"/>
      <c r="J164" s="66">
        <v>1</v>
      </c>
      <c r="M164" s="40">
        <v>1</v>
      </c>
      <c r="Q164" s="67"/>
    </row>
    <row r="165" spans="1:17" thickBot="1" x14ac:dyDescent="0.3">
      <c r="B165" s="75">
        <v>164</v>
      </c>
      <c r="C165" s="77" t="s">
        <v>119</v>
      </c>
      <c r="D165" s="2" t="s">
        <v>1274</v>
      </c>
      <c r="E165" s="67">
        <v>29</v>
      </c>
      <c r="F165" s="67">
        <v>11</v>
      </c>
      <c r="G165" s="67">
        <v>8</v>
      </c>
      <c r="H165" s="67" t="s">
        <v>26</v>
      </c>
      <c r="I165" s="67"/>
      <c r="J165" s="66">
        <v>1</v>
      </c>
      <c r="M165" s="40">
        <v>1</v>
      </c>
      <c r="Q165" s="67"/>
    </row>
    <row r="166" spans="1:17" thickBot="1" x14ac:dyDescent="0.3">
      <c r="B166" s="75">
        <v>165</v>
      </c>
      <c r="C166" s="77" t="s">
        <v>234</v>
      </c>
      <c r="D166" s="2" t="s">
        <v>1273</v>
      </c>
      <c r="E166" s="67">
        <v>29</v>
      </c>
      <c r="F166" s="67">
        <v>171</v>
      </c>
      <c r="G166" s="67">
        <v>11</v>
      </c>
      <c r="H166" s="67" t="s">
        <v>26</v>
      </c>
      <c r="I166" s="67"/>
      <c r="J166" s="66">
        <v>1</v>
      </c>
      <c r="M166" s="40">
        <v>1</v>
      </c>
      <c r="Q166" s="67"/>
    </row>
    <row r="167" spans="1:17" thickBot="1" x14ac:dyDescent="0.3">
      <c r="B167" s="75">
        <v>166</v>
      </c>
      <c r="C167" s="75" t="s">
        <v>2588</v>
      </c>
      <c r="D167" s="2" t="s">
        <v>2587</v>
      </c>
      <c r="E167" s="67">
        <v>29</v>
      </c>
      <c r="F167" s="67"/>
      <c r="G167" s="67">
        <v>9</v>
      </c>
      <c r="H167" s="67" t="s">
        <v>26</v>
      </c>
      <c r="I167" s="67"/>
      <c r="J167" s="66">
        <v>1</v>
      </c>
      <c r="M167" s="40">
        <v>1</v>
      </c>
      <c r="Q167" s="67"/>
    </row>
    <row r="168" spans="1:17" thickBot="1" x14ac:dyDescent="0.3">
      <c r="B168" s="75">
        <v>167</v>
      </c>
      <c r="C168" s="77" t="s">
        <v>1272</v>
      </c>
      <c r="D168" s="2" t="s">
        <v>1271</v>
      </c>
      <c r="E168" s="67">
        <v>29</v>
      </c>
      <c r="F168" s="67">
        <v>171</v>
      </c>
      <c r="G168" s="67">
        <v>10</v>
      </c>
      <c r="H168" s="67" t="s">
        <v>26</v>
      </c>
      <c r="I168" s="67"/>
      <c r="J168" s="66">
        <v>1</v>
      </c>
      <c r="M168" s="40">
        <v>1</v>
      </c>
      <c r="Q168" s="67"/>
    </row>
    <row r="169" spans="1:17" thickBot="1" x14ac:dyDescent="0.3">
      <c r="B169" s="75">
        <v>168</v>
      </c>
      <c r="C169" s="77" t="s">
        <v>1135</v>
      </c>
      <c r="D169" s="2" t="s">
        <v>1270</v>
      </c>
      <c r="E169" s="67">
        <v>29</v>
      </c>
      <c r="F169" s="67">
        <v>156</v>
      </c>
      <c r="G169" s="67">
        <v>12</v>
      </c>
      <c r="H169" s="67" t="s">
        <v>27</v>
      </c>
      <c r="I169" s="67">
        <v>1</v>
      </c>
      <c r="J169" s="67"/>
      <c r="P169" s="41">
        <v>1</v>
      </c>
      <c r="Q169" s="67"/>
    </row>
    <row r="170" spans="1:17" thickBot="1" x14ac:dyDescent="0.3">
      <c r="B170" s="75">
        <v>169</v>
      </c>
      <c r="C170" s="75" t="s">
        <v>1150</v>
      </c>
      <c r="D170" s="2" t="s">
        <v>1269</v>
      </c>
      <c r="E170" s="67">
        <v>29</v>
      </c>
      <c r="F170" s="67">
        <v>170</v>
      </c>
      <c r="G170" s="67">
        <v>12</v>
      </c>
      <c r="H170" s="67" t="s">
        <v>27</v>
      </c>
      <c r="I170" s="67">
        <v>1</v>
      </c>
      <c r="J170" s="67"/>
      <c r="P170" s="41">
        <v>1</v>
      </c>
      <c r="Q170" s="67"/>
    </row>
    <row r="171" spans="1:17" thickBot="1" x14ac:dyDescent="0.3">
      <c r="B171" s="75">
        <v>170</v>
      </c>
      <c r="C171" s="77" t="s">
        <v>1265</v>
      </c>
      <c r="D171" s="79" t="s">
        <v>1266</v>
      </c>
      <c r="E171" s="67">
        <v>29</v>
      </c>
      <c r="F171" s="67">
        <v>146</v>
      </c>
      <c r="G171" s="67">
        <v>12</v>
      </c>
      <c r="H171" s="67" t="s">
        <v>27</v>
      </c>
      <c r="I171" s="67">
        <v>1</v>
      </c>
      <c r="J171" s="67"/>
      <c r="P171" s="41">
        <v>1</v>
      </c>
      <c r="Q171" s="67"/>
    </row>
    <row r="172" spans="1:17" thickBot="1" x14ac:dyDescent="0.3">
      <c r="B172" s="75">
        <v>171</v>
      </c>
      <c r="C172" s="77" t="s">
        <v>181</v>
      </c>
      <c r="D172" s="2" t="s">
        <v>1268</v>
      </c>
      <c r="E172" s="67">
        <v>29</v>
      </c>
      <c r="F172" s="67">
        <v>153</v>
      </c>
      <c r="G172" s="67">
        <v>11</v>
      </c>
      <c r="H172" s="67" t="s">
        <v>27</v>
      </c>
      <c r="I172" s="67">
        <v>1</v>
      </c>
      <c r="J172" s="67"/>
      <c r="P172" s="41">
        <v>1</v>
      </c>
      <c r="Q172" s="67"/>
    </row>
    <row r="173" spans="1:17" thickBot="1" x14ac:dyDescent="0.3">
      <c r="B173" s="75">
        <v>172</v>
      </c>
      <c r="C173" s="75" t="s">
        <v>932</v>
      </c>
      <c r="D173" s="2" t="s">
        <v>1489</v>
      </c>
      <c r="E173" s="67">
        <v>29</v>
      </c>
      <c r="F173" s="67">
        <v>159</v>
      </c>
      <c r="G173" s="67">
        <v>11</v>
      </c>
      <c r="H173" s="67" t="s">
        <v>27</v>
      </c>
      <c r="I173" s="67">
        <v>1</v>
      </c>
      <c r="J173" s="67"/>
      <c r="P173" s="41">
        <v>1</v>
      </c>
      <c r="Q173" s="67"/>
    </row>
    <row r="174" spans="1:17" thickBot="1" x14ac:dyDescent="0.3">
      <c r="A174" s="42" t="s">
        <v>2414</v>
      </c>
      <c r="B174" s="75">
        <v>173</v>
      </c>
      <c r="C174" s="77" t="s">
        <v>799</v>
      </c>
      <c r="D174" s="2" t="s">
        <v>1488</v>
      </c>
      <c r="E174" s="67">
        <v>29</v>
      </c>
      <c r="F174" s="67">
        <v>148</v>
      </c>
      <c r="G174" s="67">
        <v>11</v>
      </c>
      <c r="H174" s="67" t="s">
        <v>27</v>
      </c>
      <c r="I174" s="67">
        <v>1</v>
      </c>
      <c r="J174" s="67"/>
      <c r="P174" s="41">
        <v>1</v>
      </c>
      <c r="Q174" s="67"/>
    </row>
    <row r="175" spans="1:17" thickBot="1" x14ac:dyDescent="0.3">
      <c r="B175" s="75">
        <v>174</v>
      </c>
      <c r="C175" s="77" t="s">
        <v>2610</v>
      </c>
      <c r="D175" s="2" t="s">
        <v>1487</v>
      </c>
      <c r="E175" s="67">
        <v>29</v>
      </c>
      <c r="F175" s="67">
        <v>148</v>
      </c>
      <c r="G175" s="67">
        <v>9</v>
      </c>
      <c r="H175" s="67" t="s">
        <v>27</v>
      </c>
      <c r="I175" s="67">
        <v>1</v>
      </c>
      <c r="J175" s="67"/>
      <c r="P175" s="41">
        <v>1</v>
      </c>
      <c r="Q175" s="67"/>
    </row>
    <row r="176" spans="1:17" thickBot="1" x14ac:dyDescent="0.3">
      <c r="B176" s="75">
        <v>175</v>
      </c>
      <c r="C176" s="75" t="s">
        <v>190</v>
      </c>
      <c r="D176" s="2" t="s">
        <v>1486</v>
      </c>
      <c r="E176" s="67">
        <v>29</v>
      </c>
      <c r="F176" s="67">
        <v>166</v>
      </c>
      <c r="G176" s="67">
        <v>10</v>
      </c>
      <c r="H176" s="67" t="s">
        <v>27</v>
      </c>
      <c r="I176" s="67">
        <v>1</v>
      </c>
      <c r="J176" s="67"/>
      <c r="P176" s="41">
        <v>1</v>
      </c>
      <c r="Q176" s="67"/>
    </row>
    <row r="177" spans="2:17" ht="36.75" thickBot="1" x14ac:dyDescent="0.3">
      <c r="B177" s="75">
        <v>176</v>
      </c>
      <c r="C177" s="77" t="s">
        <v>574</v>
      </c>
      <c r="D177" s="79" t="s">
        <v>1485</v>
      </c>
      <c r="E177" s="67">
        <v>29</v>
      </c>
      <c r="F177" s="67">
        <v>174</v>
      </c>
      <c r="G177" s="67">
        <v>9</v>
      </c>
      <c r="H177" s="67" t="s">
        <v>27</v>
      </c>
      <c r="I177" s="67">
        <v>1</v>
      </c>
      <c r="J177" s="67"/>
      <c r="P177" s="41">
        <v>1</v>
      </c>
      <c r="Q177" s="69" t="s">
        <v>1267</v>
      </c>
    </row>
    <row r="178" spans="2:17" thickBot="1" x14ac:dyDescent="0.3">
      <c r="B178" s="75">
        <v>177</v>
      </c>
      <c r="C178" s="77" t="s">
        <v>1484</v>
      </c>
      <c r="D178" s="2" t="s">
        <v>532</v>
      </c>
      <c r="E178" s="67">
        <v>29</v>
      </c>
      <c r="F178" s="67">
        <v>162</v>
      </c>
      <c r="G178" s="67">
        <v>9</v>
      </c>
      <c r="H178" s="67" t="s">
        <v>27</v>
      </c>
      <c r="I178" s="67">
        <v>1</v>
      </c>
      <c r="J178" s="67"/>
      <c r="N178" s="41">
        <v>1</v>
      </c>
      <c r="Q178" s="67"/>
    </row>
    <row r="179" spans="2:17" thickBot="1" x14ac:dyDescent="0.3">
      <c r="B179" s="75">
        <v>178</v>
      </c>
      <c r="C179" s="75" t="s">
        <v>1244</v>
      </c>
      <c r="D179" s="2" t="s">
        <v>1483</v>
      </c>
      <c r="E179" s="67">
        <v>29</v>
      </c>
      <c r="F179" s="67"/>
      <c r="G179" s="67">
        <v>18</v>
      </c>
      <c r="H179" s="67" t="s">
        <v>26</v>
      </c>
      <c r="I179" s="67"/>
      <c r="J179" s="66">
        <v>1</v>
      </c>
      <c r="M179" s="40">
        <v>1</v>
      </c>
      <c r="Q179" s="67"/>
    </row>
    <row r="180" spans="2:17" thickBot="1" x14ac:dyDescent="0.3">
      <c r="B180" s="75">
        <v>179</v>
      </c>
      <c r="C180" s="77" t="s">
        <v>138</v>
      </c>
      <c r="D180" s="2" t="s">
        <v>1427</v>
      </c>
      <c r="E180" s="67">
        <v>29</v>
      </c>
      <c r="F180" s="67">
        <v>45</v>
      </c>
      <c r="G180" s="67">
        <v>18</v>
      </c>
      <c r="H180" s="67" t="s">
        <v>26</v>
      </c>
      <c r="I180" s="67"/>
      <c r="J180" s="66">
        <v>1</v>
      </c>
      <c r="M180" s="40">
        <v>1</v>
      </c>
      <c r="Q180" s="67"/>
    </row>
    <row r="181" spans="2:17" thickBot="1" x14ac:dyDescent="0.3">
      <c r="B181" s="75">
        <v>180</v>
      </c>
      <c r="C181" s="77" t="s">
        <v>677</v>
      </c>
      <c r="D181" s="2" t="s">
        <v>1482</v>
      </c>
      <c r="E181" s="67">
        <v>29</v>
      </c>
      <c r="F181" s="67">
        <v>44</v>
      </c>
      <c r="G181" s="67">
        <v>18</v>
      </c>
      <c r="H181" s="67" t="s">
        <v>26</v>
      </c>
      <c r="I181" s="67"/>
      <c r="J181" s="66">
        <v>1</v>
      </c>
      <c r="M181" s="40">
        <v>1</v>
      </c>
      <c r="Q181" s="67"/>
    </row>
    <row r="182" spans="2:17" ht="36.75" thickBot="1" x14ac:dyDescent="0.3">
      <c r="B182" s="75">
        <v>181</v>
      </c>
      <c r="C182" s="75" t="s">
        <v>659</v>
      </c>
      <c r="D182" s="2" t="s">
        <v>1481</v>
      </c>
      <c r="E182" s="67">
        <v>29</v>
      </c>
      <c r="F182" s="67">
        <v>32</v>
      </c>
      <c r="G182" s="67">
        <v>18</v>
      </c>
      <c r="H182" s="67" t="s">
        <v>26</v>
      </c>
      <c r="I182" s="67"/>
      <c r="J182" s="66">
        <v>1</v>
      </c>
      <c r="M182" s="40">
        <v>1</v>
      </c>
      <c r="Q182" s="67"/>
    </row>
    <row r="183" spans="2:17" ht="36.75" thickBot="1" x14ac:dyDescent="0.3">
      <c r="B183" s="75">
        <v>182</v>
      </c>
      <c r="C183" s="77" t="s">
        <v>1480</v>
      </c>
      <c r="D183" s="2" t="s">
        <v>1479</v>
      </c>
      <c r="E183" s="67">
        <v>29</v>
      </c>
      <c r="F183" s="67">
        <v>33</v>
      </c>
      <c r="G183" s="67">
        <v>18</v>
      </c>
      <c r="H183" s="67" t="s">
        <v>26</v>
      </c>
      <c r="I183" s="67"/>
      <c r="J183" s="66">
        <v>1</v>
      </c>
      <c r="M183" s="40">
        <v>1</v>
      </c>
      <c r="Q183" s="67"/>
    </row>
    <row r="184" spans="2:17" thickBot="1" x14ac:dyDescent="0.3">
      <c r="B184" s="75">
        <v>183</v>
      </c>
      <c r="C184" s="77" t="s">
        <v>1478</v>
      </c>
      <c r="D184" s="2" t="s">
        <v>1477</v>
      </c>
      <c r="E184" s="67">
        <v>29</v>
      </c>
      <c r="F184" s="67">
        <v>37</v>
      </c>
      <c r="G184" s="67">
        <v>18</v>
      </c>
      <c r="H184" s="67" t="s">
        <v>26</v>
      </c>
      <c r="I184" s="67"/>
      <c r="J184" s="66">
        <v>1</v>
      </c>
      <c r="M184" s="40">
        <v>1</v>
      </c>
      <c r="Q184" s="67"/>
    </row>
    <row r="185" spans="2:17" thickBot="1" x14ac:dyDescent="0.3">
      <c r="B185" s="75">
        <v>184</v>
      </c>
      <c r="C185" s="75" t="s">
        <v>128</v>
      </c>
      <c r="D185" s="2" t="s">
        <v>1476</v>
      </c>
      <c r="E185" s="67">
        <v>29</v>
      </c>
      <c r="F185" s="67">
        <v>25</v>
      </c>
      <c r="G185" s="67">
        <v>18</v>
      </c>
      <c r="H185" s="67" t="s">
        <v>26</v>
      </c>
      <c r="I185" s="67"/>
      <c r="J185" s="66">
        <v>1</v>
      </c>
      <c r="M185" s="40">
        <v>1</v>
      </c>
      <c r="Q185" s="67"/>
    </row>
    <row r="186" spans="2:17" thickBot="1" x14ac:dyDescent="0.3">
      <c r="B186" s="75">
        <v>185</v>
      </c>
      <c r="C186" s="77" t="s">
        <v>640</v>
      </c>
      <c r="D186" s="2" t="s">
        <v>1475</v>
      </c>
      <c r="E186" s="67">
        <v>29</v>
      </c>
      <c r="F186" s="67">
        <v>16</v>
      </c>
      <c r="G186" s="67">
        <v>18</v>
      </c>
      <c r="H186" s="67" t="s">
        <v>27</v>
      </c>
      <c r="I186" s="67">
        <v>1</v>
      </c>
      <c r="J186" s="67"/>
      <c r="P186" s="41">
        <v>1</v>
      </c>
      <c r="Q186" s="67"/>
    </row>
    <row r="187" spans="2:17" thickBot="1" x14ac:dyDescent="0.3">
      <c r="B187" s="75">
        <v>186</v>
      </c>
      <c r="C187" s="77" t="s">
        <v>143</v>
      </c>
      <c r="D187" s="2" t="s">
        <v>2623</v>
      </c>
      <c r="E187" s="67">
        <v>29</v>
      </c>
      <c r="F187" s="67">
        <v>14</v>
      </c>
      <c r="G187" s="67">
        <v>18</v>
      </c>
      <c r="H187" s="67" t="s">
        <v>26</v>
      </c>
      <c r="I187" s="67"/>
      <c r="J187" s="66">
        <v>1</v>
      </c>
      <c r="M187" s="40">
        <v>1</v>
      </c>
      <c r="Q187" s="67"/>
    </row>
    <row r="188" spans="2:17" thickBot="1" x14ac:dyDescent="0.3">
      <c r="B188" s="75">
        <v>187</v>
      </c>
      <c r="C188" s="75" t="s">
        <v>145</v>
      </c>
      <c r="D188" s="2" t="s">
        <v>1352</v>
      </c>
      <c r="E188" s="67">
        <v>29</v>
      </c>
      <c r="F188" s="67">
        <v>11</v>
      </c>
      <c r="G188" s="67">
        <v>18</v>
      </c>
      <c r="H188" s="67" t="s">
        <v>26</v>
      </c>
      <c r="I188" s="67"/>
      <c r="J188" s="66">
        <v>1</v>
      </c>
      <c r="M188" s="40">
        <v>1</v>
      </c>
      <c r="Q188" s="67"/>
    </row>
    <row r="189" spans="2:17" thickBot="1" x14ac:dyDescent="0.3">
      <c r="B189" s="75">
        <v>188</v>
      </c>
      <c r="C189" s="77" t="s">
        <v>137</v>
      </c>
      <c r="D189" s="2" t="s">
        <v>1237</v>
      </c>
      <c r="E189" s="67">
        <v>29</v>
      </c>
      <c r="F189" s="67">
        <v>16</v>
      </c>
      <c r="G189" s="67">
        <v>17</v>
      </c>
      <c r="H189" s="67" t="s">
        <v>26</v>
      </c>
      <c r="I189" s="67"/>
      <c r="J189" s="66">
        <v>1</v>
      </c>
      <c r="M189" s="40">
        <v>1</v>
      </c>
      <c r="Q189" s="67"/>
    </row>
    <row r="190" spans="2:17" thickBot="1" x14ac:dyDescent="0.3">
      <c r="B190" s="75">
        <v>189</v>
      </c>
      <c r="C190" s="77" t="s">
        <v>145</v>
      </c>
      <c r="D190" s="2" t="s">
        <v>1474</v>
      </c>
      <c r="E190" s="67">
        <v>29</v>
      </c>
      <c r="F190" s="67">
        <v>13</v>
      </c>
      <c r="G190" s="67">
        <v>18</v>
      </c>
      <c r="H190" s="67" t="s">
        <v>26</v>
      </c>
      <c r="I190" s="67"/>
      <c r="J190" s="66">
        <v>1</v>
      </c>
      <c r="M190" s="40">
        <v>1</v>
      </c>
      <c r="Q190" s="67"/>
    </row>
    <row r="191" spans="2:17" thickBot="1" x14ac:dyDescent="0.3">
      <c r="B191" s="75">
        <v>190</v>
      </c>
      <c r="C191" s="75" t="s">
        <v>1473</v>
      </c>
      <c r="D191" s="2" t="s">
        <v>1472</v>
      </c>
      <c r="E191" s="67">
        <v>29</v>
      </c>
      <c r="F191" s="67">
        <v>24</v>
      </c>
      <c r="G191" s="67">
        <v>17</v>
      </c>
      <c r="H191" s="67" t="s">
        <v>26</v>
      </c>
      <c r="I191" s="67"/>
      <c r="J191" s="66">
        <v>1</v>
      </c>
      <c r="M191" s="40">
        <v>1</v>
      </c>
      <c r="Q191" s="67"/>
    </row>
    <row r="192" spans="2:17" thickBot="1" x14ac:dyDescent="0.3">
      <c r="B192" s="75">
        <v>191</v>
      </c>
      <c r="C192" s="77" t="s">
        <v>362</v>
      </c>
      <c r="D192" s="2" t="s">
        <v>1471</v>
      </c>
      <c r="E192" s="67">
        <v>29</v>
      </c>
      <c r="F192" s="67">
        <v>41</v>
      </c>
      <c r="G192" s="67">
        <v>17</v>
      </c>
      <c r="H192" s="67" t="s">
        <v>26</v>
      </c>
      <c r="I192" s="67"/>
      <c r="J192" s="66">
        <v>1</v>
      </c>
      <c r="M192" s="40">
        <v>1</v>
      </c>
      <c r="Q192" s="67"/>
    </row>
    <row r="193" spans="2:17" thickBot="1" x14ac:dyDescent="0.3">
      <c r="B193" s="75">
        <v>192</v>
      </c>
      <c r="C193" s="77" t="s">
        <v>137</v>
      </c>
      <c r="D193" s="2" t="s">
        <v>1470</v>
      </c>
      <c r="E193" s="67">
        <v>29</v>
      </c>
      <c r="F193" s="67">
        <v>51</v>
      </c>
      <c r="G193" s="67">
        <v>16</v>
      </c>
      <c r="H193" s="67" t="s">
        <v>26</v>
      </c>
      <c r="I193" s="67"/>
      <c r="J193" s="66">
        <v>1</v>
      </c>
      <c r="M193" s="40">
        <v>1</v>
      </c>
      <c r="Q193" s="67"/>
    </row>
    <row r="194" spans="2:17" thickBot="1" x14ac:dyDescent="0.3">
      <c r="B194" s="75">
        <v>193</v>
      </c>
      <c r="C194" s="75" t="s">
        <v>123</v>
      </c>
      <c r="D194" s="2" t="s">
        <v>1469</v>
      </c>
      <c r="E194" s="67">
        <v>29</v>
      </c>
      <c r="F194" s="67">
        <v>20</v>
      </c>
      <c r="G194" s="67">
        <v>15</v>
      </c>
      <c r="H194" s="67" t="s">
        <v>26</v>
      </c>
      <c r="I194" s="67"/>
      <c r="J194" s="66">
        <v>1</v>
      </c>
      <c r="M194" s="40">
        <v>1</v>
      </c>
      <c r="Q194" s="67"/>
    </row>
    <row r="195" spans="2:17" thickBot="1" x14ac:dyDescent="0.3">
      <c r="B195" s="75">
        <v>194</v>
      </c>
      <c r="C195" s="77" t="s">
        <v>1244</v>
      </c>
      <c r="D195" s="2" t="s">
        <v>805</v>
      </c>
      <c r="E195" s="67">
        <v>29</v>
      </c>
      <c r="F195" s="67">
        <v>16</v>
      </c>
      <c r="G195" s="67">
        <v>15</v>
      </c>
      <c r="H195" s="67" t="s">
        <v>26</v>
      </c>
      <c r="I195" s="67"/>
      <c r="J195" s="66">
        <v>1</v>
      </c>
      <c r="M195" s="40">
        <v>1</v>
      </c>
      <c r="Q195" s="67"/>
    </row>
    <row r="196" spans="2:17" thickBot="1" x14ac:dyDescent="0.3">
      <c r="B196" s="75">
        <v>195</v>
      </c>
      <c r="C196" s="77" t="s">
        <v>131</v>
      </c>
      <c r="D196" s="2" t="s">
        <v>1468</v>
      </c>
      <c r="E196" s="67">
        <v>29</v>
      </c>
      <c r="F196" s="67">
        <v>21</v>
      </c>
      <c r="G196" s="67">
        <v>16</v>
      </c>
      <c r="H196" s="67" t="s">
        <v>26</v>
      </c>
      <c r="I196" s="67"/>
      <c r="J196" s="66">
        <v>1</v>
      </c>
      <c r="M196" s="40">
        <v>1</v>
      </c>
      <c r="Q196" s="67"/>
    </row>
    <row r="197" spans="2:17" thickBot="1" x14ac:dyDescent="0.3">
      <c r="B197" s="75">
        <v>196</v>
      </c>
      <c r="C197" s="75" t="s">
        <v>1467</v>
      </c>
      <c r="D197" s="2" t="s">
        <v>1466</v>
      </c>
      <c r="E197" s="67">
        <v>29</v>
      </c>
      <c r="F197" s="67">
        <v>28</v>
      </c>
      <c r="G197" s="67">
        <v>15</v>
      </c>
      <c r="H197" s="67" t="s">
        <v>26</v>
      </c>
      <c r="I197" s="67"/>
      <c r="J197" s="66">
        <v>1</v>
      </c>
      <c r="M197" s="40">
        <v>1</v>
      </c>
      <c r="Q197" s="67"/>
    </row>
    <row r="198" spans="2:17" thickBot="1" x14ac:dyDescent="0.3">
      <c r="B198" s="75">
        <v>197</v>
      </c>
      <c r="C198" s="77" t="s">
        <v>1465</v>
      </c>
      <c r="D198" s="2" t="s">
        <v>1464</v>
      </c>
      <c r="E198" s="67">
        <v>29</v>
      </c>
      <c r="F198" s="67" t="s">
        <v>25</v>
      </c>
      <c r="G198" s="67">
        <v>15</v>
      </c>
      <c r="H198" s="67" t="s">
        <v>26</v>
      </c>
      <c r="I198" s="67"/>
      <c r="J198" s="66">
        <v>1</v>
      </c>
      <c r="M198" s="40">
        <v>1</v>
      </c>
      <c r="Q198" s="67"/>
    </row>
    <row r="199" spans="2:17" thickBot="1" x14ac:dyDescent="0.3">
      <c r="B199" s="75">
        <v>198</v>
      </c>
      <c r="C199" s="77" t="s">
        <v>123</v>
      </c>
      <c r="D199" s="2" t="s">
        <v>1463</v>
      </c>
      <c r="E199" s="67">
        <v>29</v>
      </c>
      <c r="F199" s="67">
        <v>47</v>
      </c>
      <c r="G199" s="67">
        <v>12</v>
      </c>
      <c r="H199" s="67" t="s">
        <v>26</v>
      </c>
      <c r="I199" s="67"/>
      <c r="J199" s="66">
        <v>1</v>
      </c>
      <c r="M199" s="40">
        <v>1</v>
      </c>
      <c r="Q199" s="67"/>
    </row>
    <row r="200" spans="2:17" ht="36.75" thickBot="1" x14ac:dyDescent="0.3">
      <c r="B200" s="75">
        <v>199</v>
      </c>
      <c r="C200" s="75" t="s">
        <v>1462</v>
      </c>
      <c r="D200" s="2" t="s">
        <v>98</v>
      </c>
      <c r="E200" s="67">
        <v>29</v>
      </c>
      <c r="F200" s="67">
        <v>44</v>
      </c>
      <c r="G200" s="67">
        <v>15</v>
      </c>
      <c r="H200" s="67" t="s">
        <v>26</v>
      </c>
      <c r="I200" s="67"/>
      <c r="J200" s="66">
        <v>1</v>
      </c>
      <c r="M200" s="40">
        <v>1</v>
      </c>
      <c r="Q200" s="67"/>
    </row>
    <row r="201" spans="2:17" thickBot="1" x14ac:dyDescent="0.3">
      <c r="B201" s="75">
        <v>200</v>
      </c>
      <c r="C201" s="77" t="s">
        <v>1461</v>
      </c>
      <c r="D201" s="2" t="s">
        <v>1460</v>
      </c>
      <c r="E201" s="67">
        <v>29</v>
      </c>
      <c r="F201" s="67">
        <v>30</v>
      </c>
      <c r="G201" s="67">
        <v>14</v>
      </c>
      <c r="H201" s="67" t="s">
        <v>26</v>
      </c>
      <c r="I201" s="67"/>
      <c r="J201" s="66">
        <v>1</v>
      </c>
      <c r="M201" s="40">
        <v>1</v>
      </c>
      <c r="Q201" s="67"/>
    </row>
    <row r="202" spans="2:17" thickBot="1" x14ac:dyDescent="0.3">
      <c r="B202" s="75">
        <v>201</v>
      </c>
      <c r="C202" s="77" t="s">
        <v>1459</v>
      </c>
      <c r="D202" s="2" t="s">
        <v>1458</v>
      </c>
      <c r="E202" s="67">
        <v>29</v>
      </c>
      <c r="F202" s="67">
        <v>46</v>
      </c>
      <c r="G202" s="67">
        <v>14</v>
      </c>
      <c r="H202" s="67" t="s">
        <v>26</v>
      </c>
      <c r="I202" s="67"/>
      <c r="J202" s="66">
        <v>1</v>
      </c>
      <c r="M202" s="40">
        <v>1</v>
      </c>
      <c r="Q202" s="67"/>
    </row>
    <row r="203" spans="2:17" thickBot="1" x14ac:dyDescent="0.3">
      <c r="B203" s="75">
        <v>202</v>
      </c>
      <c r="C203" s="75" t="s">
        <v>1457</v>
      </c>
      <c r="D203" s="2" t="s">
        <v>1456</v>
      </c>
      <c r="E203" s="67">
        <v>29</v>
      </c>
      <c r="F203" s="67">
        <v>51</v>
      </c>
      <c r="G203" s="67">
        <v>15</v>
      </c>
      <c r="H203" s="67" t="s">
        <v>27</v>
      </c>
      <c r="I203" s="67">
        <v>1</v>
      </c>
      <c r="J203" s="67"/>
      <c r="P203" s="41">
        <v>1</v>
      </c>
      <c r="Q203" s="67"/>
    </row>
    <row r="204" spans="2:17" thickBot="1" x14ac:dyDescent="0.3">
      <c r="B204" s="75">
        <v>203</v>
      </c>
      <c r="C204" s="77" t="s">
        <v>1085</v>
      </c>
      <c r="D204" s="2" t="s">
        <v>1455</v>
      </c>
      <c r="E204" s="67">
        <v>29</v>
      </c>
      <c r="F204" s="67">
        <v>13</v>
      </c>
      <c r="G204" s="67">
        <v>14</v>
      </c>
      <c r="H204" s="67" t="s">
        <v>26</v>
      </c>
      <c r="I204" s="67"/>
      <c r="J204" s="66">
        <v>1</v>
      </c>
      <c r="M204" s="40">
        <v>1</v>
      </c>
      <c r="Q204" s="67"/>
    </row>
    <row r="205" spans="2:17" thickBot="1" x14ac:dyDescent="0.3">
      <c r="B205" s="75">
        <v>204</v>
      </c>
      <c r="C205" s="77" t="s">
        <v>1286</v>
      </c>
      <c r="D205" s="2" t="s">
        <v>1454</v>
      </c>
      <c r="E205" s="67">
        <v>29</v>
      </c>
      <c r="F205" s="67">
        <v>3</v>
      </c>
      <c r="G205" s="67">
        <v>14</v>
      </c>
      <c r="H205" s="67" t="s">
        <v>26</v>
      </c>
      <c r="I205" s="67"/>
      <c r="J205" s="66">
        <v>1</v>
      </c>
      <c r="M205" s="40">
        <v>1</v>
      </c>
      <c r="Q205" s="67"/>
    </row>
    <row r="206" spans="2:17" thickBot="1" x14ac:dyDescent="0.3">
      <c r="B206" s="75">
        <v>205</v>
      </c>
      <c r="C206" s="75" t="s">
        <v>135</v>
      </c>
      <c r="D206" s="2" t="s">
        <v>1453</v>
      </c>
      <c r="E206" s="67">
        <v>29</v>
      </c>
      <c r="F206" s="67">
        <v>4</v>
      </c>
      <c r="G206" s="67">
        <v>13</v>
      </c>
      <c r="H206" s="67" t="s">
        <v>26</v>
      </c>
      <c r="I206" s="67"/>
      <c r="J206" s="66">
        <v>1</v>
      </c>
      <c r="M206" s="40">
        <v>1</v>
      </c>
      <c r="Q206" s="67"/>
    </row>
    <row r="207" spans="2:17" thickBot="1" x14ac:dyDescent="0.3">
      <c r="B207" s="75">
        <v>206</v>
      </c>
      <c r="C207" s="77" t="s">
        <v>122</v>
      </c>
      <c r="D207" s="2" t="s">
        <v>1452</v>
      </c>
      <c r="E207" s="67">
        <v>29</v>
      </c>
      <c r="F207" s="67">
        <v>25</v>
      </c>
      <c r="G207" s="67">
        <v>13</v>
      </c>
      <c r="H207" s="67" t="s">
        <v>26</v>
      </c>
      <c r="I207" s="67"/>
      <c r="J207" s="66">
        <v>1</v>
      </c>
      <c r="M207" s="40">
        <v>1</v>
      </c>
      <c r="Q207" s="67"/>
    </row>
    <row r="208" spans="2:17" thickBot="1" x14ac:dyDescent="0.3">
      <c r="B208" s="75">
        <v>207</v>
      </c>
      <c r="C208" s="77" t="s">
        <v>812</v>
      </c>
      <c r="D208" s="2" t="s">
        <v>1277</v>
      </c>
      <c r="E208" s="67">
        <v>29</v>
      </c>
      <c r="F208" s="67">
        <v>15</v>
      </c>
      <c r="G208" s="67">
        <v>13</v>
      </c>
      <c r="H208" s="67" t="s">
        <v>26</v>
      </c>
      <c r="I208" s="67"/>
      <c r="J208" s="66">
        <v>1</v>
      </c>
      <c r="M208" s="40">
        <v>1</v>
      </c>
      <c r="Q208" s="67"/>
    </row>
    <row r="209" spans="2:17" thickBot="1" x14ac:dyDescent="0.3">
      <c r="B209" s="75">
        <v>208</v>
      </c>
      <c r="C209" s="75" t="s">
        <v>600</v>
      </c>
      <c r="D209" s="2" t="s">
        <v>6</v>
      </c>
      <c r="E209" s="67">
        <v>29</v>
      </c>
      <c r="F209" s="67">
        <v>40</v>
      </c>
      <c r="G209" s="67">
        <v>13</v>
      </c>
      <c r="H209" s="67" t="s">
        <v>27</v>
      </c>
      <c r="I209" s="67">
        <v>1</v>
      </c>
      <c r="J209" s="67"/>
      <c r="P209" s="41">
        <v>1</v>
      </c>
      <c r="Q209" s="67"/>
    </row>
    <row r="210" spans="2:17" thickBot="1" x14ac:dyDescent="0.3">
      <c r="B210" s="75">
        <v>209</v>
      </c>
      <c r="C210" s="75" t="s">
        <v>600</v>
      </c>
      <c r="D210" s="2" t="s">
        <v>6</v>
      </c>
      <c r="E210" s="67">
        <v>29</v>
      </c>
      <c r="F210" s="67">
        <v>28</v>
      </c>
      <c r="G210" s="67">
        <v>13</v>
      </c>
      <c r="H210" s="67" t="s">
        <v>27</v>
      </c>
      <c r="I210" s="67">
        <v>1</v>
      </c>
      <c r="J210" s="67"/>
      <c r="P210" s="41">
        <v>1</v>
      </c>
      <c r="Q210" s="67"/>
    </row>
    <row r="211" spans="2:17" thickBot="1" x14ac:dyDescent="0.3">
      <c r="B211" s="75">
        <v>210</v>
      </c>
      <c r="C211" s="77" t="s">
        <v>1451</v>
      </c>
      <c r="D211" s="2" t="s">
        <v>1450</v>
      </c>
      <c r="E211" s="67">
        <v>29</v>
      </c>
      <c r="F211" s="67">
        <v>3</v>
      </c>
      <c r="G211" s="67">
        <v>14</v>
      </c>
      <c r="H211" s="67" t="s">
        <v>27</v>
      </c>
      <c r="I211" s="67">
        <v>1</v>
      </c>
      <c r="J211" s="67"/>
      <c r="P211" s="41">
        <v>1</v>
      </c>
      <c r="Q211" s="67"/>
    </row>
    <row r="212" spans="2:17" thickBot="1" x14ac:dyDescent="0.3">
      <c r="B212" s="75">
        <v>211</v>
      </c>
      <c r="C212" s="77" t="s">
        <v>171</v>
      </c>
      <c r="D212" s="2" t="s">
        <v>1449</v>
      </c>
      <c r="E212" s="67">
        <v>29</v>
      </c>
      <c r="F212" s="67">
        <v>5</v>
      </c>
      <c r="G212" s="67">
        <v>14</v>
      </c>
      <c r="H212" s="67" t="s">
        <v>27</v>
      </c>
      <c r="I212" s="67">
        <v>1</v>
      </c>
      <c r="J212" s="67"/>
      <c r="P212" s="41">
        <v>1</v>
      </c>
      <c r="Q212" s="67"/>
    </row>
    <row r="213" spans="2:17" thickBot="1" x14ac:dyDescent="0.3">
      <c r="B213" s="75">
        <v>212</v>
      </c>
      <c r="C213" s="75" t="s">
        <v>891</v>
      </c>
      <c r="D213" s="2" t="s">
        <v>1448</v>
      </c>
      <c r="E213" s="67">
        <v>29</v>
      </c>
      <c r="F213" s="67">
        <v>53</v>
      </c>
      <c r="G213" s="67">
        <v>14</v>
      </c>
      <c r="H213" s="67" t="s">
        <v>27</v>
      </c>
      <c r="I213" s="67">
        <v>1</v>
      </c>
      <c r="J213" s="67"/>
      <c r="P213" s="41">
        <v>1</v>
      </c>
      <c r="Q213" s="67"/>
    </row>
    <row r="214" spans="2:17" thickBot="1" x14ac:dyDescent="0.3">
      <c r="B214" s="75">
        <v>213</v>
      </c>
      <c r="C214" s="77" t="s">
        <v>594</v>
      </c>
      <c r="D214" s="2" t="s">
        <v>318</v>
      </c>
      <c r="E214" s="67">
        <v>29</v>
      </c>
      <c r="F214" s="67">
        <v>32</v>
      </c>
      <c r="G214" s="67">
        <v>15</v>
      </c>
      <c r="H214" s="67" t="s">
        <v>27</v>
      </c>
      <c r="I214" s="67">
        <v>1</v>
      </c>
      <c r="J214" s="67"/>
      <c r="P214" s="41">
        <v>1</v>
      </c>
      <c r="Q214" s="67"/>
    </row>
    <row r="215" spans="2:17" thickBot="1" x14ac:dyDescent="0.3">
      <c r="B215" s="75">
        <v>214</v>
      </c>
      <c r="C215" s="77" t="s">
        <v>815</v>
      </c>
      <c r="D215" s="2" t="s">
        <v>1447</v>
      </c>
      <c r="E215" s="67">
        <v>29</v>
      </c>
      <c r="F215" s="67">
        <v>33</v>
      </c>
      <c r="G215" s="67">
        <v>15</v>
      </c>
      <c r="H215" s="67" t="s">
        <v>27</v>
      </c>
      <c r="I215" s="67">
        <v>1</v>
      </c>
      <c r="J215" s="67"/>
      <c r="P215" s="41">
        <v>1</v>
      </c>
      <c r="Q215" s="67"/>
    </row>
    <row r="216" spans="2:17" thickBot="1" x14ac:dyDescent="0.3">
      <c r="B216" s="75">
        <v>215</v>
      </c>
      <c r="C216" s="75" t="s">
        <v>1446</v>
      </c>
      <c r="D216" s="2" t="s">
        <v>1445</v>
      </c>
      <c r="E216" s="67">
        <v>29</v>
      </c>
      <c r="F216" s="67">
        <v>39</v>
      </c>
      <c r="G216" s="67">
        <v>15</v>
      </c>
      <c r="H216" s="67" t="s">
        <v>27</v>
      </c>
      <c r="I216" s="67">
        <v>1</v>
      </c>
      <c r="J216" s="67"/>
      <c r="P216" s="41">
        <v>1</v>
      </c>
      <c r="Q216" s="67"/>
    </row>
    <row r="217" spans="2:17" thickBot="1" x14ac:dyDescent="0.3">
      <c r="B217" s="75">
        <v>216</v>
      </c>
      <c r="C217" s="77" t="s">
        <v>1444</v>
      </c>
      <c r="D217" s="2" t="s">
        <v>1443</v>
      </c>
      <c r="E217" s="67">
        <v>29</v>
      </c>
      <c r="F217" s="67">
        <v>8</v>
      </c>
      <c r="G217" s="67">
        <v>16</v>
      </c>
      <c r="H217" s="67" t="s">
        <v>27</v>
      </c>
      <c r="I217" s="67">
        <v>1</v>
      </c>
      <c r="J217" s="67"/>
      <c r="P217" s="41">
        <v>1</v>
      </c>
      <c r="Q217" s="67"/>
    </row>
    <row r="218" spans="2:17" thickBot="1" x14ac:dyDescent="0.3">
      <c r="B218" s="75">
        <v>217</v>
      </c>
      <c r="C218" s="77" t="s">
        <v>1442</v>
      </c>
      <c r="D218" s="2" t="s">
        <v>515</v>
      </c>
      <c r="E218" s="67">
        <v>29</v>
      </c>
      <c r="F218" s="67">
        <v>20</v>
      </c>
      <c r="G218" s="67">
        <v>16</v>
      </c>
      <c r="H218" s="67" t="s">
        <v>27</v>
      </c>
      <c r="I218" s="67">
        <v>1</v>
      </c>
      <c r="J218" s="67"/>
      <c r="Q218" s="67"/>
    </row>
    <row r="219" spans="2:17" ht="36.75" thickBot="1" x14ac:dyDescent="0.3">
      <c r="B219" s="75">
        <v>218</v>
      </c>
      <c r="C219" s="75" t="s">
        <v>1441</v>
      </c>
      <c r="D219" s="2" t="s">
        <v>538</v>
      </c>
      <c r="E219" s="67">
        <v>29</v>
      </c>
      <c r="F219" s="67">
        <v>34</v>
      </c>
      <c r="G219" s="67">
        <v>16</v>
      </c>
      <c r="H219" s="67" t="s">
        <v>27</v>
      </c>
      <c r="I219" s="67">
        <v>1</v>
      </c>
      <c r="J219" s="67"/>
      <c r="P219" s="41">
        <v>1</v>
      </c>
      <c r="Q219" s="67"/>
    </row>
    <row r="220" spans="2:17" thickBot="1" x14ac:dyDescent="0.3">
      <c r="B220" s="75">
        <v>219</v>
      </c>
      <c r="C220" s="77" t="s">
        <v>315</v>
      </c>
      <c r="D220" s="2" t="s">
        <v>1440</v>
      </c>
      <c r="E220" s="67">
        <v>29</v>
      </c>
      <c r="F220" s="67">
        <v>38</v>
      </c>
      <c r="G220" s="67">
        <v>16</v>
      </c>
      <c r="H220" s="67" t="s">
        <v>27</v>
      </c>
      <c r="I220" s="67">
        <v>1</v>
      </c>
      <c r="J220" s="67"/>
      <c r="P220" s="41">
        <v>1</v>
      </c>
      <c r="Q220" s="67"/>
    </row>
    <row r="221" spans="2:17" thickBot="1" x14ac:dyDescent="0.3">
      <c r="B221" s="75">
        <v>220</v>
      </c>
      <c r="C221" s="77" t="s">
        <v>1439</v>
      </c>
      <c r="D221" s="2" t="s">
        <v>1438</v>
      </c>
      <c r="E221" s="67">
        <v>29</v>
      </c>
      <c r="F221" s="67">
        <v>43</v>
      </c>
      <c r="G221" s="67">
        <v>16</v>
      </c>
      <c r="H221" s="67" t="s">
        <v>27</v>
      </c>
      <c r="I221" s="67">
        <v>1</v>
      </c>
      <c r="J221" s="67"/>
      <c r="P221" s="41">
        <v>1</v>
      </c>
      <c r="Q221" s="67"/>
    </row>
    <row r="222" spans="2:17" thickBot="1" x14ac:dyDescent="0.3">
      <c r="B222" s="75">
        <v>221</v>
      </c>
      <c r="C222" s="75" t="s">
        <v>891</v>
      </c>
      <c r="D222" s="2" t="s">
        <v>784</v>
      </c>
      <c r="E222" s="67">
        <v>29</v>
      </c>
      <c r="F222" s="67">
        <v>44</v>
      </c>
      <c r="G222" s="67">
        <v>16</v>
      </c>
      <c r="H222" s="67" t="s">
        <v>27</v>
      </c>
      <c r="I222" s="67">
        <v>1</v>
      </c>
      <c r="J222" s="67"/>
      <c r="P222" s="41">
        <v>1</v>
      </c>
      <c r="Q222" s="67"/>
    </row>
    <row r="223" spans="2:17" thickBot="1" x14ac:dyDescent="0.3">
      <c r="B223" s="75">
        <v>222</v>
      </c>
      <c r="C223" s="77" t="s">
        <v>1150</v>
      </c>
      <c r="D223" s="2" t="s">
        <v>1437</v>
      </c>
      <c r="E223" s="67">
        <v>29</v>
      </c>
      <c r="F223" s="67">
        <v>46</v>
      </c>
      <c r="G223" s="67">
        <v>16</v>
      </c>
      <c r="H223" s="67" t="s">
        <v>27</v>
      </c>
      <c r="I223" s="67">
        <v>1</v>
      </c>
      <c r="J223" s="67"/>
      <c r="P223" s="41">
        <v>1</v>
      </c>
      <c r="Q223" s="67"/>
    </row>
    <row r="224" spans="2:17" thickBot="1" x14ac:dyDescent="0.3">
      <c r="B224" s="75">
        <v>223</v>
      </c>
      <c r="C224" s="77" t="s">
        <v>634</v>
      </c>
      <c r="D224" s="2" t="s">
        <v>1436</v>
      </c>
      <c r="E224" s="67">
        <v>29</v>
      </c>
      <c r="F224" s="67">
        <v>50</v>
      </c>
      <c r="G224" s="67">
        <v>16</v>
      </c>
      <c r="H224" s="67" t="s">
        <v>27</v>
      </c>
      <c r="I224" s="67">
        <v>1</v>
      </c>
      <c r="J224" s="67"/>
      <c r="P224" s="41">
        <v>1</v>
      </c>
      <c r="Q224" s="67"/>
    </row>
    <row r="225" spans="2:17" thickBot="1" x14ac:dyDescent="0.3">
      <c r="B225" s="75">
        <v>224</v>
      </c>
      <c r="C225" s="75" t="s">
        <v>138</v>
      </c>
      <c r="D225" s="2" t="s">
        <v>1435</v>
      </c>
      <c r="E225" s="67">
        <v>29</v>
      </c>
      <c r="F225" s="67">
        <v>7</v>
      </c>
      <c r="G225" s="67">
        <v>18</v>
      </c>
      <c r="H225" s="67" t="s">
        <v>27</v>
      </c>
      <c r="I225" s="67">
        <v>1</v>
      </c>
      <c r="J225" s="67"/>
      <c r="P225" s="41">
        <v>1</v>
      </c>
      <c r="Q225" s="67"/>
    </row>
    <row r="226" spans="2:17" thickBot="1" x14ac:dyDescent="0.3">
      <c r="B226" s="75">
        <v>225</v>
      </c>
      <c r="C226" s="77" t="s">
        <v>1434</v>
      </c>
      <c r="D226" s="2" t="s">
        <v>1433</v>
      </c>
      <c r="E226" s="67">
        <v>29</v>
      </c>
      <c r="F226" s="67">
        <v>13</v>
      </c>
      <c r="G226" s="67">
        <v>17</v>
      </c>
      <c r="H226" s="67" t="s">
        <v>27</v>
      </c>
      <c r="I226" s="67">
        <v>1</v>
      </c>
      <c r="J226" s="67"/>
      <c r="P226" s="41">
        <v>1</v>
      </c>
      <c r="Q226" s="67"/>
    </row>
    <row r="227" spans="2:17" thickBot="1" x14ac:dyDescent="0.3">
      <c r="B227" s="75">
        <v>226</v>
      </c>
      <c r="C227" s="77" t="s">
        <v>726</v>
      </c>
      <c r="D227" s="2" t="s">
        <v>1432</v>
      </c>
      <c r="E227" s="67">
        <v>29</v>
      </c>
      <c r="F227" s="67">
        <v>14</v>
      </c>
      <c r="G227" s="67">
        <v>17</v>
      </c>
      <c r="H227" s="67" t="s">
        <v>27</v>
      </c>
      <c r="I227" s="67">
        <v>1</v>
      </c>
      <c r="J227" s="67"/>
      <c r="P227" s="41">
        <v>1</v>
      </c>
      <c r="Q227" s="67"/>
    </row>
    <row r="228" spans="2:17" thickBot="1" x14ac:dyDescent="0.3">
      <c r="B228" s="75">
        <v>227</v>
      </c>
      <c r="C228" s="75" t="s">
        <v>138</v>
      </c>
      <c r="D228" s="2" t="s">
        <v>1431</v>
      </c>
      <c r="E228" s="67">
        <v>29</v>
      </c>
      <c r="F228" s="67">
        <v>20</v>
      </c>
      <c r="G228" s="67">
        <v>17</v>
      </c>
      <c r="H228" s="67" t="s">
        <v>27</v>
      </c>
      <c r="I228" s="67">
        <v>1</v>
      </c>
      <c r="J228" s="67"/>
      <c r="P228" s="41">
        <v>1</v>
      </c>
      <c r="Q228" s="67"/>
    </row>
    <row r="229" spans="2:17" thickBot="1" x14ac:dyDescent="0.3">
      <c r="B229" s="75">
        <v>228</v>
      </c>
      <c r="C229" s="77" t="s">
        <v>138</v>
      </c>
      <c r="D229" s="80" t="s">
        <v>1429</v>
      </c>
      <c r="E229" s="67">
        <v>29</v>
      </c>
      <c r="F229" s="67">
        <v>25</v>
      </c>
      <c r="G229" s="67">
        <v>17</v>
      </c>
      <c r="H229" s="67" t="s">
        <v>27</v>
      </c>
      <c r="I229" s="67">
        <v>1</v>
      </c>
      <c r="J229" s="67"/>
      <c r="P229" s="41">
        <v>1</v>
      </c>
      <c r="Q229" s="67"/>
    </row>
    <row r="230" spans="2:17" thickBot="1" x14ac:dyDescent="0.3">
      <c r="B230" s="75">
        <v>229</v>
      </c>
      <c r="C230" s="77" t="s">
        <v>1088</v>
      </c>
      <c r="D230" s="2" t="s">
        <v>1430</v>
      </c>
      <c r="E230" s="67">
        <v>29</v>
      </c>
      <c r="F230" s="67">
        <v>25</v>
      </c>
      <c r="G230" s="67">
        <v>17</v>
      </c>
      <c r="H230" s="67" t="s">
        <v>27</v>
      </c>
      <c r="I230" s="67">
        <v>1</v>
      </c>
      <c r="J230" s="67"/>
      <c r="P230" s="41">
        <v>1</v>
      </c>
      <c r="Q230" s="67"/>
    </row>
    <row r="231" spans="2:17" thickBot="1" x14ac:dyDescent="0.3">
      <c r="B231" s="75">
        <v>230</v>
      </c>
      <c r="C231" s="75" t="s">
        <v>362</v>
      </c>
      <c r="D231" s="2" t="s">
        <v>1428</v>
      </c>
      <c r="E231" s="67">
        <v>29</v>
      </c>
      <c r="F231" s="67">
        <v>33</v>
      </c>
      <c r="G231" s="67">
        <v>17</v>
      </c>
      <c r="H231" s="67" t="s">
        <v>27</v>
      </c>
      <c r="I231" s="67">
        <v>1</v>
      </c>
      <c r="J231" s="67"/>
      <c r="P231" s="41">
        <v>1</v>
      </c>
      <c r="Q231" s="67"/>
    </row>
    <row r="232" spans="2:17" thickBot="1" x14ac:dyDescent="0.3">
      <c r="B232" s="75">
        <v>231</v>
      </c>
      <c r="C232" s="77" t="s">
        <v>135</v>
      </c>
      <c r="D232" s="2" t="s">
        <v>1533</v>
      </c>
      <c r="E232" s="67">
        <v>29</v>
      </c>
      <c r="F232" s="67">
        <v>36</v>
      </c>
      <c r="G232" s="67">
        <v>17</v>
      </c>
      <c r="H232" s="67" t="s">
        <v>27</v>
      </c>
      <c r="I232" s="67">
        <v>1</v>
      </c>
      <c r="J232" s="67"/>
      <c r="P232" s="41">
        <v>1</v>
      </c>
      <c r="Q232" s="67"/>
    </row>
    <row r="233" spans="2:17" thickBot="1" x14ac:dyDescent="0.3">
      <c r="B233" s="75">
        <v>232</v>
      </c>
      <c r="C233" s="77" t="s">
        <v>1532</v>
      </c>
      <c r="D233" s="2" t="s">
        <v>761</v>
      </c>
      <c r="E233" s="67">
        <v>29</v>
      </c>
      <c r="F233" s="67">
        <v>28</v>
      </c>
      <c r="G233" s="67">
        <v>18</v>
      </c>
      <c r="H233" s="67" t="s">
        <v>27</v>
      </c>
      <c r="I233" s="67">
        <v>1</v>
      </c>
      <c r="J233" s="67"/>
      <c r="P233" s="41">
        <v>1</v>
      </c>
      <c r="Q233" s="67"/>
    </row>
    <row r="234" spans="2:17" thickBot="1" x14ac:dyDescent="0.3">
      <c r="B234" s="75">
        <v>233</v>
      </c>
      <c r="C234" s="75" t="s">
        <v>600</v>
      </c>
      <c r="D234" s="2" t="s">
        <v>6</v>
      </c>
      <c r="E234" s="67">
        <v>29</v>
      </c>
      <c r="F234" s="67">
        <v>33</v>
      </c>
      <c r="G234" s="67">
        <v>13</v>
      </c>
      <c r="H234" s="67" t="s">
        <v>27</v>
      </c>
      <c r="I234" s="67">
        <v>1</v>
      </c>
      <c r="J234" s="67"/>
      <c r="P234" s="41">
        <v>1</v>
      </c>
      <c r="Q234" s="67"/>
    </row>
    <row r="235" spans="2:17" thickBot="1" x14ac:dyDescent="0.3">
      <c r="B235" s="75">
        <v>234</v>
      </c>
      <c r="C235" s="77" t="s">
        <v>1531</v>
      </c>
      <c r="D235" s="2" t="s">
        <v>1530</v>
      </c>
      <c r="E235" s="67">
        <v>29</v>
      </c>
      <c r="F235" s="67">
        <v>100</v>
      </c>
      <c r="G235" s="67">
        <v>16</v>
      </c>
      <c r="H235" s="67" t="s">
        <v>26</v>
      </c>
      <c r="I235" s="67"/>
      <c r="J235" s="66">
        <v>1</v>
      </c>
      <c r="M235" s="40">
        <v>1</v>
      </c>
      <c r="Q235" s="67"/>
    </row>
    <row r="236" spans="2:17" thickBot="1" x14ac:dyDescent="0.3">
      <c r="B236" s="75">
        <v>235</v>
      </c>
      <c r="C236" s="77" t="s">
        <v>1529</v>
      </c>
      <c r="D236" s="2" t="s">
        <v>493</v>
      </c>
      <c r="E236" s="67">
        <v>29</v>
      </c>
      <c r="F236" s="67">
        <v>75</v>
      </c>
      <c r="G236" s="67">
        <v>26</v>
      </c>
      <c r="H236" s="67" t="s">
        <v>26</v>
      </c>
      <c r="I236" s="67"/>
      <c r="J236" s="66">
        <v>1</v>
      </c>
      <c r="M236" s="40">
        <v>1</v>
      </c>
      <c r="Q236" s="67"/>
    </row>
    <row r="237" spans="2:17" thickBot="1" x14ac:dyDescent="0.3">
      <c r="B237" s="75">
        <v>236</v>
      </c>
      <c r="C237" s="75" t="s">
        <v>139</v>
      </c>
      <c r="D237" s="2" t="s">
        <v>1528</v>
      </c>
      <c r="E237" s="67">
        <v>29</v>
      </c>
      <c r="F237" s="67">
        <v>70</v>
      </c>
      <c r="G237" s="67">
        <v>17</v>
      </c>
      <c r="H237" s="67" t="s">
        <v>26</v>
      </c>
      <c r="I237" s="67"/>
      <c r="J237" s="66">
        <v>1</v>
      </c>
      <c r="M237" s="40">
        <v>1</v>
      </c>
      <c r="Q237" s="67"/>
    </row>
    <row r="238" spans="2:17" thickBot="1" x14ac:dyDescent="0.3">
      <c r="B238" s="75">
        <v>237</v>
      </c>
      <c r="C238" s="77" t="s">
        <v>1085</v>
      </c>
      <c r="D238" s="2" t="s">
        <v>1527</v>
      </c>
      <c r="E238" s="67">
        <v>29</v>
      </c>
      <c r="F238" s="67">
        <v>96</v>
      </c>
      <c r="G238" s="67"/>
      <c r="H238" s="67" t="s">
        <v>26</v>
      </c>
      <c r="I238" s="67"/>
      <c r="J238" s="66">
        <v>1</v>
      </c>
      <c r="M238" s="40">
        <v>1</v>
      </c>
      <c r="Q238" s="67"/>
    </row>
    <row r="239" spans="2:17" thickBot="1" x14ac:dyDescent="0.3">
      <c r="B239" s="75">
        <v>238</v>
      </c>
      <c r="C239" s="77" t="s">
        <v>608</v>
      </c>
      <c r="D239" s="2" t="s">
        <v>1526</v>
      </c>
      <c r="E239" s="67">
        <v>29</v>
      </c>
      <c r="F239" s="67"/>
      <c r="G239" s="67"/>
      <c r="H239" s="67" t="s">
        <v>26</v>
      </c>
      <c r="I239" s="67"/>
      <c r="J239" s="66">
        <v>1</v>
      </c>
      <c r="M239" s="40">
        <v>1</v>
      </c>
      <c r="Q239" s="67"/>
    </row>
    <row r="240" spans="2:17" thickBot="1" x14ac:dyDescent="0.3">
      <c r="B240" s="75">
        <v>239</v>
      </c>
      <c r="C240" s="75" t="s">
        <v>128</v>
      </c>
      <c r="D240" s="2" t="s">
        <v>1525</v>
      </c>
      <c r="E240" s="67">
        <v>29</v>
      </c>
      <c r="F240" s="67">
        <v>78</v>
      </c>
      <c r="G240" s="67">
        <v>17</v>
      </c>
      <c r="H240" s="67" t="s">
        <v>26</v>
      </c>
      <c r="I240" s="67"/>
      <c r="J240" s="66">
        <v>1</v>
      </c>
      <c r="M240" s="40">
        <v>1</v>
      </c>
      <c r="Q240" s="67"/>
    </row>
    <row r="241" spans="2:17" thickBot="1" x14ac:dyDescent="0.3">
      <c r="B241" s="75">
        <v>240</v>
      </c>
      <c r="C241" s="77" t="s">
        <v>677</v>
      </c>
      <c r="D241" s="2" t="s">
        <v>1524</v>
      </c>
      <c r="E241" s="67">
        <v>29</v>
      </c>
      <c r="F241" s="67">
        <v>74</v>
      </c>
      <c r="G241" s="67">
        <v>17</v>
      </c>
      <c r="H241" s="67" t="s">
        <v>26</v>
      </c>
      <c r="I241" s="67"/>
      <c r="J241" s="66">
        <v>1</v>
      </c>
      <c r="M241" s="40">
        <v>1</v>
      </c>
      <c r="Q241" s="67"/>
    </row>
    <row r="242" spans="2:17" thickBot="1" x14ac:dyDescent="0.3">
      <c r="B242" s="75">
        <v>241</v>
      </c>
      <c r="C242" s="77" t="s">
        <v>1523</v>
      </c>
      <c r="D242" s="2" t="s">
        <v>178</v>
      </c>
      <c r="E242" s="67">
        <v>29</v>
      </c>
      <c r="F242" s="67">
        <v>71</v>
      </c>
      <c r="G242" s="67">
        <v>17</v>
      </c>
      <c r="H242" s="67" t="s">
        <v>26</v>
      </c>
      <c r="I242" s="67"/>
      <c r="J242" s="66">
        <v>1</v>
      </c>
      <c r="M242" s="40">
        <v>1</v>
      </c>
      <c r="Q242" s="67"/>
    </row>
    <row r="243" spans="2:17" thickBot="1" x14ac:dyDescent="0.3">
      <c r="B243" s="75">
        <v>242</v>
      </c>
      <c r="C243" s="75" t="s">
        <v>137</v>
      </c>
      <c r="D243" s="2" t="s">
        <v>1522</v>
      </c>
      <c r="E243" s="67">
        <v>29</v>
      </c>
      <c r="F243" s="67">
        <v>18</v>
      </c>
      <c r="G243" s="67">
        <v>17</v>
      </c>
      <c r="H243" s="67" t="s">
        <v>26</v>
      </c>
      <c r="I243" s="67"/>
      <c r="J243" s="66">
        <v>1</v>
      </c>
      <c r="M243" s="40">
        <v>1</v>
      </c>
      <c r="Q243" s="67"/>
    </row>
    <row r="244" spans="2:17" thickBot="1" x14ac:dyDescent="0.3">
      <c r="B244" s="75">
        <v>243</v>
      </c>
      <c r="C244" s="77" t="s">
        <v>1202</v>
      </c>
      <c r="D244" s="2" t="s">
        <v>1521</v>
      </c>
      <c r="E244" s="67">
        <v>29</v>
      </c>
      <c r="F244" s="67">
        <v>86</v>
      </c>
      <c r="G244" s="67">
        <v>17</v>
      </c>
      <c r="H244" s="67" t="s">
        <v>26</v>
      </c>
      <c r="I244" s="67"/>
      <c r="J244" s="66">
        <v>1</v>
      </c>
      <c r="M244" s="40">
        <v>1</v>
      </c>
      <c r="Q244" s="67"/>
    </row>
    <row r="245" spans="2:17" thickBot="1" x14ac:dyDescent="0.3">
      <c r="B245" s="75">
        <v>244</v>
      </c>
      <c r="C245" s="77" t="s">
        <v>1520</v>
      </c>
      <c r="D245" s="2" t="s">
        <v>1519</v>
      </c>
      <c r="E245" s="67">
        <v>29</v>
      </c>
      <c r="F245" s="67">
        <v>103</v>
      </c>
      <c r="G245" s="67">
        <v>17</v>
      </c>
      <c r="H245" s="67" t="s">
        <v>26</v>
      </c>
      <c r="I245" s="67"/>
      <c r="J245" s="66">
        <v>1</v>
      </c>
      <c r="M245" s="40">
        <v>1</v>
      </c>
      <c r="Q245" s="67"/>
    </row>
    <row r="246" spans="2:17" thickBot="1" x14ac:dyDescent="0.3">
      <c r="B246" s="75">
        <v>245</v>
      </c>
      <c r="C246" s="75" t="s">
        <v>1518</v>
      </c>
      <c r="D246" s="2" t="s">
        <v>1517</v>
      </c>
      <c r="E246" s="67">
        <v>29</v>
      </c>
      <c r="F246" s="67">
        <v>98</v>
      </c>
      <c r="G246" s="67">
        <v>17</v>
      </c>
      <c r="H246" s="67" t="s">
        <v>26</v>
      </c>
      <c r="I246" s="67"/>
      <c r="J246" s="66">
        <v>1</v>
      </c>
      <c r="M246" s="40">
        <v>1</v>
      </c>
      <c r="Q246" s="67"/>
    </row>
    <row r="247" spans="2:17" thickBot="1" x14ac:dyDescent="0.3">
      <c r="B247" s="75">
        <v>246</v>
      </c>
      <c r="C247" s="77" t="s">
        <v>677</v>
      </c>
      <c r="D247" s="2" t="s">
        <v>930</v>
      </c>
      <c r="E247" s="67">
        <v>29</v>
      </c>
      <c r="F247" s="67">
        <v>94</v>
      </c>
      <c r="G247" s="67">
        <v>17</v>
      </c>
      <c r="H247" s="67" t="s">
        <v>26</v>
      </c>
      <c r="I247" s="67"/>
      <c r="J247" s="66">
        <v>1</v>
      </c>
      <c r="M247" s="40">
        <v>1</v>
      </c>
      <c r="Q247" s="67"/>
    </row>
    <row r="248" spans="2:17" thickBot="1" x14ac:dyDescent="0.3">
      <c r="B248" s="75">
        <v>247</v>
      </c>
      <c r="C248" s="77" t="s">
        <v>1088</v>
      </c>
      <c r="D248" s="2" t="s">
        <v>1516</v>
      </c>
      <c r="E248" s="67">
        <v>29</v>
      </c>
      <c r="F248" s="67">
        <v>107</v>
      </c>
      <c r="G248" s="67">
        <v>18</v>
      </c>
      <c r="H248" s="67" t="s">
        <v>26</v>
      </c>
      <c r="I248" s="67"/>
      <c r="J248" s="66">
        <v>1</v>
      </c>
      <c r="M248" s="40">
        <v>1</v>
      </c>
      <c r="Q248" s="67"/>
    </row>
    <row r="249" spans="2:17" thickBot="1" x14ac:dyDescent="0.3">
      <c r="B249" s="75">
        <v>248</v>
      </c>
      <c r="C249" s="75" t="s">
        <v>1286</v>
      </c>
      <c r="D249" s="2" t="s">
        <v>509</v>
      </c>
      <c r="E249" s="67">
        <v>29</v>
      </c>
      <c r="F249" s="67"/>
      <c r="G249" s="67"/>
      <c r="H249" s="67" t="s">
        <v>26</v>
      </c>
      <c r="I249" s="67"/>
      <c r="J249" s="66">
        <v>1</v>
      </c>
      <c r="M249" s="40">
        <v>1</v>
      </c>
      <c r="Q249" s="67"/>
    </row>
    <row r="250" spans="2:17" thickBot="1" x14ac:dyDescent="0.3">
      <c r="B250" s="75">
        <v>249</v>
      </c>
      <c r="C250" s="77" t="s">
        <v>280</v>
      </c>
      <c r="D250" s="2" t="s">
        <v>1515</v>
      </c>
      <c r="E250" s="67">
        <v>29</v>
      </c>
      <c r="F250" s="67"/>
      <c r="G250" s="67">
        <v>17</v>
      </c>
      <c r="H250" s="67" t="s">
        <v>26</v>
      </c>
      <c r="I250" s="67"/>
      <c r="J250" s="66">
        <v>1</v>
      </c>
      <c r="M250" s="40">
        <v>1</v>
      </c>
      <c r="Q250" s="67"/>
    </row>
    <row r="251" spans="2:17" thickBot="1" x14ac:dyDescent="0.3">
      <c r="B251" s="75">
        <v>250</v>
      </c>
      <c r="C251" s="77" t="s">
        <v>815</v>
      </c>
      <c r="D251" s="2" t="s">
        <v>1514</v>
      </c>
      <c r="E251" s="67">
        <v>29</v>
      </c>
      <c r="F251" s="67">
        <v>100</v>
      </c>
      <c r="G251" s="67">
        <v>18</v>
      </c>
      <c r="H251" s="67" t="s">
        <v>26</v>
      </c>
      <c r="I251" s="67"/>
      <c r="J251" s="66">
        <v>1</v>
      </c>
      <c r="M251" s="40">
        <v>1</v>
      </c>
      <c r="Q251" s="67"/>
    </row>
    <row r="252" spans="2:17" thickBot="1" x14ac:dyDescent="0.3">
      <c r="B252" s="75">
        <v>251</v>
      </c>
      <c r="C252" s="75" t="s">
        <v>136</v>
      </c>
      <c r="D252" s="2" t="s">
        <v>1513</v>
      </c>
      <c r="E252" s="67">
        <v>29</v>
      </c>
      <c r="F252" s="67">
        <v>99</v>
      </c>
      <c r="G252" s="67">
        <v>18</v>
      </c>
      <c r="H252" s="67" t="s">
        <v>26</v>
      </c>
      <c r="I252" s="67"/>
      <c r="J252" s="66">
        <v>1</v>
      </c>
      <c r="M252" s="40">
        <v>1</v>
      </c>
      <c r="Q252" s="67"/>
    </row>
    <row r="253" spans="2:17" thickBot="1" x14ac:dyDescent="0.3">
      <c r="B253" s="75">
        <v>252</v>
      </c>
      <c r="C253" s="77" t="s">
        <v>138</v>
      </c>
      <c r="D253" s="2" t="s">
        <v>1512</v>
      </c>
      <c r="E253" s="67">
        <v>29</v>
      </c>
      <c r="F253" s="67">
        <v>89</v>
      </c>
      <c r="G253" s="67">
        <v>18</v>
      </c>
      <c r="H253" s="67" t="s">
        <v>26</v>
      </c>
      <c r="I253" s="67"/>
      <c r="J253" s="66">
        <v>1</v>
      </c>
      <c r="M253" s="40">
        <v>1</v>
      </c>
      <c r="Q253" s="67"/>
    </row>
    <row r="254" spans="2:17" thickBot="1" x14ac:dyDescent="0.3">
      <c r="B254" s="75">
        <v>253</v>
      </c>
      <c r="C254" s="77" t="s">
        <v>1465</v>
      </c>
      <c r="D254" s="2" t="s">
        <v>857</v>
      </c>
      <c r="E254" s="67">
        <v>29</v>
      </c>
      <c r="F254" s="67">
        <v>81</v>
      </c>
      <c r="G254" s="67">
        <v>18</v>
      </c>
      <c r="H254" s="67" t="s">
        <v>26</v>
      </c>
      <c r="I254" s="67"/>
      <c r="J254" s="66">
        <v>1</v>
      </c>
      <c r="M254" s="40">
        <v>1</v>
      </c>
      <c r="Q254" s="67"/>
    </row>
    <row r="255" spans="2:17" thickBot="1" x14ac:dyDescent="0.3">
      <c r="B255" s="75">
        <v>254</v>
      </c>
      <c r="C255" s="75" t="s">
        <v>280</v>
      </c>
      <c r="D255" s="2" t="s">
        <v>1511</v>
      </c>
      <c r="E255" s="67">
        <v>29</v>
      </c>
      <c r="F255" s="67">
        <v>86</v>
      </c>
      <c r="G255" s="67">
        <v>18</v>
      </c>
      <c r="H255" s="67" t="s">
        <v>26</v>
      </c>
      <c r="I255" s="67"/>
      <c r="J255" s="66">
        <v>1</v>
      </c>
      <c r="M255" s="40">
        <v>1</v>
      </c>
      <c r="Q255" s="67"/>
    </row>
    <row r="256" spans="2:17" thickBot="1" x14ac:dyDescent="0.3">
      <c r="B256" s="75">
        <v>255</v>
      </c>
      <c r="C256" s="77" t="s">
        <v>128</v>
      </c>
      <c r="D256" s="2" t="s">
        <v>1510</v>
      </c>
      <c r="E256" s="67">
        <v>29</v>
      </c>
      <c r="F256" s="67">
        <v>87</v>
      </c>
      <c r="G256" s="67">
        <v>18</v>
      </c>
      <c r="H256" s="67" t="s">
        <v>26</v>
      </c>
      <c r="I256" s="67"/>
      <c r="J256" s="66">
        <v>1</v>
      </c>
      <c r="M256" s="40">
        <v>1</v>
      </c>
      <c r="Q256" s="67"/>
    </row>
    <row r="257" spans="2:17" thickBot="1" x14ac:dyDescent="0.3">
      <c r="B257" s="75">
        <v>256</v>
      </c>
      <c r="C257" s="77" t="s">
        <v>1509</v>
      </c>
      <c r="D257" s="2" t="s">
        <v>1508</v>
      </c>
      <c r="E257" s="67">
        <v>29</v>
      </c>
      <c r="F257" s="67">
        <v>79</v>
      </c>
      <c r="G257" s="67">
        <v>18</v>
      </c>
      <c r="H257" s="67" t="s">
        <v>26</v>
      </c>
      <c r="I257" s="67"/>
      <c r="J257" s="66">
        <v>1</v>
      </c>
      <c r="M257" s="40">
        <v>1</v>
      </c>
      <c r="Q257" s="67"/>
    </row>
    <row r="258" spans="2:17" thickBot="1" x14ac:dyDescent="0.3">
      <c r="B258" s="75">
        <v>257</v>
      </c>
      <c r="C258" s="75" t="s">
        <v>1507</v>
      </c>
      <c r="D258" s="2" t="s">
        <v>1274</v>
      </c>
      <c r="E258" s="67">
        <v>29</v>
      </c>
      <c r="F258" s="67">
        <v>73</v>
      </c>
      <c r="G258" s="67">
        <v>18</v>
      </c>
      <c r="H258" s="67" t="s">
        <v>26</v>
      </c>
      <c r="I258" s="67"/>
      <c r="J258" s="66">
        <v>1</v>
      </c>
      <c r="M258" s="40">
        <v>1</v>
      </c>
      <c r="Q258" s="67"/>
    </row>
    <row r="259" spans="2:17" thickBot="1" x14ac:dyDescent="0.3">
      <c r="B259" s="75">
        <v>258</v>
      </c>
      <c r="C259" s="77" t="s">
        <v>1085</v>
      </c>
      <c r="D259" s="2" t="s">
        <v>1506</v>
      </c>
      <c r="E259" s="67">
        <v>29</v>
      </c>
      <c r="F259" s="67">
        <v>62</v>
      </c>
      <c r="G259" s="67">
        <v>18</v>
      </c>
      <c r="H259" s="67" t="s">
        <v>26</v>
      </c>
      <c r="I259" s="67"/>
      <c r="J259" s="66">
        <v>1</v>
      </c>
      <c r="M259" s="40">
        <v>1</v>
      </c>
      <c r="Q259" s="67"/>
    </row>
    <row r="260" spans="2:17" thickBot="1" x14ac:dyDescent="0.3">
      <c r="B260" s="75">
        <v>259</v>
      </c>
      <c r="C260" s="77" t="s">
        <v>131</v>
      </c>
      <c r="D260" s="2" t="s">
        <v>1505</v>
      </c>
      <c r="E260" s="67">
        <v>29</v>
      </c>
      <c r="F260" s="67">
        <v>89</v>
      </c>
      <c r="G260" s="67">
        <v>15</v>
      </c>
      <c r="H260" s="67" t="s">
        <v>27</v>
      </c>
      <c r="I260" s="67">
        <v>1</v>
      </c>
      <c r="J260" s="67"/>
      <c r="Q260" s="67"/>
    </row>
    <row r="261" spans="2:17" thickBot="1" x14ac:dyDescent="0.3">
      <c r="B261" s="75">
        <v>260</v>
      </c>
      <c r="C261" s="75" t="s">
        <v>135</v>
      </c>
      <c r="D261" s="2" t="s">
        <v>1504</v>
      </c>
      <c r="E261" s="67">
        <v>29</v>
      </c>
      <c r="F261" s="67">
        <v>91</v>
      </c>
      <c r="G261" s="67">
        <v>15</v>
      </c>
      <c r="H261" s="67" t="s">
        <v>27</v>
      </c>
      <c r="I261" s="67">
        <v>1</v>
      </c>
      <c r="J261" s="67"/>
      <c r="P261" s="41">
        <v>1</v>
      </c>
      <c r="Q261" s="67"/>
    </row>
    <row r="262" spans="2:17" thickBot="1" x14ac:dyDescent="0.3">
      <c r="B262" s="75">
        <v>261</v>
      </c>
      <c r="C262" s="75" t="s">
        <v>187</v>
      </c>
      <c r="D262" s="2" t="s">
        <v>1503</v>
      </c>
      <c r="E262" s="67">
        <v>29</v>
      </c>
      <c r="F262" s="67">
        <v>64</v>
      </c>
      <c r="G262" s="67">
        <v>16</v>
      </c>
      <c r="H262" s="67" t="s">
        <v>27</v>
      </c>
      <c r="I262" s="67">
        <v>1</v>
      </c>
      <c r="J262" s="67"/>
      <c r="P262" s="41">
        <v>1</v>
      </c>
      <c r="Q262" s="67"/>
    </row>
    <row r="263" spans="2:17" thickBot="1" x14ac:dyDescent="0.3">
      <c r="B263" s="75">
        <v>262</v>
      </c>
      <c r="C263" s="77" t="s">
        <v>131</v>
      </c>
      <c r="D263" s="2" t="s">
        <v>1482</v>
      </c>
      <c r="E263" s="67">
        <v>29</v>
      </c>
      <c r="F263" s="67">
        <v>112</v>
      </c>
      <c r="G263" s="67">
        <v>16</v>
      </c>
      <c r="H263" s="67" t="s">
        <v>27</v>
      </c>
      <c r="I263" s="67">
        <v>1</v>
      </c>
      <c r="J263" s="67"/>
      <c r="P263" s="41">
        <v>1</v>
      </c>
      <c r="Q263" s="67"/>
    </row>
    <row r="264" spans="2:17" thickBot="1" x14ac:dyDescent="0.3">
      <c r="B264" s="75">
        <v>263</v>
      </c>
      <c r="C264" s="77" t="s">
        <v>815</v>
      </c>
      <c r="D264" s="2" t="s">
        <v>1502</v>
      </c>
      <c r="E264" s="67">
        <v>29</v>
      </c>
      <c r="F264" s="67">
        <v>79</v>
      </c>
      <c r="G264" s="67">
        <v>17</v>
      </c>
      <c r="H264" s="67" t="s">
        <v>27</v>
      </c>
      <c r="I264" s="67">
        <v>1</v>
      </c>
      <c r="J264" s="67"/>
      <c r="P264" s="41">
        <v>1</v>
      </c>
      <c r="Q264" s="67"/>
    </row>
    <row r="265" spans="2:17" thickBot="1" x14ac:dyDescent="0.3">
      <c r="B265" s="75">
        <v>264</v>
      </c>
      <c r="C265" s="75" t="s">
        <v>1501</v>
      </c>
      <c r="D265" s="2" t="s">
        <v>1500</v>
      </c>
      <c r="E265" s="67">
        <v>29</v>
      </c>
      <c r="F265" s="67">
        <v>91</v>
      </c>
      <c r="G265" s="67">
        <v>17</v>
      </c>
      <c r="H265" s="67" t="s">
        <v>27</v>
      </c>
      <c r="I265" s="67">
        <v>1</v>
      </c>
      <c r="J265" s="67"/>
      <c r="P265" s="41">
        <v>1</v>
      </c>
      <c r="Q265" s="67"/>
    </row>
    <row r="266" spans="2:17" thickBot="1" x14ac:dyDescent="0.3">
      <c r="B266" s="75">
        <v>265</v>
      </c>
      <c r="C266" s="77" t="s">
        <v>123</v>
      </c>
      <c r="D266" s="2" t="s">
        <v>383</v>
      </c>
      <c r="E266" s="67">
        <v>29</v>
      </c>
      <c r="F266" s="67">
        <v>69</v>
      </c>
      <c r="G266" s="67">
        <v>18</v>
      </c>
      <c r="H266" s="67" t="s">
        <v>27</v>
      </c>
      <c r="I266" s="67">
        <v>1</v>
      </c>
      <c r="J266" s="67"/>
      <c r="Q266" s="67"/>
    </row>
    <row r="267" spans="2:17" thickBot="1" x14ac:dyDescent="0.3">
      <c r="B267" s="75">
        <v>266</v>
      </c>
      <c r="C267" s="77" t="s">
        <v>138</v>
      </c>
      <c r="D267" s="2" t="s">
        <v>1031</v>
      </c>
      <c r="E267" s="67">
        <v>29</v>
      </c>
      <c r="F267" s="67">
        <v>83</v>
      </c>
      <c r="G267" s="67">
        <v>18</v>
      </c>
      <c r="H267" s="67" t="s">
        <v>27</v>
      </c>
      <c r="I267" s="67">
        <v>1</v>
      </c>
      <c r="J267" s="67"/>
      <c r="P267" s="41">
        <v>1</v>
      </c>
      <c r="Q267" s="67"/>
    </row>
    <row r="268" spans="2:17" thickBot="1" x14ac:dyDescent="0.3">
      <c r="B268" s="75">
        <v>267</v>
      </c>
      <c r="C268" s="75" t="s">
        <v>1499</v>
      </c>
      <c r="D268" s="2" t="s">
        <v>1498</v>
      </c>
      <c r="E268" s="67">
        <v>29</v>
      </c>
      <c r="F268" s="67">
        <v>88</v>
      </c>
      <c r="G268" s="67">
        <v>18</v>
      </c>
      <c r="H268" s="67" t="s">
        <v>27</v>
      </c>
      <c r="I268" s="67">
        <v>1</v>
      </c>
      <c r="J268" s="67"/>
      <c r="P268" s="41">
        <v>1</v>
      </c>
      <c r="Q268" s="67"/>
    </row>
    <row r="269" spans="2:17" thickBot="1" x14ac:dyDescent="0.3">
      <c r="B269" s="75">
        <v>268</v>
      </c>
      <c r="C269" s="77" t="s">
        <v>1497</v>
      </c>
      <c r="D269" s="2" t="s">
        <v>1496</v>
      </c>
      <c r="E269" s="67">
        <v>29</v>
      </c>
      <c r="F269" s="67">
        <v>101</v>
      </c>
      <c r="G269" s="67">
        <v>18</v>
      </c>
      <c r="H269" s="67" t="s">
        <v>27</v>
      </c>
      <c r="I269" s="67">
        <v>1</v>
      </c>
      <c r="J269" s="67"/>
      <c r="P269" s="41">
        <v>1</v>
      </c>
      <c r="Q269" s="67"/>
    </row>
    <row r="270" spans="2:17" thickBot="1" x14ac:dyDescent="0.3">
      <c r="B270" s="75">
        <v>269</v>
      </c>
      <c r="C270" s="77" t="s">
        <v>640</v>
      </c>
      <c r="D270" s="2" t="s">
        <v>2417</v>
      </c>
      <c r="E270" s="67">
        <v>29</v>
      </c>
      <c r="F270" s="67">
        <v>68</v>
      </c>
      <c r="G270" s="67">
        <v>17</v>
      </c>
      <c r="H270" s="67" t="s">
        <v>27</v>
      </c>
      <c r="I270" s="67">
        <v>1</v>
      </c>
      <c r="J270" s="67"/>
      <c r="P270" s="41">
        <v>1</v>
      </c>
      <c r="Q270" s="67"/>
    </row>
    <row r="271" spans="2:17" thickBot="1" x14ac:dyDescent="0.3">
      <c r="B271" s="75">
        <v>270</v>
      </c>
      <c r="C271" s="75" t="s">
        <v>600</v>
      </c>
      <c r="D271" s="2" t="s">
        <v>6</v>
      </c>
      <c r="E271" s="67">
        <v>29</v>
      </c>
      <c r="F271" s="67">
        <v>98</v>
      </c>
      <c r="G271" s="67">
        <v>13</v>
      </c>
      <c r="H271" s="67" t="s">
        <v>27</v>
      </c>
      <c r="I271" s="67">
        <v>1</v>
      </c>
      <c r="J271" s="67"/>
      <c r="P271" s="41">
        <v>1</v>
      </c>
      <c r="Q271" s="67"/>
    </row>
    <row r="272" spans="2:17" thickBot="1" x14ac:dyDescent="0.3">
      <c r="B272" s="75">
        <v>271</v>
      </c>
      <c r="C272" s="77" t="s">
        <v>781</v>
      </c>
      <c r="D272" s="2" t="s">
        <v>1495</v>
      </c>
      <c r="E272" s="67">
        <v>29</v>
      </c>
      <c r="F272" s="67">
        <v>121</v>
      </c>
      <c r="G272" s="67">
        <v>17</v>
      </c>
      <c r="H272" s="67" t="s">
        <v>26</v>
      </c>
      <c r="I272" s="67"/>
      <c r="J272" s="66">
        <v>1</v>
      </c>
      <c r="M272" s="40">
        <v>1</v>
      </c>
      <c r="Q272" s="67"/>
    </row>
    <row r="273" spans="2:17" thickBot="1" x14ac:dyDescent="0.3">
      <c r="B273" s="75">
        <v>272</v>
      </c>
      <c r="C273" s="77" t="s">
        <v>187</v>
      </c>
      <c r="D273" s="2" t="s">
        <v>1494</v>
      </c>
      <c r="E273" s="67">
        <v>29</v>
      </c>
      <c r="F273" s="67">
        <v>121</v>
      </c>
      <c r="G273" s="67">
        <v>16</v>
      </c>
      <c r="H273" s="67" t="s">
        <v>26</v>
      </c>
      <c r="I273" s="67"/>
      <c r="J273" s="66">
        <v>1</v>
      </c>
      <c r="M273" s="40">
        <v>1</v>
      </c>
      <c r="Q273" s="67"/>
    </row>
    <row r="274" spans="2:17" thickBot="1" x14ac:dyDescent="0.3">
      <c r="B274" s="75">
        <v>273</v>
      </c>
      <c r="C274" s="75" t="s">
        <v>136</v>
      </c>
      <c r="D274" s="2" t="s">
        <v>1493</v>
      </c>
      <c r="E274" s="67">
        <v>29</v>
      </c>
      <c r="F274" s="67">
        <v>163</v>
      </c>
      <c r="G274" s="67">
        <v>15</v>
      </c>
      <c r="H274" s="67" t="s">
        <v>26</v>
      </c>
      <c r="I274" s="67"/>
      <c r="J274" s="66">
        <v>1</v>
      </c>
      <c r="M274" s="40">
        <v>1</v>
      </c>
      <c r="Q274" s="67"/>
    </row>
    <row r="275" spans="2:17" thickBot="1" x14ac:dyDescent="0.3">
      <c r="B275" s="75">
        <v>274</v>
      </c>
      <c r="C275" s="77" t="s">
        <v>677</v>
      </c>
      <c r="D275" s="2" t="s">
        <v>1492</v>
      </c>
      <c r="E275" s="67">
        <v>29</v>
      </c>
      <c r="F275" s="67">
        <v>143</v>
      </c>
      <c r="G275" s="67">
        <v>16</v>
      </c>
      <c r="H275" s="67" t="s">
        <v>26</v>
      </c>
      <c r="I275" s="67"/>
      <c r="J275" s="66">
        <v>1</v>
      </c>
      <c r="M275" s="40">
        <v>1</v>
      </c>
      <c r="Q275" s="67"/>
    </row>
    <row r="276" spans="2:17" thickBot="1" x14ac:dyDescent="0.3">
      <c r="B276" s="75">
        <v>275</v>
      </c>
      <c r="C276" s="77" t="s">
        <v>1085</v>
      </c>
      <c r="D276" s="2" t="s">
        <v>1491</v>
      </c>
      <c r="E276" s="67">
        <v>29</v>
      </c>
      <c r="F276" s="67">
        <v>163</v>
      </c>
      <c r="G276" s="67">
        <v>15</v>
      </c>
      <c r="H276" s="67" t="s">
        <v>26</v>
      </c>
      <c r="I276" s="67"/>
      <c r="J276" s="66">
        <v>1</v>
      </c>
      <c r="M276" s="40">
        <v>1</v>
      </c>
      <c r="Q276" s="67"/>
    </row>
    <row r="277" spans="2:17" thickBot="1" x14ac:dyDescent="0.3">
      <c r="B277" s="75">
        <v>276</v>
      </c>
      <c r="C277" s="75" t="s">
        <v>143</v>
      </c>
      <c r="D277" s="2" t="s">
        <v>1490</v>
      </c>
      <c r="E277" s="67">
        <v>29</v>
      </c>
      <c r="F277" s="67">
        <v>156</v>
      </c>
      <c r="G277" s="67">
        <v>15</v>
      </c>
      <c r="H277" s="67" t="s">
        <v>26</v>
      </c>
      <c r="I277" s="67"/>
      <c r="J277" s="66">
        <v>1</v>
      </c>
      <c r="M277" s="40">
        <v>1</v>
      </c>
      <c r="Q277" s="67"/>
    </row>
    <row r="278" spans="2:17" thickBot="1" x14ac:dyDescent="0.3">
      <c r="B278" s="75">
        <v>277</v>
      </c>
      <c r="C278" s="77" t="s">
        <v>362</v>
      </c>
      <c r="D278" s="2" t="s">
        <v>542</v>
      </c>
      <c r="E278" s="67">
        <v>29</v>
      </c>
      <c r="F278" s="67">
        <v>150</v>
      </c>
      <c r="G278" s="67">
        <v>15</v>
      </c>
      <c r="H278" s="67" t="s">
        <v>26</v>
      </c>
      <c r="I278" s="67"/>
      <c r="J278" s="66">
        <v>1</v>
      </c>
      <c r="M278" s="40">
        <v>1</v>
      </c>
      <c r="Q278" s="67"/>
    </row>
    <row r="279" spans="2:17" thickBot="1" x14ac:dyDescent="0.3">
      <c r="B279" s="75">
        <v>278</v>
      </c>
      <c r="C279" s="77" t="s">
        <v>1568</v>
      </c>
      <c r="D279" s="2" t="s">
        <v>710</v>
      </c>
      <c r="E279" s="67">
        <v>29</v>
      </c>
      <c r="F279" s="67">
        <v>127</v>
      </c>
      <c r="G279" s="67">
        <v>15</v>
      </c>
      <c r="H279" s="67" t="s">
        <v>26</v>
      </c>
      <c r="I279" s="67"/>
      <c r="J279" s="66">
        <v>1</v>
      </c>
      <c r="M279" s="40">
        <v>1</v>
      </c>
      <c r="Q279" s="67"/>
    </row>
    <row r="280" spans="2:17" thickBot="1" x14ac:dyDescent="0.3">
      <c r="B280" s="75">
        <v>279</v>
      </c>
      <c r="C280" s="75" t="s">
        <v>362</v>
      </c>
      <c r="D280" s="2" t="s">
        <v>1567</v>
      </c>
      <c r="E280" s="67">
        <v>29</v>
      </c>
      <c r="F280" s="67">
        <v>135</v>
      </c>
      <c r="G280" s="67">
        <v>15</v>
      </c>
      <c r="H280" s="67" t="s">
        <v>26</v>
      </c>
      <c r="I280" s="67"/>
      <c r="J280" s="66">
        <v>1</v>
      </c>
      <c r="M280" s="40">
        <v>1</v>
      </c>
      <c r="Q280" s="67"/>
    </row>
    <row r="281" spans="2:17" thickBot="1" x14ac:dyDescent="0.3">
      <c r="B281" s="75">
        <v>280</v>
      </c>
      <c r="C281" s="77" t="s">
        <v>1194</v>
      </c>
      <c r="D281" s="2" t="s">
        <v>1566</v>
      </c>
      <c r="E281" s="67">
        <v>29</v>
      </c>
      <c r="F281" s="67"/>
      <c r="G281" s="67"/>
      <c r="H281" s="67" t="s">
        <v>26</v>
      </c>
      <c r="I281" s="67"/>
      <c r="J281" s="66">
        <v>1</v>
      </c>
      <c r="M281" s="40">
        <v>1</v>
      </c>
      <c r="Q281" s="67"/>
    </row>
    <row r="282" spans="2:17" thickBot="1" x14ac:dyDescent="0.3">
      <c r="B282" s="75">
        <v>281</v>
      </c>
      <c r="C282" s="77" t="s">
        <v>1088</v>
      </c>
      <c r="D282" s="2" t="s">
        <v>1565</v>
      </c>
      <c r="E282" s="67">
        <v>29</v>
      </c>
      <c r="F282" s="67">
        <v>152</v>
      </c>
      <c r="G282" s="67">
        <v>14</v>
      </c>
      <c r="H282" s="67" t="s">
        <v>26</v>
      </c>
      <c r="I282" s="67"/>
      <c r="J282" s="66">
        <v>1</v>
      </c>
      <c r="M282" s="40">
        <v>1</v>
      </c>
      <c r="Q282" s="67"/>
    </row>
    <row r="283" spans="2:17" thickBot="1" x14ac:dyDescent="0.3">
      <c r="B283" s="75">
        <v>282</v>
      </c>
      <c r="C283" s="75" t="s">
        <v>217</v>
      </c>
      <c r="D283" s="2" t="s">
        <v>857</v>
      </c>
      <c r="E283" s="67">
        <v>29</v>
      </c>
      <c r="F283" s="67">
        <v>164</v>
      </c>
      <c r="G283" s="67">
        <v>17</v>
      </c>
      <c r="H283" s="67" t="s">
        <v>26</v>
      </c>
      <c r="I283" s="67"/>
      <c r="J283" s="66">
        <v>1</v>
      </c>
      <c r="M283" s="40">
        <v>1</v>
      </c>
      <c r="Q283" s="67"/>
    </row>
    <row r="284" spans="2:17" thickBot="1" x14ac:dyDescent="0.3">
      <c r="B284" s="75">
        <v>283</v>
      </c>
      <c r="C284" s="77" t="s">
        <v>135</v>
      </c>
      <c r="D284" s="2" t="s">
        <v>1564</v>
      </c>
      <c r="E284" s="67">
        <v>29</v>
      </c>
      <c r="F284" s="67">
        <v>120</v>
      </c>
      <c r="G284" s="67">
        <v>14</v>
      </c>
      <c r="H284" s="67" t="s">
        <v>27</v>
      </c>
      <c r="I284" s="67">
        <v>1</v>
      </c>
      <c r="J284" s="67"/>
      <c r="P284" s="41">
        <v>1</v>
      </c>
      <c r="Q284" s="67"/>
    </row>
    <row r="285" spans="2:17" thickBot="1" x14ac:dyDescent="0.3">
      <c r="B285" s="75">
        <v>284</v>
      </c>
      <c r="C285" s="77" t="s">
        <v>128</v>
      </c>
      <c r="D285" s="2" t="s">
        <v>1563</v>
      </c>
      <c r="E285" s="67">
        <v>29</v>
      </c>
      <c r="F285" s="67">
        <v>167</v>
      </c>
      <c r="G285" s="67">
        <v>16</v>
      </c>
      <c r="H285" s="67" t="s">
        <v>27</v>
      </c>
      <c r="I285" s="67">
        <v>1</v>
      </c>
      <c r="J285" s="67"/>
      <c r="Q285" s="67"/>
    </row>
    <row r="286" spans="2:17" thickBot="1" x14ac:dyDescent="0.3">
      <c r="B286" s="75">
        <v>285</v>
      </c>
      <c r="C286" s="75" t="s">
        <v>139</v>
      </c>
      <c r="D286" s="2" t="s">
        <v>1546</v>
      </c>
      <c r="E286" s="67">
        <v>29</v>
      </c>
      <c r="F286" s="67">
        <v>119</v>
      </c>
      <c r="G286" s="67">
        <v>18</v>
      </c>
      <c r="H286" s="67" t="s">
        <v>27</v>
      </c>
      <c r="I286" s="67">
        <v>1</v>
      </c>
      <c r="J286" s="67"/>
      <c r="P286" s="41">
        <v>1</v>
      </c>
      <c r="Q286" s="69" t="s">
        <v>2418</v>
      </c>
    </row>
    <row r="287" spans="2:17" thickBot="1" x14ac:dyDescent="0.3">
      <c r="B287" s="75">
        <v>286</v>
      </c>
      <c r="C287" s="77" t="s">
        <v>224</v>
      </c>
      <c r="D287" s="50" t="s">
        <v>2616</v>
      </c>
      <c r="E287" s="50">
        <v>29</v>
      </c>
      <c r="F287" s="50">
        <v>97</v>
      </c>
      <c r="G287" s="50">
        <v>16</v>
      </c>
      <c r="H287" s="50" t="s">
        <v>27</v>
      </c>
      <c r="I287" s="67">
        <v>1</v>
      </c>
      <c r="J287" s="50"/>
      <c r="P287" s="41">
        <v>1</v>
      </c>
      <c r="Q287" s="50" t="s">
        <v>48</v>
      </c>
    </row>
    <row r="288" spans="2:17" thickBot="1" x14ac:dyDescent="0.3">
      <c r="B288" s="75">
        <v>287</v>
      </c>
      <c r="C288" s="77" t="s">
        <v>1272</v>
      </c>
      <c r="D288" s="50" t="s">
        <v>1562</v>
      </c>
      <c r="E288" s="50">
        <v>29</v>
      </c>
      <c r="F288" s="50">
        <v>143</v>
      </c>
      <c r="G288" s="50">
        <v>15</v>
      </c>
      <c r="H288" s="50" t="s">
        <v>27</v>
      </c>
      <c r="I288" s="67">
        <v>1</v>
      </c>
      <c r="J288" s="50"/>
      <c r="P288" s="41">
        <v>1</v>
      </c>
      <c r="Q288" s="50" t="s">
        <v>49</v>
      </c>
    </row>
    <row r="289" spans="2:17" thickBot="1" x14ac:dyDescent="0.3">
      <c r="B289" s="75">
        <v>288</v>
      </c>
      <c r="C289" s="75" t="s">
        <v>136</v>
      </c>
      <c r="D289" s="50" t="s">
        <v>2618</v>
      </c>
      <c r="E289" s="50">
        <v>29</v>
      </c>
      <c r="F289" s="50">
        <v>171</v>
      </c>
      <c r="G289" s="50">
        <v>16</v>
      </c>
      <c r="H289" s="50" t="s">
        <v>27</v>
      </c>
      <c r="I289" s="67">
        <v>1</v>
      </c>
      <c r="J289" s="50"/>
      <c r="P289" s="41">
        <v>1</v>
      </c>
      <c r="Q289" s="50"/>
    </row>
    <row r="290" spans="2:17" thickBot="1" x14ac:dyDescent="0.3">
      <c r="B290" s="75">
        <v>289</v>
      </c>
      <c r="C290" s="77" t="s">
        <v>136</v>
      </c>
      <c r="D290" s="50" t="s">
        <v>1561</v>
      </c>
      <c r="E290" s="50">
        <v>29</v>
      </c>
      <c r="F290" s="50">
        <v>71</v>
      </c>
      <c r="G290" s="50">
        <v>16</v>
      </c>
      <c r="H290" s="50" t="s">
        <v>27</v>
      </c>
      <c r="I290" s="67">
        <v>1</v>
      </c>
      <c r="J290" s="50"/>
      <c r="P290" s="41">
        <v>1</v>
      </c>
      <c r="Q290" s="50"/>
    </row>
    <row r="291" spans="2:17" ht="38.25" thickBot="1" x14ac:dyDescent="0.3">
      <c r="B291" s="75">
        <v>290</v>
      </c>
      <c r="C291" s="77" t="s">
        <v>136</v>
      </c>
      <c r="D291" s="50" t="s">
        <v>1560</v>
      </c>
      <c r="E291" s="50">
        <v>29</v>
      </c>
      <c r="F291" s="50">
        <v>138</v>
      </c>
      <c r="G291" s="50">
        <v>3</v>
      </c>
      <c r="H291" s="50" t="s">
        <v>27</v>
      </c>
      <c r="I291" s="67">
        <v>1</v>
      </c>
      <c r="J291" s="50"/>
      <c r="P291" s="41">
        <v>1</v>
      </c>
      <c r="Q291" s="86" t="s">
        <v>2594</v>
      </c>
    </row>
    <row r="292" spans="2:17" thickBot="1" x14ac:dyDescent="0.3">
      <c r="B292" s="75">
        <v>291</v>
      </c>
      <c r="C292" s="75" t="s">
        <v>234</v>
      </c>
      <c r="D292" s="50" t="s">
        <v>1559</v>
      </c>
      <c r="E292" s="50">
        <v>29</v>
      </c>
      <c r="F292" s="50">
        <v>86</v>
      </c>
      <c r="G292" s="50">
        <v>4</v>
      </c>
      <c r="H292" s="50" t="s">
        <v>27</v>
      </c>
      <c r="I292" s="67">
        <v>1</v>
      </c>
      <c r="J292" s="50"/>
      <c r="P292" s="41">
        <v>1</v>
      </c>
      <c r="Q292" s="50"/>
    </row>
    <row r="293" spans="2:17" thickBot="1" x14ac:dyDescent="0.3">
      <c r="B293" s="75">
        <v>292</v>
      </c>
      <c r="C293" s="77" t="s">
        <v>234</v>
      </c>
      <c r="D293" s="50" t="s">
        <v>1558</v>
      </c>
      <c r="E293" s="50">
        <v>29</v>
      </c>
      <c r="F293" s="50">
        <v>66</v>
      </c>
      <c r="G293" s="50">
        <v>6</v>
      </c>
      <c r="H293" s="50" t="s">
        <v>27</v>
      </c>
      <c r="I293" s="67">
        <v>1</v>
      </c>
      <c r="J293" s="50"/>
      <c r="P293" s="41">
        <v>1</v>
      </c>
      <c r="Q293" s="50"/>
    </row>
    <row r="294" spans="2:17" thickBot="1" x14ac:dyDescent="0.3">
      <c r="B294" s="75">
        <v>293</v>
      </c>
      <c r="C294" s="77" t="s">
        <v>253</v>
      </c>
      <c r="D294" s="50" t="s">
        <v>426</v>
      </c>
      <c r="E294" s="50">
        <v>29</v>
      </c>
      <c r="F294" s="50">
        <v>64</v>
      </c>
      <c r="G294" s="50">
        <v>2</v>
      </c>
      <c r="H294" s="50" t="s">
        <v>27</v>
      </c>
      <c r="I294" s="67">
        <v>1</v>
      </c>
      <c r="J294" s="50"/>
      <c r="P294" s="41">
        <v>1</v>
      </c>
      <c r="Q294" s="50" t="s">
        <v>92</v>
      </c>
    </row>
    <row r="295" spans="2:17" thickBot="1" x14ac:dyDescent="0.3">
      <c r="B295" s="75">
        <v>294</v>
      </c>
      <c r="C295" s="75" t="s">
        <v>815</v>
      </c>
      <c r="D295" s="50" t="s">
        <v>1068</v>
      </c>
      <c r="E295" s="50">
        <v>29</v>
      </c>
      <c r="F295" s="50">
        <v>143</v>
      </c>
      <c r="G295" s="50">
        <v>2</v>
      </c>
      <c r="H295" s="50" t="s">
        <v>27</v>
      </c>
      <c r="I295" s="67">
        <v>1</v>
      </c>
      <c r="J295" s="50"/>
      <c r="P295" s="41">
        <v>1</v>
      </c>
      <c r="Q295" s="50" t="s">
        <v>93</v>
      </c>
    </row>
    <row r="296" spans="2:17" thickBot="1" x14ac:dyDescent="0.3">
      <c r="B296" s="75">
        <v>295</v>
      </c>
      <c r="C296" s="77" t="s">
        <v>1557</v>
      </c>
      <c r="D296" s="50" t="s">
        <v>1556</v>
      </c>
      <c r="E296" s="50">
        <v>29</v>
      </c>
      <c r="F296" s="50">
        <v>72</v>
      </c>
      <c r="G296" s="50">
        <v>6</v>
      </c>
      <c r="H296" s="50" t="s">
        <v>27</v>
      </c>
      <c r="I296" s="67">
        <v>1</v>
      </c>
      <c r="J296" s="50"/>
      <c r="P296" s="41">
        <v>1</v>
      </c>
      <c r="Q296" s="50" t="s">
        <v>94</v>
      </c>
    </row>
    <row r="297" spans="2:17" thickBot="1" x14ac:dyDescent="0.3">
      <c r="B297" s="75">
        <v>296</v>
      </c>
      <c r="C297" s="77" t="s">
        <v>815</v>
      </c>
      <c r="D297" s="50" t="s">
        <v>1555</v>
      </c>
      <c r="E297" s="50">
        <v>29</v>
      </c>
      <c r="F297" s="50">
        <v>75</v>
      </c>
      <c r="G297" s="50">
        <v>4</v>
      </c>
      <c r="H297" s="50" t="s">
        <v>27</v>
      </c>
      <c r="I297" s="67">
        <v>1</v>
      </c>
      <c r="J297" s="50"/>
      <c r="P297" s="41">
        <v>1</v>
      </c>
      <c r="Q297" s="50" t="s">
        <v>93</v>
      </c>
    </row>
    <row r="298" spans="2:17" thickBot="1" x14ac:dyDescent="0.3">
      <c r="B298" s="75">
        <v>297</v>
      </c>
      <c r="C298" s="75" t="s">
        <v>491</v>
      </c>
      <c r="D298" s="50" t="s">
        <v>1554</v>
      </c>
      <c r="E298" s="50">
        <v>29</v>
      </c>
      <c r="F298" s="50">
        <v>59</v>
      </c>
      <c r="G298" s="50">
        <v>4</v>
      </c>
      <c r="H298" s="50" t="s">
        <v>27</v>
      </c>
      <c r="I298" s="67">
        <v>1</v>
      </c>
      <c r="J298" s="50"/>
      <c r="P298" s="41">
        <v>1</v>
      </c>
      <c r="Q298" s="50" t="s">
        <v>93</v>
      </c>
    </row>
    <row r="299" spans="2:17" thickBot="1" x14ac:dyDescent="0.3">
      <c r="B299" s="75">
        <v>298</v>
      </c>
      <c r="C299" s="77" t="s">
        <v>1553</v>
      </c>
      <c r="D299" s="50" t="s">
        <v>1552</v>
      </c>
      <c r="E299" s="50">
        <v>29</v>
      </c>
      <c r="F299" s="50">
        <v>47</v>
      </c>
      <c r="G299" s="50">
        <v>1</v>
      </c>
      <c r="H299" s="50" t="s">
        <v>27</v>
      </c>
      <c r="I299" s="67">
        <v>1</v>
      </c>
      <c r="J299" s="50"/>
      <c r="P299" s="41">
        <v>1</v>
      </c>
      <c r="Q299" s="50" t="s">
        <v>93</v>
      </c>
    </row>
    <row r="300" spans="2:17" thickBot="1" x14ac:dyDescent="0.3">
      <c r="B300" s="75">
        <v>299</v>
      </c>
      <c r="C300" s="77" t="s">
        <v>1100</v>
      </c>
      <c r="D300" s="50" t="s">
        <v>1551</v>
      </c>
      <c r="E300" s="50">
        <v>29</v>
      </c>
      <c r="F300" s="50">
        <v>90</v>
      </c>
      <c r="G300" s="50">
        <v>6</v>
      </c>
      <c r="H300" s="50" t="s">
        <v>27</v>
      </c>
      <c r="I300" s="67">
        <v>1</v>
      </c>
      <c r="J300" s="50"/>
      <c r="P300" s="41">
        <v>1</v>
      </c>
      <c r="Q300" s="50" t="s">
        <v>93</v>
      </c>
    </row>
    <row r="301" spans="2:17" thickBot="1" x14ac:dyDescent="0.3">
      <c r="B301" s="75">
        <v>300</v>
      </c>
      <c r="C301" s="75" t="s">
        <v>2586</v>
      </c>
      <c r="D301" s="50" t="s">
        <v>1550</v>
      </c>
      <c r="E301" s="50">
        <v>29</v>
      </c>
      <c r="F301" s="50">
        <v>66</v>
      </c>
      <c r="G301" s="50">
        <v>4</v>
      </c>
      <c r="H301" s="50" t="s">
        <v>27</v>
      </c>
      <c r="I301" s="67">
        <v>1</v>
      </c>
      <c r="J301" s="50"/>
      <c r="P301" s="41">
        <v>1</v>
      </c>
      <c r="Q301" s="50" t="s">
        <v>57</v>
      </c>
    </row>
    <row r="302" spans="2:17" thickBot="1" x14ac:dyDescent="0.3">
      <c r="B302" s="75">
        <v>301</v>
      </c>
      <c r="C302" s="77" t="s">
        <v>1369</v>
      </c>
      <c r="D302" s="50" t="s">
        <v>1548</v>
      </c>
      <c r="E302" s="50">
        <v>29</v>
      </c>
      <c r="F302" s="50">
        <v>112</v>
      </c>
      <c r="G302" s="50">
        <v>4</v>
      </c>
      <c r="H302" s="50" t="s">
        <v>27</v>
      </c>
      <c r="I302" s="67">
        <v>1</v>
      </c>
      <c r="J302" s="50"/>
      <c r="P302" s="41">
        <v>1</v>
      </c>
      <c r="Q302" s="50" t="s">
        <v>57</v>
      </c>
    </row>
    <row r="303" spans="2:17" thickBot="1" x14ac:dyDescent="0.3">
      <c r="B303" s="75">
        <v>302</v>
      </c>
      <c r="C303" s="77" t="s">
        <v>1369</v>
      </c>
      <c r="D303" s="50" t="s">
        <v>1549</v>
      </c>
      <c r="E303" s="50">
        <v>29</v>
      </c>
      <c r="F303" s="50">
        <v>63</v>
      </c>
      <c r="G303" s="50">
        <v>6</v>
      </c>
      <c r="H303" s="50" t="s">
        <v>27</v>
      </c>
      <c r="I303" s="67">
        <v>1</v>
      </c>
      <c r="J303" s="50"/>
      <c r="P303" s="41">
        <v>1</v>
      </c>
      <c r="Q303" s="50" t="s">
        <v>57</v>
      </c>
    </row>
    <row r="304" spans="2:17" thickBot="1" x14ac:dyDescent="0.3">
      <c r="B304" s="75">
        <v>303</v>
      </c>
      <c r="C304" s="75" t="s">
        <v>1369</v>
      </c>
      <c r="D304" s="50" t="s">
        <v>1547</v>
      </c>
      <c r="E304" s="50">
        <v>29</v>
      </c>
      <c r="F304" s="50">
        <v>62</v>
      </c>
      <c r="G304" s="50">
        <v>5</v>
      </c>
      <c r="H304" s="50" t="s">
        <v>27</v>
      </c>
      <c r="I304" s="67">
        <v>1</v>
      </c>
      <c r="J304" s="50"/>
      <c r="P304" s="41">
        <v>1</v>
      </c>
      <c r="Q304" s="50" t="s">
        <v>57</v>
      </c>
    </row>
    <row r="305" spans="2:17" thickBot="1" x14ac:dyDescent="0.3">
      <c r="B305" s="75">
        <v>304</v>
      </c>
      <c r="C305" s="77" t="s">
        <v>123</v>
      </c>
      <c r="D305" s="50" t="s">
        <v>1522</v>
      </c>
      <c r="E305" s="50">
        <v>29</v>
      </c>
      <c r="F305" s="50">
        <v>144</v>
      </c>
      <c r="G305" s="50">
        <v>16</v>
      </c>
      <c r="H305" s="50" t="s">
        <v>27</v>
      </c>
      <c r="I305" s="67">
        <v>1</v>
      </c>
      <c r="J305" s="50"/>
      <c r="P305" s="41">
        <v>1</v>
      </c>
      <c r="Q305" s="50" t="s">
        <v>57</v>
      </c>
    </row>
    <row r="306" spans="2:17" thickBot="1" x14ac:dyDescent="0.3">
      <c r="B306" s="75">
        <v>305</v>
      </c>
      <c r="C306" s="77" t="s">
        <v>123</v>
      </c>
      <c r="D306" s="50" t="s">
        <v>1545</v>
      </c>
      <c r="E306" s="50">
        <v>29</v>
      </c>
      <c r="F306" s="50">
        <v>42</v>
      </c>
      <c r="G306" s="50">
        <v>14</v>
      </c>
      <c r="H306" s="50" t="s">
        <v>27</v>
      </c>
      <c r="I306" s="67">
        <v>1</v>
      </c>
      <c r="J306" s="50"/>
      <c r="P306" s="41">
        <v>1</v>
      </c>
      <c r="Q306" s="50" t="s">
        <v>54</v>
      </c>
    </row>
    <row r="307" spans="2:17" thickBot="1" x14ac:dyDescent="0.3">
      <c r="B307" s="75">
        <v>306</v>
      </c>
      <c r="C307" s="77" t="s">
        <v>135</v>
      </c>
      <c r="D307" s="50" t="s">
        <v>1544</v>
      </c>
      <c r="E307" s="50">
        <v>29</v>
      </c>
      <c r="F307" s="50">
        <v>174</v>
      </c>
      <c r="G307" s="50">
        <v>17</v>
      </c>
      <c r="H307" s="50" t="s">
        <v>27</v>
      </c>
      <c r="I307" s="67">
        <v>1</v>
      </c>
      <c r="J307" s="50"/>
      <c r="P307" s="41">
        <v>1</v>
      </c>
      <c r="Q307" s="50" t="s">
        <v>54</v>
      </c>
    </row>
    <row r="308" spans="2:17" ht="38.25" thickBot="1" x14ac:dyDescent="0.3">
      <c r="B308" s="75">
        <v>307</v>
      </c>
      <c r="C308" s="77" t="s">
        <v>859</v>
      </c>
      <c r="D308" s="50" t="s">
        <v>1543</v>
      </c>
      <c r="E308" s="50">
        <v>29</v>
      </c>
      <c r="F308" s="50">
        <v>147</v>
      </c>
      <c r="G308" s="50">
        <v>14</v>
      </c>
      <c r="H308" s="50" t="s">
        <v>27</v>
      </c>
      <c r="I308" s="67">
        <v>1</v>
      </c>
      <c r="J308" s="50"/>
      <c r="P308" s="41">
        <v>1</v>
      </c>
      <c r="Q308" s="86" t="s">
        <v>2622</v>
      </c>
    </row>
    <row r="309" spans="2:17" thickBot="1" x14ac:dyDescent="0.3">
      <c r="B309" s="75">
        <v>308</v>
      </c>
      <c r="C309" s="75" t="s">
        <v>187</v>
      </c>
      <c r="D309" s="50" t="s">
        <v>1542</v>
      </c>
      <c r="E309" s="50">
        <v>29</v>
      </c>
      <c r="F309" s="50">
        <v>67</v>
      </c>
      <c r="G309" s="50">
        <v>4</v>
      </c>
      <c r="H309" s="50" t="s">
        <v>27</v>
      </c>
      <c r="I309" s="67">
        <v>1</v>
      </c>
      <c r="J309" s="50"/>
      <c r="P309" s="41">
        <v>1</v>
      </c>
      <c r="Q309" s="50" t="s">
        <v>54</v>
      </c>
    </row>
    <row r="310" spans="2:17" thickBot="1" x14ac:dyDescent="0.3">
      <c r="B310" s="75">
        <v>309</v>
      </c>
      <c r="C310" s="77" t="s">
        <v>1088</v>
      </c>
      <c r="D310" s="50" t="s">
        <v>1541</v>
      </c>
      <c r="E310" s="50">
        <v>29</v>
      </c>
      <c r="F310" s="50">
        <v>97</v>
      </c>
      <c r="G310" s="50">
        <v>15</v>
      </c>
      <c r="H310" s="50" t="s">
        <v>27</v>
      </c>
      <c r="I310" s="67">
        <v>1</v>
      </c>
      <c r="J310" s="50"/>
      <c r="P310" s="41">
        <v>1</v>
      </c>
      <c r="Q310" s="50" t="s">
        <v>54</v>
      </c>
    </row>
    <row r="311" spans="2:17" thickBot="1" x14ac:dyDescent="0.3">
      <c r="B311" s="75">
        <v>310</v>
      </c>
      <c r="C311" s="77" t="s">
        <v>1085</v>
      </c>
      <c r="D311" s="50" t="s">
        <v>1540</v>
      </c>
      <c r="E311" s="50">
        <v>29</v>
      </c>
      <c r="F311" s="50">
        <v>25</v>
      </c>
      <c r="G311" s="50">
        <v>5</v>
      </c>
      <c r="H311" s="50" t="s">
        <v>27</v>
      </c>
      <c r="I311" s="67">
        <v>1</v>
      </c>
      <c r="J311" s="50"/>
      <c r="P311" s="41">
        <v>1</v>
      </c>
      <c r="Q311" s="50" t="s">
        <v>54</v>
      </c>
    </row>
    <row r="312" spans="2:17" thickBot="1" x14ac:dyDescent="0.3">
      <c r="B312" s="75">
        <v>311</v>
      </c>
      <c r="C312" s="75" t="s">
        <v>177</v>
      </c>
      <c r="D312" s="50" t="s">
        <v>1539</v>
      </c>
      <c r="E312" s="50">
        <v>29</v>
      </c>
      <c r="F312" s="50">
        <v>38</v>
      </c>
      <c r="G312" s="50">
        <v>4</v>
      </c>
      <c r="H312" s="50" t="s">
        <v>27</v>
      </c>
      <c r="I312" s="67">
        <v>1</v>
      </c>
      <c r="J312" s="50"/>
      <c r="P312" s="41">
        <v>1</v>
      </c>
      <c r="Q312" s="50" t="s">
        <v>54</v>
      </c>
    </row>
    <row r="313" spans="2:17" thickBot="1" x14ac:dyDescent="0.3">
      <c r="B313" s="75">
        <v>312</v>
      </c>
      <c r="C313" s="75" t="s">
        <v>125</v>
      </c>
      <c r="D313" s="50" t="s">
        <v>1538</v>
      </c>
      <c r="E313" s="50">
        <v>29</v>
      </c>
      <c r="F313" s="50">
        <v>98</v>
      </c>
      <c r="G313" s="50">
        <v>6</v>
      </c>
      <c r="H313" s="50" t="s">
        <v>27</v>
      </c>
      <c r="I313" s="67">
        <v>1</v>
      </c>
      <c r="J313" s="50"/>
      <c r="P313" s="41">
        <v>1</v>
      </c>
      <c r="Q313" s="50" t="s">
        <v>54</v>
      </c>
    </row>
    <row r="314" spans="2:17" thickBot="1" x14ac:dyDescent="0.3">
      <c r="B314" s="75">
        <v>313</v>
      </c>
      <c r="C314" s="77" t="s">
        <v>362</v>
      </c>
      <c r="D314" s="50" t="s">
        <v>1537</v>
      </c>
      <c r="E314" s="50">
        <v>29</v>
      </c>
      <c r="F314" s="50">
        <v>82</v>
      </c>
      <c r="G314" s="50">
        <v>5</v>
      </c>
      <c r="H314" s="50" t="s">
        <v>27</v>
      </c>
      <c r="I314" s="67">
        <v>1</v>
      </c>
      <c r="J314" s="50"/>
      <c r="P314" s="41">
        <v>1</v>
      </c>
      <c r="Q314" s="50" t="s">
        <v>55</v>
      </c>
    </row>
    <row r="315" spans="2:17" thickBot="1" x14ac:dyDescent="0.3">
      <c r="B315" s="75">
        <v>314</v>
      </c>
      <c r="C315" s="77" t="s">
        <v>362</v>
      </c>
      <c r="D315" s="50" t="s">
        <v>1536</v>
      </c>
      <c r="E315" s="50">
        <v>29</v>
      </c>
      <c r="F315" s="50">
        <v>89</v>
      </c>
      <c r="G315" s="50">
        <v>5</v>
      </c>
      <c r="H315" s="50" t="s">
        <v>27</v>
      </c>
      <c r="I315" s="67">
        <v>1</v>
      </c>
      <c r="J315" s="50"/>
      <c r="P315" s="41">
        <v>1</v>
      </c>
      <c r="Q315" s="50" t="s">
        <v>55</v>
      </c>
    </row>
    <row r="316" spans="2:17" thickBot="1" x14ac:dyDescent="0.3">
      <c r="B316" s="75">
        <v>315</v>
      </c>
      <c r="C316" s="77" t="s">
        <v>127</v>
      </c>
      <c r="D316" s="50" t="s">
        <v>184</v>
      </c>
      <c r="E316" s="50">
        <v>29</v>
      </c>
      <c r="F316" s="50">
        <v>64</v>
      </c>
      <c r="G316" s="50">
        <v>16</v>
      </c>
      <c r="H316" s="50" t="s">
        <v>27</v>
      </c>
      <c r="I316" s="67">
        <v>1</v>
      </c>
      <c r="J316" s="50"/>
      <c r="P316" s="41">
        <v>1</v>
      </c>
      <c r="Q316" s="50" t="s">
        <v>55</v>
      </c>
    </row>
    <row r="317" spans="2:17" thickBot="1" x14ac:dyDescent="0.3">
      <c r="B317" s="75">
        <v>316</v>
      </c>
      <c r="C317" s="77" t="s">
        <v>370</v>
      </c>
      <c r="D317" s="50" t="s">
        <v>360</v>
      </c>
      <c r="E317" s="50">
        <v>29</v>
      </c>
      <c r="F317" s="50">
        <v>57</v>
      </c>
      <c r="G317" s="50">
        <v>19</v>
      </c>
      <c r="H317" s="50" t="s">
        <v>27</v>
      </c>
      <c r="I317" s="67">
        <v>1</v>
      </c>
      <c r="J317" s="50"/>
      <c r="P317" s="41">
        <v>1</v>
      </c>
      <c r="Q317" s="50" t="s">
        <v>55</v>
      </c>
    </row>
    <row r="318" spans="2:17" thickBot="1" x14ac:dyDescent="0.3">
      <c r="B318" s="75">
        <v>317</v>
      </c>
      <c r="C318" s="75" t="s">
        <v>600</v>
      </c>
      <c r="D318" s="50" t="s">
        <v>6</v>
      </c>
      <c r="E318" s="50">
        <v>29</v>
      </c>
      <c r="F318" s="50">
        <v>33</v>
      </c>
      <c r="G318" s="50">
        <v>11</v>
      </c>
      <c r="H318" s="50" t="s">
        <v>27</v>
      </c>
      <c r="I318" s="67">
        <v>1</v>
      </c>
      <c r="J318" s="50"/>
      <c r="P318" s="41">
        <v>1</v>
      </c>
      <c r="Q318" s="50" t="s">
        <v>48</v>
      </c>
    </row>
    <row r="319" spans="2:17" thickBot="1" x14ac:dyDescent="0.3">
      <c r="B319" s="75">
        <v>318</v>
      </c>
      <c r="C319" s="75" t="s">
        <v>600</v>
      </c>
      <c r="D319" s="50" t="s">
        <v>6</v>
      </c>
      <c r="E319" s="50">
        <v>29</v>
      </c>
      <c r="F319" s="50">
        <v>88</v>
      </c>
      <c r="G319" s="50">
        <v>13</v>
      </c>
      <c r="H319" s="50" t="s">
        <v>27</v>
      </c>
      <c r="I319" s="67">
        <v>1</v>
      </c>
      <c r="J319" s="50"/>
      <c r="P319" s="41">
        <v>1</v>
      </c>
      <c r="Q319" s="50" t="s">
        <v>49</v>
      </c>
    </row>
    <row r="320" spans="2:17" thickBot="1" x14ac:dyDescent="0.3">
      <c r="B320" s="75">
        <v>319</v>
      </c>
      <c r="C320" s="75" t="s">
        <v>600</v>
      </c>
      <c r="D320" s="50" t="s">
        <v>6</v>
      </c>
      <c r="E320" s="50">
        <v>29</v>
      </c>
      <c r="F320" s="50">
        <v>119</v>
      </c>
      <c r="G320" s="50">
        <v>18</v>
      </c>
      <c r="H320" s="50" t="s">
        <v>27</v>
      </c>
      <c r="I320" s="67">
        <v>1</v>
      </c>
      <c r="J320" s="50"/>
      <c r="P320" s="41">
        <v>1</v>
      </c>
      <c r="Q320" s="50" t="s">
        <v>92</v>
      </c>
    </row>
    <row r="321" spans="2:17" thickBot="1" x14ac:dyDescent="0.3">
      <c r="B321" s="75">
        <v>320</v>
      </c>
      <c r="C321" s="75" t="s">
        <v>600</v>
      </c>
      <c r="D321" s="50" t="s">
        <v>6</v>
      </c>
      <c r="E321" s="50">
        <v>29</v>
      </c>
      <c r="F321" s="50">
        <v>174</v>
      </c>
      <c r="G321" s="50">
        <v>15</v>
      </c>
      <c r="H321" s="50" t="s">
        <v>27</v>
      </c>
      <c r="I321" s="67">
        <v>1</v>
      </c>
      <c r="J321" s="50"/>
      <c r="P321" s="41">
        <v>1</v>
      </c>
      <c r="Q321" s="50"/>
    </row>
    <row r="322" spans="2:17" thickBot="1" x14ac:dyDescent="0.3">
      <c r="B322" s="75">
        <v>321</v>
      </c>
      <c r="C322" s="75" t="s">
        <v>600</v>
      </c>
      <c r="D322" s="50" t="s">
        <v>6</v>
      </c>
      <c r="E322" s="50">
        <v>29</v>
      </c>
      <c r="F322" s="50">
        <v>169</v>
      </c>
      <c r="G322" s="50">
        <v>14</v>
      </c>
      <c r="H322" s="50" t="s">
        <v>27</v>
      </c>
      <c r="I322" s="67">
        <v>1</v>
      </c>
      <c r="J322" s="50"/>
      <c r="P322" s="41">
        <v>1</v>
      </c>
      <c r="Q322" s="50"/>
    </row>
    <row r="323" spans="2:17" thickBot="1" x14ac:dyDescent="0.3">
      <c r="B323" s="75">
        <v>322</v>
      </c>
      <c r="C323" s="75" t="s">
        <v>600</v>
      </c>
      <c r="D323" s="50" t="s">
        <v>6</v>
      </c>
      <c r="E323" s="50">
        <v>29</v>
      </c>
      <c r="F323" s="50">
        <v>168</v>
      </c>
      <c r="G323" s="50">
        <v>15</v>
      </c>
      <c r="H323" s="50" t="s">
        <v>27</v>
      </c>
      <c r="I323" s="67">
        <v>1</v>
      </c>
      <c r="J323" s="50"/>
      <c r="P323" s="41">
        <v>1</v>
      </c>
      <c r="Q323" s="50" t="s">
        <v>93</v>
      </c>
    </row>
    <row r="324" spans="2:17" thickBot="1" x14ac:dyDescent="0.3">
      <c r="B324" s="75">
        <v>323</v>
      </c>
      <c r="C324" s="75" t="s">
        <v>1531</v>
      </c>
      <c r="D324" s="50" t="s">
        <v>1535</v>
      </c>
      <c r="E324" s="50">
        <v>29</v>
      </c>
      <c r="F324" s="50">
        <v>51</v>
      </c>
      <c r="G324" s="50">
        <v>3</v>
      </c>
      <c r="H324" s="50" t="s">
        <v>27</v>
      </c>
      <c r="I324" s="67">
        <v>1</v>
      </c>
      <c r="J324" s="50"/>
      <c r="P324" s="41">
        <v>1</v>
      </c>
      <c r="Q324" s="50" t="s">
        <v>93</v>
      </c>
    </row>
    <row r="325" spans="2:17" thickBot="1" x14ac:dyDescent="0.3">
      <c r="B325" s="75">
        <v>324</v>
      </c>
      <c r="C325" s="77" t="s">
        <v>1064</v>
      </c>
      <c r="D325" s="50" t="s">
        <v>2620</v>
      </c>
      <c r="E325" s="50">
        <v>29</v>
      </c>
      <c r="F325" s="50">
        <v>137</v>
      </c>
      <c r="G325" s="50">
        <v>16</v>
      </c>
      <c r="H325" s="50" t="s">
        <v>27</v>
      </c>
      <c r="I325" s="67">
        <v>1</v>
      </c>
      <c r="J325" s="50"/>
      <c r="P325" s="41">
        <v>1</v>
      </c>
      <c r="Q325" s="50" t="s">
        <v>93</v>
      </c>
    </row>
    <row r="326" spans="2:17" thickBot="1" x14ac:dyDescent="0.3">
      <c r="B326" s="75">
        <v>325</v>
      </c>
      <c r="C326" s="77" t="s">
        <v>891</v>
      </c>
      <c r="D326" s="50" t="s">
        <v>1534</v>
      </c>
      <c r="E326" s="50">
        <v>29</v>
      </c>
      <c r="F326" s="50">
        <v>138</v>
      </c>
      <c r="G326" s="50">
        <v>2</v>
      </c>
      <c r="H326" s="50" t="s">
        <v>27</v>
      </c>
      <c r="I326" s="67">
        <v>1</v>
      </c>
      <c r="J326" s="50"/>
      <c r="P326" s="41">
        <v>1</v>
      </c>
      <c r="Q326" s="50" t="s">
        <v>93</v>
      </c>
    </row>
    <row r="327" spans="2:17" thickBot="1" x14ac:dyDescent="0.3">
      <c r="B327" s="75">
        <v>326</v>
      </c>
      <c r="C327" s="77" t="s">
        <v>891</v>
      </c>
      <c r="D327" s="50" t="s">
        <v>1581</v>
      </c>
      <c r="E327" s="50">
        <v>29</v>
      </c>
      <c r="F327" s="50">
        <v>134</v>
      </c>
      <c r="G327" s="50">
        <v>6</v>
      </c>
      <c r="H327" s="50" t="s">
        <v>27</v>
      </c>
      <c r="I327" s="67">
        <v>1</v>
      </c>
      <c r="J327" s="50"/>
      <c r="P327" s="41">
        <v>1</v>
      </c>
      <c r="Q327" s="50" t="s">
        <v>93</v>
      </c>
    </row>
    <row r="328" spans="2:17" thickBot="1" x14ac:dyDescent="0.3">
      <c r="B328" s="75">
        <v>327</v>
      </c>
      <c r="C328" s="77" t="s">
        <v>891</v>
      </c>
      <c r="D328" s="50" t="s">
        <v>1028</v>
      </c>
      <c r="E328" s="50">
        <v>29</v>
      </c>
      <c r="F328" s="50">
        <v>132</v>
      </c>
      <c r="G328" s="50">
        <v>5</v>
      </c>
      <c r="H328" s="50" t="s">
        <v>27</v>
      </c>
      <c r="I328" s="67">
        <v>1</v>
      </c>
      <c r="J328" s="50"/>
      <c r="P328" s="41">
        <v>1</v>
      </c>
      <c r="Q328" s="50" t="s">
        <v>93</v>
      </c>
    </row>
    <row r="329" spans="2:17" thickBot="1" x14ac:dyDescent="0.3">
      <c r="B329" s="75">
        <v>328</v>
      </c>
      <c r="C329" s="77" t="s">
        <v>131</v>
      </c>
      <c r="D329" s="50" t="s">
        <v>2621</v>
      </c>
      <c r="E329" s="50">
        <v>29</v>
      </c>
      <c r="F329" s="50">
        <v>162</v>
      </c>
      <c r="G329" s="50">
        <v>15</v>
      </c>
      <c r="H329" s="50" t="s">
        <v>27</v>
      </c>
      <c r="I329" s="67">
        <v>1</v>
      </c>
      <c r="J329" s="50"/>
      <c r="P329" s="41">
        <v>1</v>
      </c>
      <c r="Q329" s="50" t="s">
        <v>95</v>
      </c>
    </row>
    <row r="330" spans="2:17" thickBot="1" x14ac:dyDescent="0.3">
      <c r="B330" s="75">
        <v>329</v>
      </c>
      <c r="C330" s="75" t="s">
        <v>131</v>
      </c>
      <c r="D330" s="50" t="s">
        <v>1580</v>
      </c>
      <c r="E330" s="50">
        <v>29</v>
      </c>
      <c r="F330" s="50">
        <v>91</v>
      </c>
      <c r="G330" s="50">
        <v>5</v>
      </c>
      <c r="H330" s="50" t="s">
        <v>27</v>
      </c>
      <c r="I330" s="67">
        <v>1</v>
      </c>
      <c r="J330" s="50"/>
      <c r="P330" s="41">
        <v>1</v>
      </c>
      <c r="Q330" s="50" t="s">
        <v>95</v>
      </c>
    </row>
    <row r="331" spans="2:17" thickBot="1" x14ac:dyDescent="0.3">
      <c r="B331" s="75">
        <v>330</v>
      </c>
      <c r="C331" s="77" t="s">
        <v>131</v>
      </c>
      <c r="D331" s="50" t="s">
        <v>1306</v>
      </c>
      <c r="E331" s="50">
        <v>29</v>
      </c>
      <c r="F331" s="50">
        <v>138</v>
      </c>
      <c r="G331" s="50">
        <v>16</v>
      </c>
      <c r="H331" s="50" t="s">
        <v>27</v>
      </c>
      <c r="I331" s="67">
        <v>1</v>
      </c>
      <c r="J331" s="50"/>
      <c r="P331" s="41">
        <v>1</v>
      </c>
      <c r="Q331" s="50" t="s">
        <v>95</v>
      </c>
    </row>
    <row r="332" spans="2:17" thickBot="1" x14ac:dyDescent="0.3">
      <c r="B332" s="75">
        <v>331</v>
      </c>
      <c r="C332" s="77" t="s">
        <v>131</v>
      </c>
      <c r="D332" s="50" t="s">
        <v>1579</v>
      </c>
      <c r="E332" s="50">
        <v>29</v>
      </c>
      <c r="F332" s="50">
        <v>122</v>
      </c>
      <c r="G332" s="50">
        <v>16</v>
      </c>
      <c r="H332" s="50" t="s">
        <v>27</v>
      </c>
      <c r="I332" s="67">
        <v>1</v>
      </c>
      <c r="J332" s="50"/>
      <c r="P332" s="41">
        <v>1</v>
      </c>
      <c r="Q332" s="50" t="s">
        <v>95</v>
      </c>
    </row>
    <row r="333" spans="2:17" thickBot="1" x14ac:dyDescent="0.3">
      <c r="B333" s="75">
        <v>332</v>
      </c>
      <c r="C333" s="75" t="s">
        <v>760</v>
      </c>
      <c r="D333" s="50" t="s">
        <v>312</v>
      </c>
      <c r="E333" s="50">
        <v>29</v>
      </c>
      <c r="F333" s="50">
        <v>123</v>
      </c>
      <c r="G333" s="50">
        <v>13</v>
      </c>
      <c r="H333" s="50" t="s">
        <v>27</v>
      </c>
      <c r="I333" s="67">
        <v>1</v>
      </c>
      <c r="J333" s="50"/>
      <c r="P333" s="41">
        <v>1</v>
      </c>
      <c r="Q333" s="50" t="s">
        <v>95</v>
      </c>
    </row>
    <row r="334" spans="2:17" thickBot="1" x14ac:dyDescent="0.3">
      <c r="B334" s="75">
        <v>333</v>
      </c>
      <c r="C334" s="77" t="s">
        <v>43</v>
      </c>
      <c r="D334" s="50" t="s">
        <v>2593</v>
      </c>
      <c r="E334" s="50">
        <v>29</v>
      </c>
      <c r="F334" s="50">
        <v>120</v>
      </c>
      <c r="G334" s="50">
        <v>3</v>
      </c>
      <c r="H334" s="50" t="s">
        <v>27</v>
      </c>
      <c r="I334" s="67">
        <v>1</v>
      </c>
      <c r="J334" s="50"/>
      <c r="P334" s="41">
        <v>1</v>
      </c>
      <c r="Q334" s="50" t="s">
        <v>95</v>
      </c>
    </row>
    <row r="335" spans="2:17" thickBot="1" x14ac:dyDescent="0.3">
      <c r="B335" s="75">
        <v>334</v>
      </c>
      <c r="C335" s="77" t="s">
        <v>1150</v>
      </c>
      <c r="D335" s="50" t="s">
        <v>2616</v>
      </c>
      <c r="E335" s="50">
        <v>29</v>
      </c>
      <c r="F335" s="50">
        <v>98</v>
      </c>
      <c r="G335" s="50">
        <v>16</v>
      </c>
      <c r="H335" s="50" t="s">
        <v>27</v>
      </c>
      <c r="I335" s="67">
        <v>1</v>
      </c>
      <c r="J335" s="50"/>
      <c r="P335" s="41">
        <v>1</v>
      </c>
      <c r="Q335" s="50" t="s">
        <v>96</v>
      </c>
    </row>
    <row r="336" spans="2:17" thickBot="1" x14ac:dyDescent="0.3">
      <c r="B336" s="75">
        <v>335</v>
      </c>
      <c r="C336" s="77" t="s">
        <v>640</v>
      </c>
      <c r="D336" s="50" t="s">
        <v>1578</v>
      </c>
      <c r="E336" s="50">
        <v>29</v>
      </c>
      <c r="F336" s="50">
        <v>68</v>
      </c>
      <c r="G336" s="50">
        <v>17</v>
      </c>
      <c r="H336" s="50" t="s">
        <v>27</v>
      </c>
      <c r="I336" s="67">
        <v>1</v>
      </c>
      <c r="J336" s="50"/>
      <c r="P336" s="41">
        <v>1</v>
      </c>
      <c r="Q336" s="50" t="s">
        <v>76</v>
      </c>
    </row>
    <row r="337" spans="2:17" thickBot="1" x14ac:dyDescent="0.3">
      <c r="B337" s="75">
        <v>336</v>
      </c>
      <c r="C337" s="75" t="s">
        <v>296</v>
      </c>
      <c r="D337" s="50" t="s">
        <v>167</v>
      </c>
      <c r="E337" s="50">
        <v>29</v>
      </c>
      <c r="F337" s="50">
        <v>72</v>
      </c>
      <c r="G337" s="50">
        <v>1</v>
      </c>
      <c r="H337" s="50" t="s">
        <v>27</v>
      </c>
      <c r="I337" s="67">
        <v>1</v>
      </c>
      <c r="J337" s="50"/>
      <c r="O337" s="41">
        <v>1</v>
      </c>
      <c r="Q337" s="50" t="s">
        <v>2592</v>
      </c>
    </row>
    <row r="338" spans="2:17" thickBot="1" x14ac:dyDescent="0.3">
      <c r="B338" s="75">
        <v>337</v>
      </c>
      <c r="C338" s="77" t="s">
        <v>712</v>
      </c>
      <c r="D338" s="50" t="s">
        <v>2617</v>
      </c>
      <c r="E338" s="50">
        <v>29</v>
      </c>
      <c r="F338" s="50">
        <v>120</v>
      </c>
      <c r="G338" s="50">
        <v>17</v>
      </c>
      <c r="H338" s="50" t="s">
        <v>27</v>
      </c>
      <c r="I338" s="67">
        <v>1</v>
      </c>
      <c r="J338" s="50"/>
      <c r="P338" s="41">
        <v>1</v>
      </c>
      <c r="Q338" s="50" t="s">
        <v>54</v>
      </c>
    </row>
    <row r="339" spans="2:17" ht="36.75" thickBot="1" x14ac:dyDescent="0.3">
      <c r="B339" s="75">
        <v>338</v>
      </c>
      <c r="C339" s="77" t="s">
        <v>659</v>
      </c>
      <c r="D339" s="50" t="s">
        <v>375</v>
      </c>
      <c r="E339" s="50">
        <v>29</v>
      </c>
      <c r="F339" s="50">
        <v>61</v>
      </c>
      <c r="G339" s="50">
        <v>3</v>
      </c>
      <c r="H339" s="50" t="s">
        <v>27</v>
      </c>
      <c r="I339" s="67">
        <v>1</v>
      </c>
      <c r="J339" s="50"/>
      <c r="P339" s="41">
        <v>1</v>
      </c>
      <c r="Q339" s="50" t="s">
        <v>54</v>
      </c>
    </row>
    <row r="340" spans="2:17" thickBot="1" x14ac:dyDescent="0.3">
      <c r="B340" s="75">
        <v>339</v>
      </c>
      <c r="C340" s="75" t="s">
        <v>138</v>
      </c>
      <c r="D340" s="50" t="s">
        <v>1367</v>
      </c>
      <c r="E340" s="50">
        <v>29</v>
      </c>
      <c r="F340" s="50">
        <v>99</v>
      </c>
      <c r="G340" s="50">
        <v>5</v>
      </c>
      <c r="H340" s="50" t="s">
        <v>27</v>
      </c>
      <c r="I340" s="67">
        <v>1</v>
      </c>
      <c r="J340" s="50"/>
      <c r="P340" s="41">
        <v>1</v>
      </c>
      <c r="Q340" s="50" t="s">
        <v>54</v>
      </c>
    </row>
    <row r="341" spans="2:17" thickBot="1" x14ac:dyDescent="0.3">
      <c r="B341" s="75">
        <v>340</v>
      </c>
      <c r="C341" s="77" t="s">
        <v>781</v>
      </c>
      <c r="D341" s="50" t="s">
        <v>2590</v>
      </c>
      <c r="E341" s="50">
        <v>29</v>
      </c>
      <c r="F341" s="50">
        <v>97</v>
      </c>
      <c r="G341" s="50">
        <v>4</v>
      </c>
      <c r="H341" s="50" t="s">
        <v>27</v>
      </c>
      <c r="I341" s="67">
        <v>1</v>
      </c>
      <c r="J341" s="50"/>
      <c r="P341" s="41">
        <v>1</v>
      </c>
      <c r="Q341" s="50" t="s">
        <v>54</v>
      </c>
    </row>
    <row r="342" spans="2:17" thickBot="1" x14ac:dyDescent="0.3">
      <c r="B342" s="75">
        <v>341</v>
      </c>
      <c r="C342" s="77" t="s">
        <v>979</v>
      </c>
      <c r="D342" s="50" t="s">
        <v>1577</v>
      </c>
      <c r="E342" s="50">
        <v>29</v>
      </c>
      <c r="F342" s="50">
        <v>41</v>
      </c>
      <c r="G342" s="50">
        <v>12</v>
      </c>
      <c r="H342" s="50" t="s">
        <v>27</v>
      </c>
      <c r="I342" s="67">
        <v>1</v>
      </c>
      <c r="J342" s="50"/>
      <c r="P342" s="41">
        <v>1</v>
      </c>
      <c r="Q342" s="50" t="s">
        <v>54</v>
      </c>
    </row>
    <row r="343" spans="2:17" thickBot="1" x14ac:dyDescent="0.3">
      <c r="B343" s="75">
        <v>342</v>
      </c>
      <c r="C343" s="75" t="s">
        <v>138</v>
      </c>
      <c r="D343" s="50" t="s">
        <v>1576</v>
      </c>
      <c r="E343" s="50">
        <v>29</v>
      </c>
      <c r="F343" s="50">
        <v>107</v>
      </c>
      <c r="G343" s="50">
        <v>4</v>
      </c>
      <c r="H343" s="50" t="s">
        <v>27</v>
      </c>
      <c r="I343" s="67">
        <v>1</v>
      </c>
      <c r="J343" s="50"/>
      <c r="P343" s="41">
        <v>1</v>
      </c>
      <c r="Q343" s="50" t="s">
        <v>54</v>
      </c>
    </row>
    <row r="344" spans="2:17" thickBot="1" x14ac:dyDescent="0.3">
      <c r="B344" s="75">
        <v>343</v>
      </c>
      <c r="C344" s="77" t="s">
        <v>143</v>
      </c>
      <c r="D344" s="50" t="s">
        <v>921</v>
      </c>
      <c r="E344" s="50">
        <v>29</v>
      </c>
      <c r="F344" s="50">
        <v>125</v>
      </c>
      <c r="G344" s="50">
        <v>5</v>
      </c>
      <c r="H344" s="50" t="s">
        <v>27</v>
      </c>
      <c r="I344" s="67">
        <v>1</v>
      </c>
      <c r="J344" s="50"/>
      <c r="P344" s="41">
        <v>1</v>
      </c>
      <c r="Q344" s="50" t="s">
        <v>54</v>
      </c>
    </row>
    <row r="345" spans="2:17" thickBot="1" x14ac:dyDescent="0.3">
      <c r="B345" s="75">
        <v>344</v>
      </c>
      <c r="C345" s="75" t="s">
        <v>166</v>
      </c>
      <c r="D345" s="50" t="s">
        <v>1575</v>
      </c>
      <c r="E345" s="50">
        <v>29</v>
      </c>
      <c r="F345" s="50">
        <v>81</v>
      </c>
      <c r="G345" s="50">
        <v>5</v>
      </c>
      <c r="H345" s="50" t="s">
        <v>27</v>
      </c>
      <c r="I345" s="67">
        <v>1</v>
      </c>
      <c r="J345" s="50"/>
      <c r="P345" s="41">
        <v>1</v>
      </c>
      <c r="Q345" s="50" t="s">
        <v>54</v>
      </c>
    </row>
    <row r="346" spans="2:17" thickBot="1" x14ac:dyDescent="0.3">
      <c r="B346" s="75">
        <v>345</v>
      </c>
      <c r="C346" s="77" t="s">
        <v>166</v>
      </c>
      <c r="D346" s="50" t="s">
        <v>1574</v>
      </c>
      <c r="E346" s="50">
        <v>29</v>
      </c>
      <c r="F346" s="50">
        <v>143</v>
      </c>
      <c r="G346" s="50">
        <v>5</v>
      </c>
      <c r="H346" s="50" t="s">
        <v>27</v>
      </c>
      <c r="I346" s="67">
        <v>1</v>
      </c>
      <c r="J346" s="50"/>
      <c r="P346" s="41">
        <v>1</v>
      </c>
      <c r="Q346" s="50" t="s">
        <v>54</v>
      </c>
    </row>
    <row r="347" spans="2:17" thickBot="1" x14ac:dyDescent="0.3">
      <c r="B347" s="75">
        <v>346</v>
      </c>
      <c r="C347" s="77" t="s">
        <v>188</v>
      </c>
      <c r="D347" s="50" t="s">
        <v>1573</v>
      </c>
      <c r="E347" s="50">
        <v>29</v>
      </c>
      <c r="F347" s="50">
        <v>157</v>
      </c>
      <c r="G347" s="50">
        <v>15</v>
      </c>
      <c r="H347" s="50" t="s">
        <v>27</v>
      </c>
      <c r="I347" s="67">
        <v>1</v>
      </c>
      <c r="J347" s="50"/>
      <c r="P347" s="41">
        <v>1</v>
      </c>
      <c r="Q347" s="50" t="s">
        <v>54</v>
      </c>
    </row>
    <row r="348" spans="2:17" thickBot="1" x14ac:dyDescent="0.3">
      <c r="B348" s="75">
        <v>347</v>
      </c>
      <c r="C348" s="75" t="s">
        <v>677</v>
      </c>
      <c r="D348" s="50" t="s">
        <v>1572</v>
      </c>
      <c r="E348" s="50">
        <v>29</v>
      </c>
      <c r="F348" s="50">
        <v>126</v>
      </c>
      <c r="G348" s="50">
        <v>6</v>
      </c>
      <c r="H348" s="50" t="s">
        <v>27</v>
      </c>
      <c r="I348" s="67">
        <v>1</v>
      </c>
      <c r="J348" s="50"/>
      <c r="P348" s="41">
        <v>1</v>
      </c>
      <c r="Q348" s="50" t="s">
        <v>54</v>
      </c>
    </row>
    <row r="349" spans="2:17" ht="36.75" thickBot="1" x14ac:dyDescent="0.3">
      <c r="B349" s="75">
        <v>348</v>
      </c>
      <c r="C349" s="77" t="s">
        <v>586</v>
      </c>
      <c r="D349" s="50" t="s">
        <v>1571</v>
      </c>
      <c r="E349" s="50">
        <v>29</v>
      </c>
      <c r="F349" s="50">
        <v>95</v>
      </c>
      <c r="G349" s="50">
        <v>3</v>
      </c>
      <c r="H349" s="50" t="s">
        <v>27</v>
      </c>
      <c r="I349" s="67">
        <v>1</v>
      </c>
      <c r="J349" s="50"/>
      <c r="P349" s="41">
        <v>1</v>
      </c>
      <c r="Q349" s="50" t="s">
        <v>54</v>
      </c>
    </row>
    <row r="350" spans="2:17" thickBot="1" x14ac:dyDescent="0.3">
      <c r="B350" s="75">
        <v>349</v>
      </c>
      <c r="C350" s="77" t="s">
        <v>682</v>
      </c>
      <c r="D350" s="50" t="s">
        <v>532</v>
      </c>
      <c r="E350" s="50">
        <v>29</v>
      </c>
      <c r="F350" s="50">
        <v>40</v>
      </c>
      <c r="G350" s="50">
        <v>8</v>
      </c>
      <c r="H350" s="50" t="s">
        <v>27</v>
      </c>
      <c r="I350" s="67">
        <v>1</v>
      </c>
      <c r="J350" s="50"/>
      <c r="P350" s="41">
        <v>1</v>
      </c>
      <c r="Q350" s="50" t="s">
        <v>54</v>
      </c>
    </row>
    <row r="351" spans="2:17" thickBot="1" x14ac:dyDescent="0.3">
      <c r="B351" s="75">
        <v>350</v>
      </c>
      <c r="C351" s="75" t="s">
        <v>170</v>
      </c>
      <c r="D351" s="50" t="s">
        <v>1570</v>
      </c>
      <c r="E351" s="50">
        <v>29</v>
      </c>
      <c r="F351" s="50">
        <v>71</v>
      </c>
      <c r="G351" s="50">
        <v>4</v>
      </c>
      <c r="H351" s="50" t="s">
        <v>27</v>
      </c>
      <c r="I351" s="67">
        <v>1</v>
      </c>
      <c r="J351" s="50"/>
      <c r="P351" s="41">
        <v>1</v>
      </c>
      <c r="Q351" s="50" t="s">
        <v>54</v>
      </c>
    </row>
    <row r="352" spans="2:17" thickBot="1" x14ac:dyDescent="0.3">
      <c r="B352" s="75">
        <v>351</v>
      </c>
      <c r="C352" s="77" t="s">
        <v>280</v>
      </c>
      <c r="D352" s="50" t="s">
        <v>1569</v>
      </c>
      <c r="E352" s="50">
        <v>29</v>
      </c>
      <c r="F352" s="50">
        <v>106</v>
      </c>
      <c r="G352" s="50">
        <v>2</v>
      </c>
      <c r="H352" s="50" t="s">
        <v>27</v>
      </c>
      <c r="I352" s="67">
        <v>1</v>
      </c>
      <c r="J352" s="50"/>
      <c r="P352" s="41">
        <v>1</v>
      </c>
      <c r="Q352" s="50" t="s">
        <v>55</v>
      </c>
    </row>
    <row r="353" spans="2:17" thickBot="1" x14ac:dyDescent="0.3">
      <c r="B353" s="75">
        <v>352</v>
      </c>
      <c r="C353" s="77" t="s">
        <v>960</v>
      </c>
      <c r="D353" s="50" t="s">
        <v>2584</v>
      </c>
      <c r="E353" s="50">
        <v>29</v>
      </c>
      <c r="F353" s="50">
        <v>35</v>
      </c>
      <c r="G353" s="50">
        <v>5</v>
      </c>
      <c r="H353" s="50" t="s">
        <v>27</v>
      </c>
      <c r="I353" s="67">
        <v>1</v>
      </c>
      <c r="J353" s="50"/>
      <c r="Q353" s="81" t="s">
        <v>433</v>
      </c>
    </row>
    <row r="354" spans="2:17" thickBot="1" x14ac:dyDescent="0.3">
      <c r="B354" s="75">
        <v>353</v>
      </c>
      <c r="C354" s="75" t="s">
        <v>270</v>
      </c>
      <c r="D354" s="50" t="s">
        <v>1601</v>
      </c>
      <c r="E354" s="50">
        <v>29</v>
      </c>
      <c r="F354" s="50">
        <v>121</v>
      </c>
      <c r="G354" s="50">
        <v>1</v>
      </c>
      <c r="H354" s="50" t="s">
        <v>27</v>
      </c>
      <c r="I354" s="67">
        <v>1</v>
      </c>
      <c r="J354" s="50"/>
      <c r="P354" s="41">
        <v>1</v>
      </c>
      <c r="Q354" s="50" t="s">
        <v>55</v>
      </c>
    </row>
    <row r="355" spans="2:17" thickBot="1" x14ac:dyDescent="0.3">
      <c r="B355" s="75">
        <v>354</v>
      </c>
      <c r="C355" s="77"/>
      <c r="D355" s="50" t="s">
        <v>97</v>
      </c>
      <c r="E355" s="50">
        <v>29</v>
      </c>
      <c r="F355" s="50">
        <v>144</v>
      </c>
      <c r="G355" s="50">
        <v>2</v>
      </c>
      <c r="H355" s="50" t="s">
        <v>27</v>
      </c>
      <c r="I355" s="67">
        <v>1</v>
      </c>
      <c r="J355" s="50"/>
      <c r="P355" s="41">
        <v>1</v>
      </c>
      <c r="Q355" s="50" t="s">
        <v>55</v>
      </c>
    </row>
    <row r="356" spans="2:17" thickBot="1" x14ac:dyDescent="0.3">
      <c r="B356" s="75">
        <v>355</v>
      </c>
      <c r="C356" s="77" t="s">
        <v>217</v>
      </c>
      <c r="D356" s="50" t="s">
        <v>1600</v>
      </c>
      <c r="E356" s="50">
        <v>29</v>
      </c>
      <c r="F356" s="50">
        <v>99</v>
      </c>
      <c r="G356" s="50">
        <v>3</v>
      </c>
      <c r="H356" s="50" t="s">
        <v>27</v>
      </c>
      <c r="I356" s="67">
        <v>1</v>
      </c>
      <c r="J356" s="50"/>
      <c r="P356" s="41">
        <v>1</v>
      </c>
      <c r="Q356" s="50" t="s">
        <v>55</v>
      </c>
    </row>
    <row r="357" spans="2:17" thickBot="1" x14ac:dyDescent="0.3">
      <c r="B357" s="75">
        <v>356</v>
      </c>
      <c r="C357" s="75" t="s">
        <v>1244</v>
      </c>
      <c r="D357" s="50" t="s">
        <v>1599</v>
      </c>
      <c r="E357" s="50">
        <v>29</v>
      </c>
      <c r="F357" s="50">
        <v>99</v>
      </c>
      <c r="G357" s="50">
        <v>3</v>
      </c>
      <c r="H357" s="50" t="s">
        <v>27</v>
      </c>
      <c r="I357" s="67">
        <v>1</v>
      </c>
      <c r="J357" s="50"/>
      <c r="P357" s="41">
        <v>1</v>
      </c>
      <c r="Q357" s="50" t="s">
        <v>55</v>
      </c>
    </row>
    <row r="358" spans="2:17" thickBot="1" x14ac:dyDescent="0.3">
      <c r="B358" s="75">
        <v>357</v>
      </c>
      <c r="C358" s="77" t="s">
        <v>199</v>
      </c>
      <c r="D358" s="50" t="s">
        <v>180</v>
      </c>
      <c r="E358" s="50">
        <v>29</v>
      </c>
      <c r="F358" s="50">
        <v>114</v>
      </c>
      <c r="G358" s="50">
        <v>10</v>
      </c>
      <c r="H358" s="50" t="s">
        <v>27</v>
      </c>
      <c r="I358" s="67">
        <v>1</v>
      </c>
      <c r="J358" s="50"/>
      <c r="P358" s="41">
        <v>1</v>
      </c>
      <c r="Q358" s="50"/>
    </row>
    <row r="359" spans="2:17" thickBot="1" x14ac:dyDescent="0.3">
      <c r="B359" s="75">
        <v>358</v>
      </c>
      <c r="C359" s="77" t="s">
        <v>1272</v>
      </c>
      <c r="D359" s="50" t="s">
        <v>1598</v>
      </c>
      <c r="E359" s="50">
        <v>29</v>
      </c>
      <c r="F359" s="50">
        <v>174</v>
      </c>
      <c r="G359" s="50">
        <v>10</v>
      </c>
      <c r="H359" s="50" t="s">
        <v>27</v>
      </c>
      <c r="I359" s="67">
        <v>1</v>
      </c>
      <c r="J359" s="50"/>
      <c r="P359" s="41">
        <v>1</v>
      </c>
      <c r="Q359" s="50"/>
    </row>
    <row r="360" spans="2:17" thickBot="1" x14ac:dyDescent="0.3">
      <c r="B360" s="75">
        <v>359</v>
      </c>
      <c r="C360" s="75" t="s">
        <v>125</v>
      </c>
      <c r="D360" s="50" t="s">
        <v>1597</v>
      </c>
      <c r="E360" s="50">
        <v>29</v>
      </c>
      <c r="F360" s="50">
        <v>59</v>
      </c>
      <c r="G360" s="50">
        <v>9</v>
      </c>
      <c r="H360" s="50" t="s">
        <v>27</v>
      </c>
      <c r="I360" s="67">
        <v>1</v>
      </c>
      <c r="J360" s="50"/>
      <c r="N360" s="41">
        <v>0</v>
      </c>
      <c r="P360" s="41">
        <v>1</v>
      </c>
      <c r="Q360" s="50"/>
    </row>
    <row r="361" spans="2:17" thickBot="1" x14ac:dyDescent="0.3">
      <c r="B361" s="75">
        <v>360</v>
      </c>
      <c r="C361" s="75" t="s">
        <v>135</v>
      </c>
      <c r="D361" s="50" t="s">
        <v>1596</v>
      </c>
      <c r="E361" s="50">
        <v>29</v>
      </c>
      <c r="F361" s="50">
        <v>68</v>
      </c>
      <c r="G361" s="50">
        <v>9</v>
      </c>
      <c r="H361" s="50" t="s">
        <v>27</v>
      </c>
      <c r="I361" s="67">
        <v>1</v>
      </c>
      <c r="J361" s="50"/>
      <c r="Q361" s="50"/>
    </row>
    <row r="362" spans="2:17" thickBot="1" x14ac:dyDescent="0.3">
      <c r="B362" s="75">
        <v>361</v>
      </c>
      <c r="C362" s="77" t="s">
        <v>402</v>
      </c>
      <c r="D362" s="50" t="s">
        <v>1595</v>
      </c>
      <c r="E362" s="50">
        <v>29</v>
      </c>
      <c r="F362" s="50">
        <v>66</v>
      </c>
      <c r="G362" s="50">
        <v>9</v>
      </c>
      <c r="H362" s="50" t="s">
        <v>27</v>
      </c>
      <c r="I362" s="67">
        <v>1</v>
      </c>
      <c r="J362" s="50"/>
      <c r="P362" s="41">
        <v>1</v>
      </c>
      <c r="Q362" s="50"/>
    </row>
    <row r="363" spans="2:17" thickBot="1" x14ac:dyDescent="0.3">
      <c r="B363" s="75">
        <v>362</v>
      </c>
      <c r="C363" s="77" t="s">
        <v>1594</v>
      </c>
      <c r="D363" s="50" t="s">
        <v>1593</v>
      </c>
      <c r="E363" s="50">
        <v>29</v>
      </c>
      <c r="F363" s="50">
        <v>110</v>
      </c>
      <c r="G363" s="50">
        <v>11</v>
      </c>
      <c r="H363" s="50" t="s">
        <v>27</v>
      </c>
      <c r="I363" s="67">
        <v>1</v>
      </c>
      <c r="J363" s="50"/>
      <c r="Q363" s="86" t="s">
        <v>1050</v>
      </c>
    </row>
    <row r="364" spans="2:17" thickBot="1" x14ac:dyDescent="0.3">
      <c r="B364" s="75">
        <v>363</v>
      </c>
      <c r="C364" s="75" t="s">
        <v>181</v>
      </c>
      <c r="D364" s="50" t="s">
        <v>1592</v>
      </c>
      <c r="E364" s="50">
        <v>29</v>
      </c>
      <c r="F364" s="50">
        <v>51</v>
      </c>
      <c r="G364" s="50">
        <v>10</v>
      </c>
      <c r="H364" s="50" t="s">
        <v>27</v>
      </c>
      <c r="I364" s="67">
        <v>1</v>
      </c>
      <c r="J364" s="50"/>
      <c r="Q364" s="50"/>
    </row>
    <row r="365" spans="2:17" thickBot="1" x14ac:dyDescent="0.3">
      <c r="B365" s="75">
        <v>364</v>
      </c>
      <c r="C365" s="77" t="s">
        <v>138</v>
      </c>
      <c r="D365" s="50" t="s">
        <v>1591</v>
      </c>
      <c r="E365" s="50">
        <v>29</v>
      </c>
      <c r="F365" s="50">
        <v>56</v>
      </c>
      <c r="G365" s="50">
        <v>11</v>
      </c>
      <c r="H365" s="50" t="s">
        <v>27</v>
      </c>
      <c r="I365" s="67">
        <v>1</v>
      </c>
      <c r="J365" s="50"/>
      <c r="Q365" s="50"/>
    </row>
    <row r="366" spans="2:17" thickBot="1" x14ac:dyDescent="0.3">
      <c r="B366" s="75">
        <v>365</v>
      </c>
      <c r="C366" s="77" t="s">
        <v>133</v>
      </c>
      <c r="D366" s="50" t="s">
        <v>1590</v>
      </c>
      <c r="E366" s="50">
        <v>29</v>
      </c>
      <c r="F366" s="50">
        <v>80</v>
      </c>
      <c r="G366" s="50">
        <v>11</v>
      </c>
      <c r="H366" s="50" t="s">
        <v>27</v>
      </c>
      <c r="I366" s="67">
        <v>1</v>
      </c>
      <c r="J366" s="50"/>
      <c r="P366" s="41">
        <v>1</v>
      </c>
      <c r="Q366" s="50"/>
    </row>
    <row r="367" spans="2:17" thickBot="1" x14ac:dyDescent="0.3">
      <c r="B367" s="75">
        <v>366</v>
      </c>
      <c r="C367" s="75" t="s">
        <v>143</v>
      </c>
      <c r="D367" s="50" t="s">
        <v>426</v>
      </c>
      <c r="E367" s="50">
        <v>29</v>
      </c>
      <c r="F367" s="50">
        <v>44</v>
      </c>
      <c r="G367" s="50">
        <v>12</v>
      </c>
      <c r="H367" s="50" t="s">
        <v>27</v>
      </c>
      <c r="I367" s="67">
        <v>1</v>
      </c>
      <c r="J367" s="50"/>
      <c r="Q367" s="50"/>
    </row>
    <row r="368" spans="2:17" ht="38.25" thickBot="1" x14ac:dyDescent="0.3">
      <c r="B368" s="75">
        <v>367</v>
      </c>
      <c r="C368" s="77" t="s">
        <v>136</v>
      </c>
      <c r="D368" s="50" t="s">
        <v>1589</v>
      </c>
      <c r="E368" s="50">
        <v>29</v>
      </c>
      <c r="F368" s="50">
        <v>46</v>
      </c>
      <c r="G368" s="50">
        <v>12</v>
      </c>
      <c r="H368" s="50" t="s">
        <v>27</v>
      </c>
      <c r="I368" s="67">
        <v>1</v>
      </c>
      <c r="J368" s="50"/>
      <c r="Q368" s="50" t="s">
        <v>2601</v>
      </c>
    </row>
    <row r="369" spans="2:17" thickBot="1" x14ac:dyDescent="0.3">
      <c r="B369" s="75">
        <v>368</v>
      </c>
      <c r="C369" s="77" t="s">
        <v>128</v>
      </c>
      <c r="D369" s="50" t="s">
        <v>742</v>
      </c>
      <c r="E369" s="50">
        <v>29</v>
      </c>
      <c r="F369" s="50">
        <v>63</v>
      </c>
      <c r="G369" s="50">
        <v>10</v>
      </c>
      <c r="H369" s="50" t="s">
        <v>27</v>
      </c>
      <c r="I369" s="67">
        <v>1</v>
      </c>
      <c r="J369" s="50"/>
      <c r="Q369" s="50"/>
    </row>
    <row r="370" spans="2:17" thickBot="1" x14ac:dyDescent="0.3">
      <c r="B370" s="75">
        <v>369</v>
      </c>
      <c r="C370" s="75" t="s">
        <v>128</v>
      </c>
      <c r="D370" s="50" t="s">
        <v>1588</v>
      </c>
      <c r="E370" s="50">
        <v>29</v>
      </c>
      <c r="F370" s="50">
        <v>107</v>
      </c>
      <c r="G370" s="50">
        <v>11</v>
      </c>
      <c r="H370" s="50" t="s">
        <v>27</v>
      </c>
      <c r="I370" s="67">
        <v>1</v>
      </c>
      <c r="J370" s="50"/>
      <c r="Q370" s="50"/>
    </row>
    <row r="371" spans="2:17" thickBot="1" x14ac:dyDescent="0.3">
      <c r="B371" s="75">
        <v>370</v>
      </c>
      <c r="C371" s="77" t="s">
        <v>125</v>
      </c>
      <c r="D371" s="50" t="s">
        <v>1587</v>
      </c>
      <c r="E371" s="50">
        <v>29</v>
      </c>
      <c r="F371" s="50">
        <v>75</v>
      </c>
      <c r="G371" s="50">
        <v>8</v>
      </c>
      <c r="H371" s="50" t="s">
        <v>27</v>
      </c>
      <c r="I371" s="67">
        <v>1</v>
      </c>
      <c r="J371" s="50"/>
      <c r="Q371" s="50"/>
    </row>
    <row r="372" spans="2:17" thickBot="1" x14ac:dyDescent="0.3">
      <c r="B372" s="75">
        <v>371</v>
      </c>
      <c r="C372" s="77" t="s">
        <v>1586</v>
      </c>
      <c r="D372" s="50" t="s">
        <v>1585</v>
      </c>
      <c r="E372" s="50">
        <v>29</v>
      </c>
      <c r="F372" s="50">
        <v>84</v>
      </c>
      <c r="G372" s="50">
        <v>8</v>
      </c>
      <c r="H372" s="50" t="s">
        <v>27</v>
      </c>
      <c r="I372" s="67">
        <v>1</v>
      </c>
      <c r="J372" s="50"/>
      <c r="Q372" s="50"/>
    </row>
    <row r="373" spans="2:17" thickBot="1" x14ac:dyDescent="0.3">
      <c r="B373" s="75">
        <v>372</v>
      </c>
      <c r="C373" s="75" t="s">
        <v>315</v>
      </c>
      <c r="D373" s="50" t="s">
        <v>1584</v>
      </c>
      <c r="E373" s="50">
        <v>29</v>
      </c>
      <c r="F373" s="50">
        <v>40</v>
      </c>
      <c r="G373" s="50">
        <v>9</v>
      </c>
      <c r="H373" s="50" t="s">
        <v>27</v>
      </c>
      <c r="I373" s="67">
        <v>1</v>
      </c>
      <c r="J373" s="50"/>
      <c r="Q373" s="50"/>
    </row>
    <row r="374" spans="2:17" thickBot="1" x14ac:dyDescent="0.3">
      <c r="B374" s="75">
        <v>373</v>
      </c>
      <c r="C374" s="77" t="s">
        <v>199</v>
      </c>
      <c r="D374" s="50" t="s">
        <v>1583</v>
      </c>
      <c r="E374" s="50">
        <v>29</v>
      </c>
      <c r="F374" s="50">
        <v>49</v>
      </c>
      <c r="G374" s="50">
        <v>9</v>
      </c>
      <c r="H374" s="50" t="s">
        <v>27</v>
      </c>
      <c r="I374" s="67">
        <v>1</v>
      </c>
      <c r="J374" s="50"/>
      <c r="P374" s="41">
        <v>1</v>
      </c>
      <c r="Q374" s="50"/>
    </row>
    <row r="375" spans="2:17" thickBot="1" x14ac:dyDescent="0.3">
      <c r="B375" s="75">
        <v>374</v>
      </c>
      <c r="C375" s="77" t="s">
        <v>646</v>
      </c>
      <c r="D375" s="50" t="s">
        <v>1582</v>
      </c>
      <c r="E375" s="50">
        <v>29</v>
      </c>
      <c r="F375" s="50">
        <v>21</v>
      </c>
      <c r="G375" s="50">
        <v>3</v>
      </c>
      <c r="H375" s="50" t="s">
        <v>27</v>
      </c>
      <c r="I375" s="67">
        <v>1</v>
      </c>
      <c r="J375" s="50"/>
      <c r="N375" s="41">
        <v>1</v>
      </c>
      <c r="Q375" s="50"/>
    </row>
    <row r="376" spans="2:17" thickBot="1" x14ac:dyDescent="0.3">
      <c r="B376" s="75">
        <v>375</v>
      </c>
      <c r="C376" s="75" t="s">
        <v>600</v>
      </c>
      <c r="D376" s="50" t="s">
        <v>6</v>
      </c>
      <c r="E376" s="50">
        <v>29</v>
      </c>
      <c r="F376" s="50">
        <v>145</v>
      </c>
      <c r="G376" s="50">
        <v>7</v>
      </c>
      <c r="H376" s="50" t="s">
        <v>27</v>
      </c>
      <c r="I376" s="67">
        <v>1</v>
      </c>
      <c r="J376" s="50"/>
      <c r="Q376" s="50"/>
    </row>
    <row r="377" spans="2:17" thickBot="1" x14ac:dyDescent="0.3">
      <c r="B377" s="75">
        <v>376</v>
      </c>
      <c r="C377" s="75" t="s">
        <v>600</v>
      </c>
      <c r="D377" s="50" t="s">
        <v>6</v>
      </c>
      <c r="E377" s="50">
        <v>29</v>
      </c>
      <c r="F377" s="50">
        <v>152</v>
      </c>
      <c r="G377" s="50">
        <v>4</v>
      </c>
      <c r="H377" s="50" t="s">
        <v>27</v>
      </c>
      <c r="I377" s="67">
        <v>1</v>
      </c>
      <c r="J377" s="50"/>
      <c r="N377" s="41">
        <v>1</v>
      </c>
      <c r="Q377" s="50"/>
    </row>
    <row r="378" spans="2:17" thickBot="1" x14ac:dyDescent="0.3">
      <c r="B378" s="75">
        <v>377</v>
      </c>
      <c r="C378" s="75" t="s">
        <v>600</v>
      </c>
      <c r="D378" s="50" t="s">
        <v>6</v>
      </c>
      <c r="E378" s="50">
        <v>29</v>
      </c>
      <c r="F378" s="50">
        <v>151</v>
      </c>
      <c r="G378" s="50">
        <v>4</v>
      </c>
      <c r="H378" s="50" t="s">
        <v>27</v>
      </c>
      <c r="I378" s="71">
        <v>1</v>
      </c>
      <c r="J378" s="61"/>
      <c r="K378" s="56"/>
      <c r="L378" s="56"/>
      <c r="M378" s="56"/>
      <c r="N378" s="57">
        <v>1</v>
      </c>
      <c r="O378" s="57"/>
      <c r="P378" s="57"/>
      <c r="Q378" s="50"/>
    </row>
    <row r="379" spans="2:17" ht="57" thickBot="1" x14ac:dyDescent="0.3">
      <c r="B379" s="75">
        <v>378</v>
      </c>
      <c r="C379" s="75" t="s">
        <v>411</v>
      </c>
      <c r="D379" s="50" t="s">
        <v>2419</v>
      </c>
      <c r="E379" s="50">
        <v>29</v>
      </c>
      <c r="F379" s="50">
        <v>122</v>
      </c>
      <c r="G379" s="50">
        <v>3</v>
      </c>
      <c r="H379" s="50" t="s">
        <v>26</v>
      </c>
      <c r="I379" s="71"/>
      <c r="J379" s="61">
        <v>1</v>
      </c>
      <c r="K379" s="56"/>
      <c r="L379" s="56"/>
      <c r="M379" s="40">
        <v>1</v>
      </c>
      <c r="N379" s="57"/>
      <c r="O379" s="57"/>
      <c r="P379" s="57"/>
      <c r="Q379" s="50" t="s">
        <v>2598</v>
      </c>
    </row>
    <row r="380" spans="2:17" ht="38.25" thickBot="1" x14ac:dyDescent="0.3">
      <c r="B380" s="75">
        <v>379</v>
      </c>
      <c r="C380" s="75" t="s">
        <v>1286</v>
      </c>
      <c r="D380" s="50" t="s">
        <v>1300</v>
      </c>
      <c r="E380" s="50">
        <v>29</v>
      </c>
      <c r="F380" s="50">
        <v>29</v>
      </c>
      <c r="G380" s="50">
        <v>8</v>
      </c>
      <c r="H380" s="50" t="s">
        <v>27</v>
      </c>
      <c r="I380" s="71">
        <v>1</v>
      </c>
      <c r="J380" s="61"/>
      <c r="K380" s="56"/>
      <c r="L380" s="56"/>
      <c r="M380" s="56"/>
      <c r="N380" s="57"/>
      <c r="O380" s="57"/>
      <c r="P380" s="57"/>
      <c r="Q380" s="50" t="s">
        <v>2599</v>
      </c>
    </row>
    <row r="381" spans="2:17" thickBot="1" x14ac:dyDescent="0.3">
      <c r="B381" s="75">
        <v>380</v>
      </c>
      <c r="C381" s="75" t="s">
        <v>2572</v>
      </c>
      <c r="D381" s="50" t="s">
        <v>2573</v>
      </c>
      <c r="E381" s="50">
        <v>29</v>
      </c>
      <c r="F381" s="50">
        <v>47</v>
      </c>
      <c r="G381" s="50">
        <v>14</v>
      </c>
      <c r="H381" s="50" t="s">
        <v>26</v>
      </c>
      <c r="I381" s="71"/>
      <c r="J381" s="61">
        <v>1</v>
      </c>
      <c r="K381" s="56"/>
      <c r="L381" s="56"/>
      <c r="M381" s="40">
        <v>1</v>
      </c>
      <c r="N381" s="57"/>
      <c r="O381" s="57"/>
      <c r="P381" s="57"/>
      <c r="Q381" s="50"/>
    </row>
    <row r="382" spans="2:17" thickBot="1" x14ac:dyDescent="0.3">
      <c r="B382" s="75">
        <v>381</v>
      </c>
      <c r="C382" s="75" t="s">
        <v>2574</v>
      </c>
      <c r="D382" s="50" t="s">
        <v>2575</v>
      </c>
      <c r="E382" s="50">
        <v>29</v>
      </c>
      <c r="F382" s="50">
        <v>72</v>
      </c>
      <c r="G382" s="50">
        <v>18</v>
      </c>
      <c r="H382" s="50" t="s">
        <v>26</v>
      </c>
      <c r="I382" s="71"/>
      <c r="J382" s="61">
        <v>1</v>
      </c>
      <c r="K382" s="56"/>
      <c r="L382" s="56"/>
      <c r="M382" s="40">
        <v>1</v>
      </c>
      <c r="N382" s="57"/>
      <c r="O382" s="57"/>
      <c r="P382" s="57"/>
      <c r="Q382" s="50"/>
    </row>
    <row r="383" spans="2:17" thickBot="1" x14ac:dyDescent="0.3">
      <c r="B383" s="75">
        <v>382</v>
      </c>
      <c r="C383" s="75" t="s">
        <v>2579</v>
      </c>
      <c r="D383" s="50" t="s">
        <v>2576</v>
      </c>
      <c r="E383" s="50">
        <v>29</v>
      </c>
      <c r="F383" s="50">
        <v>48</v>
      </c>
      <c r="G383" s="50">
        <v>15</v>
      </c>
      <c r="H383" s="50" t="s">
        <v>26</v>
      </c>
      <c r="I383" s="71"/>
      <c r="J383" s="61">
        <v>1</v>
      </c>
      <c r="K383" s="56"/>
      <c r="L383" s="56"/>
      <c r="M383" s="40">
        <v>1</v>
      </c>
      <c r="N383" s="57"/>
      <c r="O383" s="57"/>
      <c r="P383" s="57"/>
      <c r="Q383" s="50"/>
    </row>
    <row r="384" spans="2:17" thickBot="1" x14ac:dyDescent="0.3">
      <c r="B384" s="75">
        <v>383</v>
      </c>
      <c r="C384" s="75" t="s">
        <v>138</v>
      </c>
      <c r="D384" s="50" t="s">
        <v>2577</v>
      </c>
      <c r="E384" s="50">
        <v>29</v>
      </c>
      <c r="F384" s="50">
        <v>41</v>
      </c>
      <c r="G384" s="50">
        <v>14</v>
      </c>
      <c r="H384" s="50" t="s">
        <v>26</v>
      </c>
      <c r="I384" s="71"/>
      <c r="J384" s="61">
        <v>1</v>
      </c>
      <c r="K384" s="56"/>
      <c r="L384" s="56"/>
      <c r="M384" s="40">
        <v>1</v>
      </c>
      <c r="N384" s="57"/>
      <c r="O384" s="57"/>
      <c r="P384" s="57"/>
      <c r="Q384" s="50"/>
    </row>
    <row r="385" spans="2:17" thickBot="1" x14ac:dyDescent="0.3">
      <c r="B385" s="75">
        <v>384</v>
      </c>
      <c r="C385" s="75" t="s">
        <v>166</v>
      </c>
      <c r="D385" s="50" t="s">
        <v>1235</v>
      </c>
      <c r="E385" s="50">
        <v>29</v>
      </c>
      <c r="F385" s="50">
        <v>49</v>
      </c>
      <c r="G385" s="50">
        <v>8</v>
      </c>
      <c r="H385" s="50" t="s">
        <v>26</v>
      </c>
      <c r="I385" s="71"/>
      <c r="J385" s="61">
        <v>1</v>
      </c>
      <c r="K385" s="56">
        <v>0</v>
      </c>
      <c r="L385" s="56"/>
      <c r="M385" s="40">
        <v>1</v>
      </c>
      <c r="N385" s="57"/>
      <c r="O385" s="57"/>
      <c r="P385" s="57"/>
      <c r="Q385" s="50"/>
    </row>
    <row r="386" spans="2:17" thickBot="1" x14ac:dyDescent="0.3">
      <c r="B386" s="75">
        <v>385</v>
      </c>
      <c r="C386" s="75" t="s">
        <v>812</v>
      </c>
      <c r="D386" s="50" t="s">
        <v>2578</v>
      </c>
      <c r="E386" s="50">
        <v>29</v>
      </c>
      <c r="F386" s="50">
        <v>15</v>
      </c>
      <c r="G386" s="50">
        <v>13</v>
      </c>
      <c r="H386" s="50" t="s">
        <v>27</v>
      </c>
      <c r="I386" s="71">
        <v>1</v>
      </c>
      <c r="J386" s="61"/>
      <c r="K386" s="56"/>
      <c r="L386" s="56"/>
      <c r="M386" s="56"/>
      <c r="N386" s="57"/>
      <c r="O386" s="57"/>
      <c r="P386" s="57"/>
      <c r="Q386" s="50"/>
    </row>
    <row r="387" spans="2:17" thickBot="1" x14ac:dyDescent="0.3">
      <c r="B387" s="75">
        <v>386</v>
      </c>
      <c r="C387" s="75" t="s">
        <v>1662</v>
      </c>
      <c r="D387" s="50" t="s">
        <v>849</v>
      </c>
      <c r="E387" s="50">
        <v>29</v>
      </c>
      <c r="F387" s="50">
        <v>74</v>
      </c>
      <c r="G387" s="50">
        <v>6</v>
      </c>
      <c r="H387" s="50" t="s">
        <v>27</v>
      </c>
      <c r="I387" s="71">
        <v>1</v>
      </c>
      <c r="J387" s="61"/>
      <c r="K387" s="56"/>
      <c r="L387" s="56"/>
      <c r="M387" s="56"/>
      <c r="N387" s="57"/>
      <c r="O387" s="57"/>
      <c r="P387" s="57">
        <v>1</v>
      </c>
      <c r="Q387" s="50"/>
    </row>
    <row r="388" spans="2:17" thickBot="1" x14ac:dyDescent="0.3">
      <c r="B388" s="75">
        <v>387</v>
      </c>
      <c r="C388" s="75" t="s">
        <v>1055</v>
      </c>
      <c r="D388" s="50" t="s">
        <v>2585</v>
      </c>
      <c r="E388" s="50">
        <v>29</v>
      </c>
      <c r="F388" s="50">
        <v>84</v>
      </c>
      <c r="G388" s="50">
        <v>6</v>
      </c>
      <c r="H388" s="50" t="s">
        <v>27</v>
      </c>
      <c r="I388" s="71">
        <v>1</v>
      </c>
      <c r="J388" s="61"/>
      <c r="K388" s="56"/>
      <c r="L388" s="56"/>
      <c r="M388" s="56"/>
      <c r="N388" s="57"/>
      <c r="O388" s="57"/>
      <c r="P388" s="57">
        <v>1</v>
      </c>
      <c r="Q388" s="50"/>
    </row>
    <row r="389" spans="2:17" thickBot="1" x14ac:dyDescent="0.3">
      <c r="B389" s="75">
        <v>388</v>
      </c>
      <c r="C389" s="75" t="s">
        <v>1150</v>
      </c>
      <c r="D389" s="50" t="s">
        <v>2433</v>
      </c>
      <c r="E389" s="50">
        <v>29</v>
      </c>
      <c r="F389" s="50">
        <v>91</v>
      </c>
      <c r="G389" s="50">
        <v>6</v>
      </c>
      <c r="H389" s="50" t="s">
        <v>27</v>
      </c>
      <c r="I389" s="71">
        <v>1</v>
      </c>
      <c r="J389" s="61"/>
      <c r="K389" s="56"/>
      <c r="L389" s="56"/>
      <c r="M389" s="56"/>
      <c r="N389" s="57"/>
      <c r="O389" s="57"/>
      <c r="P389" s="57">
        <v>1</v>
      </c>
      <c r="Q389" s="50"/>
    </row>
    <row r="390" spans="2:17" thickBot="1" x14ac:dyDescent="0.3">
      <c r="B390" s="75">
        <v>389</v>
      </c>
      <c r="C390" s="75" t="s">
        <v>815</v>
      </c>
      <c r="D390" s="50" t="s">
        <v>2589</v>
      </c>
      <c r="E390" s="50">
        <v>29</v>
      </c>
      <c r="F390" s="50">
        <v>75</v>
      </c>
      <c r="G390" s="50">
        <v>4</v>
      </c>
      <c r="H390" s="50" t="s">
        <v>27</v>
      </c>
      <c r="I390" s="71">
        <v>1</v>
      </c>
      <c r="J390" s="61"/>
      <c r="K390" s="56"/>
      <c r="L390" s="56"/>
      <c r="M390" s="56"/>
      <c r="N390" s="57"/>
      <c r="O390" s="57"/>
      <c r="P390" s="57">
        <v>1</v>
      </c>
      <c r="Q390" s="50"/>
    </row>
    <row r="391" spans="2:17" thickBot="1" x14ac:dyDescent="0.3">
      <c r="B391" s="75">
        <v>390</v>
      </c>
      <c r="C391" s="75" t="s">
        <v>845</v>
      </c>
      <c r="D391" s="50" t="s">
        <v>2591</v>
      </c>
      <c r="E391" s="50">
        <v>29</v>
      </c>
      <c r="F391" s="50">
        <v>95</v>
      </c>
      <c r="G391" s="50">
        <v>1</v>
      </c>
      <c r="H391" s="50" t="s">
        <v>27</v>
      </c>
      <c r="I391" s="71">
        <v>1</v>
      </c>
      <c r="J391" s="61"/>
      <c r="K391" s="56"/>
      <c r="L391" s="56"/>
      <c r="M391" s="56"/>
      <c r="N391" s="57"/>
      <c r="O391" s="57"/>
      <c r="P391" s="57">
        <v>1</v>
      </c>
      <c r="Q391" s="50"/>
    </row>
    <row r="392" spans="2:17" thickBot="1" x14ac:dyDescent="0.3">
      <c r="B392" s="75">
        <v>391</v>
      </c>
      <c r="C392" s="75" t="s">
        <v>2595</v>
      </c>
      <c r="D392" s="50" t="s">
        <v>2596</v>
      </c>
      <c r="E392" s="50">
        <v>29</v>
      </c>
      <c r="F392" s="50">
        <v>143</v>
      </c>
      <c r="G392" s="50">
        <v>3</v>
      </c>
      <c r="H392" s="50" t="s">
        <v>27</v>
      </c>
      <c r="I392" s="71">
        <v>1</v>
      </c>
      <c r="J392" s="61"/>
      <c r="K392" s="56"/>
      <c r="L392" s="56"/>
      <c r="M392" s="56"/>
      <c r="N392" s="57"/>
      <c r="O392" s="57"/>
      <c r="P392" s="57">
        <v>1</v>
      </c>
      <c r="Q392" s="50"/>
    </row>
    <row r="393" spans="2:17" thickBot="1" x14ac:dyDescent="0.3">
      <c r="B393" s="75">
        <v>392</v>
      </c>
      <c r="C393" s="75" t="s">
        <v>677</v>
      </c>
      <c r="D393" s="50" t="s">
        <v>2597</v>
      </c>
      <c r="E393" s="50">
        <v>29</v>
      </c>
      <c r="F393" s="50">
        <v>126</v>
      </c>
      <c r="G393" s="50">
        <v>6</v>
      </c>
      <c r="H393" s="50" t="s">
        <v>27</v>
      </c>
      <c r="I393" s="71">
        <v>1</v>
      </c>
      <c r="J393" s="61"/>
      <c r="K393" s="56"/>
      <c r="L393" s="56"/>
      <c r="M393" s="56"/>
      <c r="N393" s="57"/>
      <c r="O393" s="57"/>
      <c r="P393" s="57">
        <v>1</v>
      </c>
      <c r="Q393" s="50"/>
    </row>
    <row r="394" spans="2:17" thickBot="1" x14ac:dyDescent="0.3">
      <c r="B394" s="75">
        <v>393</v>
      </c>
      <c r="C394" s="75" t="s">
        <v>734</v>
      </c>
      <c r="D394" s="50" t="s">
        <v>2600</v>
      </c>
      <c r="E394" s="50">
        <v>29</v>
      </c>
      <c r="F394" s="50">
        <v>43</v>
      </c>
      <c r="G394" s="50">
        <v>12</v>
      </c>
      <c r="H394" s="50" t="s">
        <v>27</v>
      </c>
      <c r="I394" s="71">
        <v>1</v>
      </c>
      <c r="J394" s="61"/>
      <c r="K394" s="56"/>
      <c r="L394" s="56"/>
      <c r="M394" s="56"/>
      <c r="N394" s="57"/>
      <c r="O394" s="57"/>
      <c r="P394" s="57"/>
      <c r="Q394" s="50"/>
    </row>
    <row r="395" spans="2:17" thickBot="1" x14ac:dyDescent="0.3">
      <c r="B395" s="75">
        <v>394</v>
      </c>
      <c r="C395" s="75" t="s">
        <v>701</v>
      </c>
      <c r="D395" s="50" t="s">
        <v>2602</v>
      </c>
      <c r="E395" s="50">
        <v>29</v>
      </c>
      <c r="F395" s="50">
        <v>44</v>
      </c>
      <c r="G395" s="50">
        <v>11</v>
      </c>
      <c r="H395" s="50" t="s">
        <v>27</v>
      </c>
      <c r="I395" s="71">
        <v>1</v>
      </c>
      <c r="J395" s="61"/>
      <c r="K395" s="56"/>
      <c r="L395" s="56"/>
      <c r="M395" s="56"/>
      <c r="N395" s="57"/>
      <c r="O395" s="57"/>
      <c r="P395" s="57"/>
      <c r="Q395" s="50"/>
    </row>
    <row r="396" spans="2:17" thickBot="1" x14ac:dyDescent="0.3">
      <c r="B396" s="75">
        <v>395</v>
      </c>
      <c r="C396" s="75" t="s">
        <v>1478</v>
      </c>
      <c r="D396" s="50" t="s">
        <v>2603</v>
      </c>
      <c r="E396" s="50">
        <v>29</v>
      </c>
      <c r="F396" s="50">
        <v>82</v>
      </c>
      <c r="G396" s="50">
        <v>11</v>
      </c>
      <c r="H396" s="50" t="s">
        <v>27</v>
      </c>
      <c r="I396" s="71">
        <v>1</v>
      </c>
      <c r="J396" s="61"/>
      <c r="K396" s="56"/>
      <c r="L396" s="56"/>
      <c r="M396" s="56"/>
      <c r="N396" s="57"/>
      <c r="O396" s="57"/>
      <c r="P396" s="57"/>
      <c r="Q396" s="50"/>
    </row>
    <row r="397" spans="2:17" thickBot="1" x14ac:dyDescent="0.3">
      <c r="B397" s="75">
        <v>396</v>
      </c>
      <c r="C397" s="75" t="s">
        <v>187</v>
      </c>
      <c r="D397" s="50" t="s">
        <v>2602</v>
      </c>
      <c r="E397" s="50">
        <v>29</v>
      </c>
      <c r="F397" s="50">
        <v>81</v>
      </c>
      <c r="G397" s="50">
        <v>11</v>
      </c>
      <c r="H397" s="50" t="s">
        <v>27</v>
      </c>
      <c r="I397" s="71">
        <v>1</v>
      </c>
      <c r="J397" s="61"/>
      <c r="K397" s="56"/>
      <c r="L397" s="56"/>
      <c r="M397" s="56"/>
      <c r="N397" s="57"/>
      <c r="O397" s="57"/>
      <c r="P397" s="57"/>
      <c r="Q397" s="50"/>
    </row>
    <row r="398" spans="2:17" thickBot="1" x14ac:dyDescent="0.3">
      <c r="B398" s="75">
        <v>397</v>
      </c>
      <c r="C398" s="75" t="s">
        <v>247</v>
      </c>
      <c r="D398" s="50" t="s">
        <v>2604</v>
      </c>
      <c r="E398" s="50">
        <v>29</v>
      </c>
      <c r="F398" s="50">
        <v>65</v>
      </c>
      <c r="G398" s="50">
        <v>10</v>
      </c>
      <c r="H398" s="50" t="s">
        <v>27</v>
      </c>
      <c r="I398" s="71">
        <v>1</v>
      </c>
      <c r="J398" s="61"/>
      <c r="K398" s="56"/>
      <c r="L398" s="56"/>
      <c r="M398" s="56"/>
      <c r="N398" s="57"/>
      <c r="O398" s="57"/>
      <c r="P398" s="57"/>
      <c r="Q398" s="50"/>
    </row>
    <row r="399" spans="2:17" thickBot="1" x14ac:dyDescent="0.3">
      <c r="B399" s="75">
        <v>398</v>
      </c>
      <c r="C399" s="75" t="s">
        <v>311</v>
      </c>
      <c r="D399" s="50" t="s">
        <v>405</v>
      </c>
      <c r="E399" s="50">
        <v>29</v>
      </c>
      <c r="F399" s="50">
        <v>39</v>
      </c>
      <c r="G399" s="50">
        <v>10</v>
      </c>
      <c r="H399" s="50" t="s">
        <v>27</v>
      </c>
      <c r="I399" s="71">
        <v>1</v>
      </c>
      <c r="J399" s="61"/>
      <c r="K399" s="56"/>
      <c r="L399" s="56"/>
      <c r="M399" s="56"/>
      <c r="N399" s="57"/>
      <c r="O399" s="57"/>
      <c r="P399" s="57"/>
      <c r="Q399" s="50"/>
    </row>
    <row r="400" spans="2:17" thickBot="1" x14ac:dyDescent="0.3">
      <c r="B400" s="75">
        <v>399</v>
      </c>
      <c r="C400" s="75" t="s">
        <v>131</v>
      </c>
      <c r="D400" s="50" t="s">
        <v>2605</v>
      </c>
      <c r="E400" s="50">
        <v>29</v>
      </c>
      <c r="F400" s="50">
        <v>35</v>
      </c>
      <c r="G400" s="50">
        <v>10</v>
      </c>
      <c r="H400" s="50" t="s">
        <v>27</v>
      </c>
      <c r="I400" s="71">
        <v>1</v>
      </c>
      <c r="J400" s="61"/>
      <c r="K400" s="56"/>
      <c r="L400" s="56"/>
      <c r="M400" s="56"/>
      <c r="N400" s="57"/>
      <c r="O400" s="57"/>
      <c r="P400" s="57"/>
      <c r="Q400" s="50"/>
    </row>
    <row r="401" spans="2:17" thickBot="1" x14ac:dyDescent="0.3">
      <c r="B401" s="75">
        <v>400</v>
      </c>
      <c r="C401" s="75" t="s">
        <v>2606</v>
      </c>
      <c r="D401" s="50" t="s">
        <v>2607</v>
      </c>
      <c r="E401" s="50">
        <v>29</v>
      </c>
      <c r="F401" s="50">
        <v>60</v>
      </c>
      <c r="G401" s="50">
        <v>9</v>
      </c>
      <c r="H401" s="50" t="s">
        <v>27</v>
      </c>
      <c r="I401" s="71">
        <v>1</v>
      </c>
      <c r="J401" s="61"/>
      <c r="K401" s="56"/>
      <c r="L401" s="56"/>
      <c r="M401" s="56"/>
      <c r="N401" s="57"/>
      <c r="O401" s="57"/>
      <c r="P401" s="57"/>
      <c r="Q401" s="50"/>
    </row>
    <row r="402" spans="2:17" thickBot="1" x14ac:dyDescent="0.3">
      <c r="B402" s="75">
        <v>401</v>
      </c>
      <c r="C402" s="75" t="s">
        <v>1105</v>
      </c>
      <c r="D402" s="50" t="s">
        <v>2363</v>
      </c>
      <c r="E402" s="50">
        <v>29</v>
      </c>
      <c r="F402" s="50">
        <v>79</v>
      </c>
      <c r="G402" s="50">
        <v>4</v>
      </c>
      <c r="H402" s="50" t="s">
        <v>27</v>
      </c>
      <c r="I402" s="71">
        <v>1</v>
      </c>
      <c r="J402" s="61"/>
      <c r="K402" s="56"/>
      <c r="L402" s="56"/>
      <c r="M402" s="56"/>
      <c r="N402" s="57"/>
      <c r="O402" s="57"/>
      <c r="P402" s="57"/>
      <c r="Q402" s="50"/>
    </row>
    <row r="403" spans="2:17" thickBot="1" x14ac:dyDescent="0.3">
      <c r="B403" s="75">
        <v>402</v>
      </c>
      <c r="C403" s="75" t="s">
        <v>600</v>
      </c>
      <c r="D403" s="50" t="s">
        <v>6</v>
      </c>
      <c r="E403" s="50">
        <v>29</v>
      </c>
      <c r="F403" s="50">
        <v>92</v>
      </c>
      <c r="G403" s="50">
        <v>12</v>
      </c>
      <c r="H403" s="50" t="s">
        <v>27</v>
      </c>
      <c r="I403" s="71">
        <v>1</v>
      </c>
      <c r="J403" s="61"/>
      <c r="K403" s="56"/>
      <c r="L403" s="56"/>
      <c r="M403" s="56"/>
      <c r="N403" s="57"/>
      <c r="O403" s="57"/>
      <c r="P403" s="57"/>
      <c r="Q403" s="50"/>
    </row>
    <row r="404" spans="2:17" thickBot="1" x14ac:dyDescent="0.3">
      <c r="B404" s="75">
        <v>403</v>
      </c>
      <c r="C404" s="75" t="s">
        <v>125</v>
      </c>
      <c r="D404" s="50" t="s">
        <v>2608</v>
      </c>
      <c r="E404" s="50">
        <v>29</v>
      </c>
      <c r="F404" s="50">
        <v>131</v>
      </c>
      <c r="G404" s="50">
        <v>11</v>
      </c>
      <c r="H404" s="50" t="s">
        <v>27</v>
      </c>
      <c r="I404" s="71">
        <v>1</v>
      </c>
      <c r="J404" s="61"/>
      <c r="K404" s="56"/>
      <c r="L404" s="56"/>
      <c r="M404" s="56"/>
      <c r="N404" s="57"/>
      <c r="O404" s="57"/>
      <c r="P404" s="57"/>
      <c r="Q404" s="50"/>
    </row>
    <row r="405" spans="2:17" thickBot="1" x14ac:dyDescent="0.3">
      <c r="B405" s="75">
        <v>404</v>
      </c>
      <c r="C405" s="75" t="s">
        <v>138</v>
      </c>
      <c r="D405" s="50" t="s">
        <v>2609</v>
      </c>
      <c r="E405" s="50">
        <v>29</v>
      </c>
      <c r="F405" s="50">
        <v>106</v>
      </c>
      <c r="G405" s="50">
        <v>10</v>
      </c>
      <c r="H405" s="50" t="s">
        <v>26</v>
      </c>
      <c r="I405" s="71">
        <v>0</v>
      </c>
      <c r="J405" s="61">
        <v>1</v>
      </c>
      <c r="K405" s="56"/>
      <c r="L405" s="56"/>
      <c r="M405" s="56">
        <v>1</v>
      </c>
      <c r="N405" s="57"/>
      <c r="O405" s="57"/>
      <c r="P405" s="57"/>
      <c r="Q405" s="50"/>
    </row>
    <row r="406" spans="2:17" thickBot="1" x14ac:dyDescent="0.3">
      <c r="B406" s="75">
        <v>405</v>
      </c>
      <c r="C406" s="75" t="s">
        <v>270</v>
      </c>
      <c r="D406" s="50" t="s">
        <v>180</v>
      </c>
      <c r="E406" s="50">
        <v>29</v>
      </c>
      <c r="F406" s="50">
        <v>111</v>
      </c>
      <c r="G406" s="50">
        <v>9</v>
      </c>
      <c r="H406" s="50" t="s">
        <v>27</v>
      </c>
      <c r="I406" s="71">
        <v>1</v>
      </c>
      <c r="J406" s="61"/>
      <c r="K406" s="56"/>
      <c r="L406" s="56"/>
      <c r="M406" s="56"/>
      <c r="N406" s="57"/>
      <c r="O406" s="57"/>
      <c r="P406" s="57"/>
      <c r="Q406" s="50"/>
    </row>
    <row r="407" spans="2:17" thickBot="1" x14ac:dyDescent="0.3">
      <c r="B407" s="75">
        <v>406</v>
      </c>
      <c r="C407" s="75" t="s">
        <v>600</v>
      </c>
      <c r="D407" s="50" t="s">
        <v>6</v>
      </c>
      <c r="E407" s="50">
        <v>29</v>
      </c>
      <c r="F407" s="50">
        <v>110</v>
      </c>
      <c r="G407" s="50">
        <v>8</v>
      </c>
      <c r="H407" s="50" t="s">
        <v>27</v>
      </c>
      <c r="I407" s="71">
        <v>1</v>
      </c>
      <c r="J407" s="61"/>
      <c r="K407" s="56"/>
      <c r="L407" s="56"/>
      <c r="M407" s="56"/>
      <c r="N407" s="57"/>
      <c r="O407" s="57"/>
      <c r="P407" s="57"/>
      <c r="Q407" s="50"/>
    </row>
    <row r="408" spans="2:17" thickBot="1" x14ac:dyDescent="0.3">
      <c r="B408" s="75">
        <v>407</v>
      </c>
      <c r="C408" s="75" t="s">
        <v>600</v>
      </c>
      <c r="D408" s="50" t="s">
        <v>6</v>
      </c>
      <c r="E408" s="50">
        <v>29</v>
      </c>
      <c r="F408" s="50">
        <v>117</v>
      </c>
      <c r="G408" s="50">
        <v>8</v>
      </c>
      <c r="H408" s="50" t="s">
        <v>27</v>
      </c>
      <c r="I408" s="71">
        <v>1</v>
      </c>
      <c r="J408" s="61"/>
      <c r="K408" s="56"/>
      <c r="L408" s="56"/>
      <c r="M408" s="56"/>
      <c r="N408" s="57"/>
      <c r="O408" s="57"/>
      <c r="P408" s="57">
        <v>0</v>
      </c>
      <c r="Q408" s="50"/>
    </row>
    <row r="409" spans="2:17" ht="18.75" customHeight="1" thickBot="1" x14ac:dyDescent="0.3">
      <c r="B409" s="75">
        <v>408</v>
      </c>
      <c r="C409" s="75" t="s">
        <v>600</v>
      </c>
      <c r="D409" s="50" t="s">
        <v>6</v>
      </c>
      <c r="E409" s="50">
        <v>29</v>
      </c>
      <c r="F409" s="50">
        <v>113</v>
      </c>
      <c r="G409" s="50">
        <v>7</v>
      </c>
      <c r="H409" s="50" t="s">
        <v>27</v>
      </c>
      <c r="I409" s="71">
        <v>1</v>
      </c>
      <c r="J409" s="61"/>
      <c r="K409" s="56"/>
      <c r="L409" s="56"/>
      <c r="M409" s="56"/>
      <c r="N409" s="57"/>
      <c r="O409" s="57"/>
      <c r="P409" s="57"/>
      <c r="Q409" s="50"/>
    </row>
    <row r="410" spans="2:17" ht="18.75" customHeight="1" thickBot="1" x14ac:dyDescent="0.3">
      <c r="B410" s="75">
        <v>409</v>
      </c>
      <c r="C410" s="75" t="s">
        <v>1484</v>
      </c>
      <c r="D410" s="50" t="s">
        <v>2611</v>
      </c>
      <c r="E410" s="50">
        <v>29</v>
      </c>
      <c r="F410" s="50">
        <v>162</v>
      </c>
      <c r="G410" s="50">
        <v>9</v>
      </c>
      <c r="H410" s="50" t="s">
        <v>27</v>
      </c>
      <c r="I410" s="71">
        <v>1</v>
      </c>
      <c r="J410" s="61"/>
      <c r="K410" s="56"/>
      <c r="L410" s="56"/>
      <c r="M410" s="56"/>
      <c r="N410" s="57"/>
      <c r="O410" s="57"/>
      <c r="P410" s="57">
        <v>1</v>
      </c>
      <c r="Q410" s="50"/>
    </row>
    <row r="411" spans="2:17" ht="18.75" customHeight="1" thickBot="1" x14ac:dyDescent="0.3">
      <c r="B411" s="75">
        <v>410</v>
      </c>
      <c r="C411" s="75" t="s">
        <v>1085</v>
      </c>
      <c r="D411" s="50" t="s">
        <v>2612</v>
      </c>
      <c r="E411" s="50">
        <v>29</v>
      </c>
      <c r="F411" s="50">
        <v>37</v>
      </c>
      <c r="G411" s="50">
        <v>14</v>
      </c>
      <c r="H411" s="50" t="s">
        <v>27</v>
      </c>
      <c r="I411" s="71">
        <v>1</v>
      </c>
      <c r="J411" s="61"/>
      <c r="K411" s="56"/>
      <c r="L411" s="56"/>
      <c r="M411" s="56"/>
      <c r="N411" s="57"/>
      <c r="O411" s="57"/>
      <c r="P411" s="57">
        <v>1</v>
      </c>
      <c r="Q411" s="50"/>
    </row>
    <row r="412" spans="2:17" ht="18.75" customHeight="1" thickBot="1" x14ac:dyDescent="0.3">
      <c r="B412" s="75">
        <v>411</v>
      </c>
      <c r="C412" s="75" t="s">
        <v>600</v>
      </c>
      <c r="D412" s="50" t="s">
        <v>2389</v>
      </c>
      <c r="E412" s="50">
        <v>29</v>
      </c>
      <c r="F412" s="50">
        <v>28</v>
      </c>
      <c r="G412" s="50">
        <v>13</v>
      </c>
      <c r="H412" s="50" t="s">
        <v>27</v>
      </c>
      <c r="I412" s="71">
        <v>1</v>
      </c>
      <c r="J412" s="61"/>
      <c r="K412" s="56"/>
      <c r="L412" s="56"/>
      <c r="M412" s="56"/>
      <c r="N412" s="57"/>
      <c r="O412" s="57"/>
      <c r="P412" s="57"/>
      <c r="Q412" s="50"/>
    </row>
    <row r="413" spans="2:17" ht="35.25" customHeight="1" thickBot="1" x14ac:dyDescent="0.3">
      <c r="B413" s="75">
        <v>412</v>
      </c>
      <c r="C413" s="75" t="s">
        <v>2613</v>
      </c>
      <c r="D413" s="50" t="s">
        <v>2614</v>
      </c>
      <c r="E413" s="50">
        <v>29</v>
      </c>
      <c r="F413" s="50">
        <v>109</v>
      </c>
      <c r="G413" s="50">
        <v>16</v>
      </c>
      <c r="H413" s="50" t="s">
        <v>26</v>
      </c>
      <c r="I413" s="71"/>
      <c r="J413" s="61">
        <v>1</v>
      </c>
      <c r="K413" s="56"/>
      <c r="L413" s="56"/>
      <c r="M413" s="40">
        <v>1</v>
      </c>
      <c r="N413" s="57"/>
      <c r="O413" s="57"/>
      <c r="P413" s="57">
        <v>0</v>
      </c>
      <c r="Q413" s="50" t="s">
        <v>2615</v>
      </c>
    </row>
    <row r="414" spans="2:17" ht="18.75" customHeight="1" x14ac:dyDescent="0.25">
      <c r="B414" s="75">
        <v>413</v>
      </c>
      <c r="C414" s="75" t="s">
        <v>253</v>
      </c>
      <c r="D414" s="50" t="s">
        <v>2619</v>
      </c>
      <c r="E414" s="50">
        <v>29</v>
      </c>
      <c r="F414" s="50">
        <v>155</v>
      </c>
      <c r="G414" s="50">
        <v>16</v>
      </c>
      <c r="H414" s="50" t="s">
        <v>27</v>
      </c>
      <c r="I414" s="71">
        <v>1</v>
      </c>
      <c r="J414" s="61"/>
      <c r="K414" s="56"/>
      <c r="L414" s="56"/>
      <c r="M414" s="56"/>
      <c r="N414" s="57"/>
      <c r="O414" s="57"/>
      <c r="P414" s="57">
        <v>1</v>
      </c>
      <c r="Q414" s="50"/>
    </row>
    <row r="415" spans="2:17" ht="18.75" customHeight="1" x14ac:dyDescent="0.25">
      <c r="B415" s="75">
        <v>414</v>
      </c>
      <c r="C415" s="77" t="s">
        <v>181</v>
      </c>
      <c r="D415" s="61" t="s">
        <v>554</v>
      </c>
      <c r="E415" s="61">
        <v>29</v>
      </c>
      <c r="F415" s="61">
        <v>127</v>
      </c>
      <c r="G415" s="61">
        <v>14</v>
      </c>
      <c r="H415" s="61" t="s">
        <v>27</v>
      </c>
      <c r="I415" s="71">
        <v>1</v>
      </c>
      <c r="J415" s="61">
        <v>0</v>
      </c>
      <c r="K415" s="64"/>
      <c r="L415" s="64"/>
      <c r="M415" s="64"/>
      <c r="N415" s="65"/>
      <c r="O415" s="65">
        <v>0</v>
      </c>
      <c r="P415" s="65">
        <v>1</v>
      </c>
      <c r="Q415" s="61"/>
    </row>
    <row r="416" spans="2:17" ht="18.75" customHeight="1" x14ac:dyDescent="0.25">
      <c r="B416" s="75">
        <v>415</v>
      </c>
      <c r="C416" s="103" t="s">
        <v>620</v>
      </c>
      <c r="D416" s="61" t="s">
        <v>3200</v>
      </c>
      <c r="E416" s="61">
        <v>29</v>
      </c>
      <c r="F416" s="61">
        <v>29</v>
      </c>
      <c r="G416" s="61">
        <v>3</v>
      </c>
      <c r="H416" s="61" t="s">
        <v>26</v>
      </c>
      <c r="I416" s="71">
        <v>0</v>
      </c>
      <c r="J416" s="61">
        <v>1</v>
      </c>
      <c r="K416" s="227"/>
      <c r="L416" s="227"/>
      <c r="M416" s="227">
        <v>1</v>
      </c>
      <c r="N416" s="228">
        <v>1</v>
      </c>
      <c r="O416" s="228">
        <v>0</v>
      </c>
      <c r="P416" s="228"/>
      <c r="Q416" s="61"/>
    </row>
    <row r="417" spans="2:18" s="70" customFormat="1" ht="21" x14ac:dyDescent="0.25">
      <c r="B417" s="73"/>
      <c r="C417" s="73"/>
      <c r="D417" s="169" t="s">
        <v>449</v>
      </c>
      <c r="E417" s="73"/>
      <c r="F417" s="73"/>
      <c r="G417" s="73"/>
      <c r="H417" s="73"/>
      <c r="I417" s="53">
        <f>SUM(I2:I416)</f>
        <v>226</v>
      </c>
      <c r="J417" s="53">
        <f>SUM(J2:J416)</f>
        <v>188</v>
      </c>
      <c r="K417" s="64">
        <f t="shared" ref="K417:P417" si="0">SUM(K2:K415)</f>
        <v>0</v>
      </c>
      <c r="L417" s="64">
        <f t="shared" si="0"/>
        <v>0</v>
      </c>
      <c r="M417" s="64">
        <f>SUM(M2:M416)</f>
        <v>184</v>
      </c>
      <c r="N417" s="65">
        <f t="shared" si="0"/>
        <v>5</v>
      </c>
      <c r="O417" s="65">
        <f t="shared" si="0"/>
        <v>1</v>
      </c>
      <c r="P417" s="65">
        <f t="shared" si="0"/>
        <v>174</v>
      </c>
      <c r="Q417" s="73"/>
      <c r="R417" s="170"/>
    </row>
    <row r="418" spans="2:18" s="54" customFormat="1" ht="196.5" customHeight="1" thickBot="1" x14ac:dyDescent="0.3">
      <c r="K418" s="60"/>
      <c r="L418" s="60"/>
      <c r="M418" s="60"/>
      <c r="N418" s="60"/>
      <c r="O418" s="60"/>
      <c r="P418" s="60"/>
    </row>
    <row r="420" spans="2:18" ht="19.5" x14ac:dyDescent="0.25"/>
    <row r="421" spans="2:18" ht="19.5" x14ac:dyDescent="0.25"/>
    <row r="422" spans="2:18" ht="19.5" x14ac:dyDescent="0.25"/>
    <row r="423" spans="2:18" ht="19.5" x14ac:dyDescent="0.25"/>
    <row r="424" spans="2:18" ht="19.5" x14ac:dyDescent="0.25"/>
    <row r="425" spans="2:18" ht="19.5" x14ac:dyDescent="0.25"/>
    <row r="426" spans="2:18" ht="19.5" x14ac:dyDescent="0.25"/>
    <row r="427" spans="2:18" ht="19.5" x14ac:dyDescent="0.25"/>
    <row r="428" spans="2:18" ht="19.5" x14ac:dyDescent="0.25"/>
    <row r="429" spans="2:18" ht="19.5" x14ac:dyDescent="0.25"/>
    <row r="430" spans="2:18" ht="19.5" x14ac:dyDescent="0.25"/>
    <row r="432" spans="2:18" ht="19.5" x14ac:dyDescent="0.25"/>
    <row r="433" ht="19.5" x14ac:dyDescent="0.25"/>
    <row r="434" ht="19.5" x14ac:dyDescent="0.25"/>
    <row r="435" ht="19.5" x14ac:dyDescent="0.25"/>
    <row r="436" ht="19.5" x14ac:dyDescent="0.25"/>
    <row r="437" ht="19.5" x14ac:dyDescent="0.25"/>
    <row r="438" ht="19.5" x14ac:dyDescent="0.25"/>
    <row r="439" ht="19.5" x14ac:dyDescent="0.25"/>
    <row r="440" ht="19.5" x14ac:dyDescent="0.25"/>
  </sheetData>
  <autoFilter ref="B1:Q417" xr:uid="{92E7F877-F343-49FB-ADC8-8597769DF9CA}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8EF51A-1C7A-4741-89AD-DE51861168E5}">
  <dimension ref="A1:R1140"/>
  <sheetViews>
    <sheetView rightToLeft="1" zoomScale="110" zoomScaleNormal="110" workbookViewId="0">
      <pane ySplit="1" topLeftCell="A204" activePane="bottomLeft" state="frozen"/>
      <selection pane="bottomLeft" activeCell="C211" sqref="C211"/>
    </sheetView>
  </sheetViews>
  <sheetFormatPr defaultRowHeight="20.25" thickBottom="1" x14ac:dyDescent="0.3"/>
  <cols>
    <col min="1" max="1" width="9.140625" style="42"/>
    <col min="2" max="2" width="7.28515625" style="42" customWidth="1"/>
    <col min="3" max="3" width="12.28515625" style="42" bestFit="1" customWidth="1"/>
    <col min="4" max="4" width="15.5703125" style="42" bestFit="1" customWidth="1"/>
    <col min="5" max="5" width="6" style="42" customWidth="1"/>
    <col min="6" max="6" width="6.42578125" style="42" customWidth="1"/>
    <col min="7" max="7" width="6.7109375" style="42" customWidth="1"/>
    <col min="8" max="8" width="8.5703125" style="42" customWidth="1"/>
    <col min="9" max="9" width="7.7109375" style="42" customWidth="1"/>
    <col min="10" max="10" width="8" style="42" customWidth="1"/>
    <col min="11" max="11" width="12.42578125" style="40" customWidth="1"/>
    <col min="12" max="12" width="9.7109375" style="40" customWidth="1"/>
    <col min="13" max="13" width="10.85546875" style="40" customWidth="1"/>
    <col min="14" max="14" width="10.85546875" style="41" customWidth="1"/>
    <col min="15" max="15" width="9.85546875" style="41" customWidth="1"/>
    <col min="16" max="16" width="10.42578125" style="41" customWidth="1"/>
    <col min="17" max="17" width="28.42578125" style="42" customWidth="1"/>
    <col min="18" max="18" width="17" style="42" customWidth="1"/>
    <col min="19" max="16384" width="9.140625" style="42"/>
  </cols>
  <sheetData>
    <row r="1" spans="2:17" ht="66" customHeight="1" thickBot="1" x14ac:dyDescent="0.3">
      <c r="B1" s="124" t="s">
        <v>0</v>
      </c>
      <c r="C1" s="107" t="s">
        <v>163</v>
      </c>
      <c r="D1" s="107" t="s">
        <v>162</v>
      </c>
      <c r="E1" s="107" t="s">
        <v>1</v>
      </c>
      <c r="F1" s="107" t="s">
        <v>0</v>
      </c>
      <c r="G1" s="107" t="s">
        <v>2</v>
      </c>
      <c r="H1" s="107" t="s">
        <v>4</v>
      </c>
      <c r="I1" s="108" t="s">
        <v>27</v>
      </c>
      <c r="J1" s="108" t="s">
        <v>435</v>
      </c>
      <c r="K1" s="109" t="s">
        <v>438</v>
      </c>
      <c r="L1" s="109" t="s">
        <v>439</v>
      </c>
      <c r="M1" s="109" t="s">
        <v>440</v>
      </c>
      <c r="N1" s="110" t="s">
        <v>437</v>
      </c>
      <c r="O1" s="110" t="s">
        <v>436</v>
      </c>
      <c r="P1" s="110" t="s">
        <v>443</v>
      </c>
      <c r="Q1" s="111" t="s">
        <v>5</v>
      </c>
    </row>
    <row r="2" spans="2:17" thickBot="1" x14ac:dyDescent="0.3">
      <c r="B2" s="127">
        <v>1</v>
      </c>
      <c r="C2" s="127" t="s">
        <v>164</v>
      </c>
      <c r="D2" s="127" t="s">
        <v>165</v>
      </c>
      <c r="E2" s="127">
        <v>40</v>
      </c>
      <c r="F2" s="127">
        <v>11</v>
      </c>
      <c r="G2" s="127">
        <v>10</v>
      </c>
      <c r="H2" s="127" t="s">
        <v>26</v>
      </c>
      <c r="I2" s="127"/>
      <c r="J2" s="127">
        <v>1</v>
      </c>
      <c r="K2" s="109"/>
      <c r="L2" s="109"/>
      <c r="M2" s="109">
        <v>1</v>
      </c>
      <c r="N2" s="110"/>
      <c r="O2" s="110"/>
      <c r="P2" s="110"/>
      <c r="Q2" s="127"/>
    </row>
    <row r="3" spans="2:17" thickBot="1" x14ac:dyDescent="0.3">
      <c r="B3" s="127">
        <v>2</v>
      </c>
      <c r="C3" s="131" t="s">
        <v>166</v>
      </c>
      <c r="D3" s="131" t="s">
        <v>167</v>
      </c>
      <c r="E3" s="131">
        <v>40</v>
      </c>
      <c r="F3" s="131">
        <v>5</v>
      </c>
      <c r="G3" s="131">
        <v>10</v>
      </c>
      <c r="H3" s="127" t="s">
        <v>26</v>
      </c>
      <c r="I3" s="127"/>
      <c r="J3" s="127">
        <v>1</v>
      </c>
      <c r="K3" s="109"/>
      <c r="L3" s="109"/>
      <c r="M3" s="109">
        <v>1</v>
      </c>
      <c r="N3" s="110"/>
      <c r="O3" s="110"/>
      <c r="P3" s="110"/>
      <c r="Q3" s="131"/>
    </row>
    <row r="4" spans="2:17" thickBot="1" x14ac:dyDescent="0.3">
      <c r="B4" s="127">
        <v>3</v>
      </c>
      <c r="C4" s="131" t="s">
        <v>168</v>
      </c>
      <c r="D4" s="131" t="s">
        <v>169</v>
      </c>
      <c r="E4" s="131">
        <v>40</v>
      </c>
      <c r="F4" s="131">
        <v>30</v>
      </c>
      <c r="G4" s="131">
        <v>1</v>
      </c>
      <c r="H4" s="127" t="s">
        <v>26</v>
      </c>
      <c r="I4" s="127"/>
      <c r="J4" s="127">
        <v>1</v>
      </c>
      <c r="K4" s="109"/>
      <c r="L4" s="109"/>
      <c r="M4" s="109"/>
      <c r="N4" s="110"/>
      <c r="O4" s="110"/>
      <c r="P4" s="110"/>
      <c r="Q4" s="131" t="s">
        <v>2632</v>
      </c>
    </row>
    <row r="5" spans="2:17" thickBot="1" x14ac:dyDescent="0.3">
      <c r="B5" s="127">
        <v>4</v>
      </c>
      <c r="C5" s="131" t="s">
        <v>2633</v>
      </c>
      <c r="D5" s="131" t="s">
        <v>2634</v>
      </c>
      <c r="E5" s="131">
        <v>40</v>
      </c>
      <c r="F5" s="131">
        <v>32</v>
      </c>
      <c r="G5" s="131">
        <v>3</v>
      </c>
      <c r="H5" s="127" t="s">
        <v>26</v>
      </c>
      <c r="I5" s="127"/>
      <c r="J5" s="127">
        <v>1</v>
      </c>
      <c r="K5" s="109"/>
      <c r="L5" s="109"/>
      <c r="M5" s="109">
        <v>1</v>
      </c>
      <c r="N5" s="110"/>
      <c r="O5" s="110"/>
      <c r="P5" s="110"/>
      <c r="Q5" s="131" t="s">
        <v>56</v>
      </c>
    </row>
    <row r="6" spans="2:17" thickBot="1" x14ac:dyDescent="0.3">
      <c r="B6" s="127">
        <v>5</v>
      </c>
      <c r="C6" s="131" t="s">
        <v>171</v>
      </c>
      <c r="D6" s="131" t="s">
        <v>172</v>
      </c>
      <c r="E6" s="131">
        <v>40</v>
      </c>
      <c r="F6" s="131">
        <v>32</v>
      </c>
      <c r="G6" s="131">
        <v>5</v>
      </c>
      <c r="H6" s="127" t="s">
        <v>26</v>
      </c>
      <c r="I6" s="127"/>
      <c r="J6" s="127">
        <v>1</v>
      </c>
      <c r="K6" s="109"/>
      <c r="L6" s="109"/>
      <c r="M6" s="109">
        <v>1</v>
      </c>
      <c r="N6" s="110"/>
      <c r="O6" s="110"/>
      <c r="P6" s="110"/>
      <c r="Q6" s="131"/>
    </row>
    <row r="7" spans="2:17" thickBot="1" x14ac:dyDescent="0.3">
      <c r="B7" s="127">
        <v>6</v>
      </c>
      <c r="C7" s="131" t="s">
        <v>173</v>
      </c>
      <c r="D7" s="131" t="s">
        <v>174</v>
      </c>
      <c r="E7" s="131">
        <v>40</v>
      </c>
      <c r="F7" s="131">
        <v>26</v>
      </c>
      <c r="G7" s="131">
        <v>4</v>
      </c>
      <c r="H7" s="131" t="s">
        <v>27</v>
      </c>
      <c r="I7" s="127">
        <v>1</v>
      </c>
      <c r="J7" s="127"/>
      <c r="K7" s="109"/>
      <c r="L7" s="109"/>
      <c r="M7" s="109"/>
      <c r="N7" s="110"/>
      <c r="O7" s="110"/>
      <c r="P7" s="110">
        <v>1</v>
      </c>
      <c r="Q7" s="131"/>
    </row>
    <row r="8" spans="2:17" thickBot="1" x14ac:dyDescent="0.3">
      <c r="B8" s="127">
        <v>7</v>
      </c>
      <c r="C8" s="131" t="s">
        <v>175</v>
      </c>
      <c r="D8" s="131" t="s">
        <v>176</v>
      </c>
      <c r="E8" s="131">
        <v>40</v>
      </c>
      <c r="F8" s="131"/>
      <c r="G8" s="131"/>
      <c r="H8" s="131" t="s">
        <v>27</v>
      </c>
      <c r="I8" s="127">
        <v>1</v>
      </c>
      <c r="J8" s="127"/>
      <c r="K8" s="109"/>
      <c r="L8" s="109"/>
      <c r="M8" s="109"/>
      <c r="N8" s="110"/>
      <c r="O8" s="110"/>
      <c r="P8" s="110">
        <v>1</v>
      </c>
      <c r="Q8" s="131"/>
    </row>
    <row r="9" spans="2:17" thickBot="1" x14ac:dyDescent="0.3">
      <c r="B9" s="127">
        <v>8</v>
      </c>
      <c r="C9" s="131" t="s">
        <v>177</v>
      </c>
      <c r="D9" s="131" t="s">
        <v>178</v>
      </c>
      <c r="E9" s="131">
        <v>40</v>
      </c>
      <c r="F9" s="131">
        <v>75</v>
      </c>
      <c r="G9" s="131">
        <v>20</v>
      </c>
      <c r="H9" s="127" t="s">
        <v>26</v>
      </c>
      <c r="I9" s="127"/>
      <c r="J9" s="127">
        <v>1</v>
      </c>
      <c r="K9" s="109"/>
      <c r="L9" s="109"/>
      <c r="M9" s="109"/>
      <c r="N9" s="110"/>
      <c r="O9" s="110"/>
      <c r="P9" s="110"/>
      <c r="Q9" s="131" t="s">
        <v>2632</v>
      </c>
    </row>
    <row r="10" spans="2:17" thickBot="1" x14ac:dyDescent="0.3">
      <c r="B10" s="127">
        <v>9</v>
      </c>
      <c r="C10" s="131" t="s">
        <v>179</v>
      </c>
      <c r="D10" s="131" t="s">
        <v>180</v>
      </c>
      <c r="E10" s="131">
        <v>40</v>
      </c>
      <c r="F10" s="131">
        <v>23</v>
      </c>
      <c r="G10" s="131">
        <v>10</v>
      </c>
      <c r="H10" s="127" t="s">
        <v>26</v>
      </c>
      <c r="I10" s="127"/>
      <c r="J10" s="127">
        <v>1</v>
      </c>
      <c r="K10" s="109"/>
      <c r="L10" s="109"/>
      <c r="M10" s="109">
        <v>1</v>
      </c>
      <c r="N10" s="110"/>
      <c r="O10" s="110"/>
      <c r="P10" s="110"/>
      <c r="Q10" s="131"/>
    </row>
    <row r="11" spans="2:17" thickBot="1" x14ac:dyDescent="0.3">
      <c r="B11" s="127">
        <v>10</v>
      </c>
      <c r="C11" s="131" t="s">
        <v>181</v>
      </c>
      <c r="D11" s="131" t="s">
        <v>182</v>
      </c>
      <c r="E11" s="131">
        <v>40</v>
      </c>
      <c r="F11" s="131">
        <v>48</v>
      </c>
      <c r="G11" s="131">
        <v>12</v>
      </c>
      <c r="H11" s="131" t="s">
        <v>27</v>
      </c>
      <c r="I11" s="127">
        <v>1</v>
      </c>
      <c r="J11" s="127"/>
      <c r="K11" s="109"/>
      <c r="L11" s="109"/>
      <c r="M11" s="109"/>
      <c r="N11" s="110"/>
      <c r="O11" s="110"/>
      <c r="P11" s="110"/>
      <c r="Q11" s="131" t="s">
        <v>2632</v>
      </c>
    </row>
    <row r="12" spans="2:17" thickBot="1" x14ac:dyDescent="0.3">
      <c r="B12" s="127">
        <v>11</v>
      </c>
      <c r="C12" s="140" t="s">
        <v>183</v>
      </c>
      <c r="D12" s="140" t="s">
        <v>184</v>
      </c>
      <c r="E12" s="131">
        <v>40</v>
      </c>
      <c r="F12" s="131">
        <v>51</v>
      </c>
      <c r="G12" s="131">
        <v>12</v>
      </c>
      <c r="H12" s="127" t="s">
        <v>26</v>
      </c>
      <c r="I12" s="127"/>
      <c r="J12" s="127">
        <v>1</v>
      </c>
      <c r="K12" s="109"/>
      <c r="L12" s="109"/>
      <c r="M12" s="109"/>
      <c r="N12" s="110"/>
      <c r="O12" s="110"/>
      <c r="P12" s="110"/>
      <c r="Q12" s="131" t="s">
        <v>2632</v>
      </c>
    </row>
    <row r="13" spans="2:17" thickBot="1" x14ac:dyDescent="0.3">
      <c r="B13" s="127">
        <v>12</v>
      </c>
      <c r="C13" s="131" t="s">
        <v>166</v>
      </c>
      <c r="D13" s="131" t="s">
        <v>185</v>
      </c>
      <c r="E13" s="131">
        <v>40</v>
      </c>
      <c r="F13" s="131">
        <v>48</v>
      </c>
      <c r="G13" s="131">
        <v>11</v>
      </c>
      <c r="H13" s="131" t="s">
        <v>27</v>
      </c>
      <c r="I13" s="127">
        <v>1</v>
      </c>
      <c r="J13" s="127"/>
      <c r="K13" s="109"/>
      <c r="L13" s="109"/>
      <c r="M13" s="109"/>
      <c r="N13" s="110"/>
      <c r="O13" s="110"/>
      <c r="P13" s="110">
        <v>1</v>
      </c>
      <c r="Q13" s="131" t="s">
        <v>111</v>
      </c>
    </row>
    <row r="14" spans="2:17" thickBot="1" x14ac:dyDescent="0.3">
      <c r="B14" s="127">
        <v>13</v>
      </c>
      <c r="C14" s="131" t="s">
        <v>315</v>
      </c>
      <c r="D14" s="131" t="s">
        <v>2637</v>
      </c>
      <c r="E14" s="131">
        <v>40</v>
      </c>
      <c r="F14" s="131">
        <v>40</v>
      </c>
      <c r="G14" s="131">
        <v>11</v>
      </c>
      <c r="H14" s="131" t="s">
        <v>27</v>
      </c>
      <c r="I14" s="127">
        <v>1</v>
      </c>
      <c r="J14" s="127"/>
      <c r="K14" s="109"/>
      <c r="L14" s="109"/>
      <c r="M14" s="109"/>
      <c r="N14" s="110"/>
      <c r="O14" s="110"/>
      <c r="P14" s="110">
        <v>1</v>
      </c>
      <c r="Q14" s="131" t="s">
        <v>111</v>
      </c>
    </row>
    <row r="15" spans="2:17" thickBot="1" x14ac:dyDescent="0.3">
      <c r="B15" s="127">
        <v>14</v>
      </c>
      <c r="C15" s="131" t="s">
        <v>2638</v>
      </c>
      <c r="D15" s="131" t="s">
        <v>2639</v>
      </c>
      <c r="E15" s="131">
        <v>40</v>
      </c>
      <c r="F15" s="131">
        <v>38</v>
      </c>
      <c r="G15" s="131">
        <v>10</v>
      </c>
      <c r="H15" s="131" t="s">
        <v>27</v>
      </c>
      <c r="I15" s="127">
        <v>1</v>
      </c>
      <c r="J15" s="127"/>
      <c r="K15" s="109"/>
      <c r="L15" s="109"/>
      <c r="M15" s="109"/>
      <c r="N15" s="110"/>
      <c r="O15" s="110"/>
      <c r="P15" s="110">
        <v>1</v>
      </c>
      <c r="Q15" s="131" t="s">
        <v>111</v>
      </c>
    </row>
    <row r="16" spans="2:17" thickBot="1" x14ac:dyDescent="0.3">
      <c r="B16" s="127">
        <v>15</v>
      </c>
      <c r="C16" s="131" t="s">
        <v>187</v>
      </c>
      <c r="D16" s="131" t="s">
        <v>186</v>
      </c>
      <c r="E16" s="131">
        <v>40</v>
      </c>
      <c r="F16" s="131">
        <v>87</v>
      </c>
      <c r="G16" s="131">
        <v>11</v>
      </c>
      <c r="H16" s="131" t="s">
        <v>27</v>
      </c>
      <c r="I16" s="127">
        <v>1</v>
      </c>
      <c r="J16" s="127"/>
      <c r="K16" s="109"/>
      <c r="L16" s="109"/>
      <c r="M16" s="109"/>
      <c r="N16" s="110"/>
      <c r="O16" s="110"/>
      <c r="P16" s="110">
        <v>1</v>
      </c>
      <c r="Q16" s="131"/>
    </row>
    <row r="17" spans="2:17" thickBot="1" x14ac:dyDescent="0.3">
      <c r="B17" s="127">
        <v>16</v>
      </c>
      <c r="C17" s="131" t="s">
        <v>188</v>
      </c>
      <c r="D17" s="131" t="s">
        <v>189</v>
      </c>
      <c r="E17" s="131">
        <v>40</v>
      </c>
      <c r="F17" s="131">
        <v>97</v>
      </c>
      <c r="G17" s="131">
        <v>12</v>
      </c>
      <c r="H17" s="131" t="s">
        <v>27</v>
      </c>
      <c r="I17" s="127">
        <v>1</v>
      </c>
      <c r="J17" s="127"/>
      <c r="K17" s="109"/>
      <c r="L17" s="109"/>
      <c r="M17" s="109"/>
      <c r="N17" s="110"/>
      <c r="O17" s="110"/>
      <c r="P17" s="110">
        <v>1</v>
      </c>
      <c r="Q17" s="131"/>
    </row>
    <row r="18" spans="2:17" thickBot="1" x14ac:dyDescent="0.3">
      <c r="B18" s="127">
        <v>17</v>
      </c>
      <c r="C18" s="131" t="s">
        <v>2347</v>
      </c>
      <c r="D18" s="131" t="s">
        <v>2640</v>
      </c>
      <c r="E18" s="131">
        <v>40</v>
      </c>
      <c r="F18" s="131">
        <v>43</v>
      </c>
      <c r="G18" s="131">
        <v>11</v>
      </c>
      <c r="H18" s="131" t="s">
        <v>27</v>
      </c>
      <c r="I18" s="127">
        <v>1</v>
      </c>
      <c r="J18" s="127"/>
      <c r="K18" s="109"/>
      <c r="L18" s="109"/>
      <c r="M18" s="109"/>
      <c r="N18" s="110"/>
      <c r="O18" s="110"/>
      <c r="P18" s="110"/>
      <c r="Q18" s="131"/>
    </row>
    <row r="19" spans="2:17" thickBot="1" x14ac:dyDescent="0.3">
      <c r="B19" s="127">
        <v>18</v>
      </c>
      <c r="C19" s="131" t="s">
        <v>190</v>
      </c>
      <c r="D19" s="131" t="s">
        <v>191</v>
      </c>
      <c r="E19" s="131">
        <v>40</v>
      </c>
      <c r="F19" s="131">
        <v>46</v>
      </c>
      <c r="G19" s="131">
        <v>10</v>
      </c>
      <c r="H19" s="131" t="s">
        <v>26</v>
      </c>
      <c r="I19" s="127"/>
      <c r="J19" s="127">
        <v>1</v>
      </c>
      <c r="K19" s="109"/>
      <c r="L19" s="109"/>
      <c r="M19" s="109">
        <v>1</v>
      </c>
      <c r="N19" s="110"/>
      <c r="O19" s="110"/>
      <c r="P19" s="110"/>
      <c r="Q19" s="131"/>
    </row>
    <row r="20" spans="2:17" thickBot="1" x14ac:dyDescent="0.3">
      <c r="B20" s="127">
        <v>19</v>
      </c>
      <c r="C20" s="131" t="s">
        <v>192</v>
      </c>
      <c r="D20" s="131" t="s">
        <v>193</v>
      </c>
      <c r="E20" s="131">
        <v>40</v>
      </c>
      <c r="F20" s="131">
        <v>44</v>
      </c>
      <c r="G20" s="131">
        <v>7</v>
      </c>
      <c r="H20" s="127" t="s">
        <v>26</v>
      </c>
      <c r="I20" s="127"/>
      <c r="J20" s="127">
        <v>1</v>
      </c>
      <c r="K20" s="109"/>
      <c r="L20" s="109"/>
      <c r="M20" s="109"/>
      <c r="N20" s="110"/>
      <c r="O20" s="110"/>
      <c r="P20" s="110"/>
      <c r="Q20" s="131" t="s">
        <v>2635</v>
      </c>
    </row>
    <row r="21" spans="2:17" thickBot="1" x14ac:dyDescent="0.3">
      <c r="B21" s="127">
        <v>20</v>
      </c>
      <c r="C21" s="131" t="s">
        <v>194</v>
      </c>
      <c r="D21" s="131" t="s">
        <v>195</v>
      </c>
      <c r="E21" s="131">
        <v>40</v>
      </c>
      <c r="F21" s="131">
        <v>49</v>
      </c>
      <c r="G21" s="131">
        <v>5</v>
      </c>
      <c r="H21" s="127" t="s">
        <v>26</v>
      </c>
      <c r="I21" s="127"/>
      <c r="J21" s="127">
        <v>1</v>
      </c>
      <c r="K21" s="109"/>
      <c r="L21" s="109"/>
      <c r="M21" s="109"/>
      <c r="N21" s="110"/>
      <c r="O21" s="110"/>
      <c r="P21" s="110"/>
      <c r="Q21" s="131" t="s">
        <v>2635</v>
      </c>
    </row>
    <row r="22" spans="2:17" thickBot="1" x14ac:dyDescent="0.3">
      <c r="B22" s="127">
        <v>21</v>
      </c>
      <c r="C22" s="131" t="s">
        <v>136</v>
      </c>
      <c r="D22" s="131" t="s">
        <v>196</v>
      </c>
      <c r="E22" s="131">
        <v>40</v>
      </c>
      <c r="F22" s="131">
        <v>50</v>
      </c>
      <c r="G22" s="131">
        <v>5</v>
      </c>
      <c r="H22" s="127" t="s">
        <v>26</v>
      </c>
      <c r="I22" s="127"/>
      <c r="J22" s="127">
        <v>1</v>
      </c>
      <c r="K22" s="109"/>
      <c r="L22" s="109"/>
      <c r="M22" s="109">
        <v>1</v>
      </c>
      <c r="N22" s="110"/>
      <c r="O22" s="110"/>
      <c r="P22" s="110"/>
      <c r="Q22" s="131" t="s">
        <v>3196</v>
      </c>
    </row>
    <row r="23" spans="2:17" thickBot="1" x14ac:dyDescent="0.3">
      <c r="B23" s="127">
        <v>22</v>
      </c>
      <c r="C23" s="131" t="s">
        <v>197</v>
      </c>
      <c r="D23" s="131" t="s">
        <v>198</v>
      </c>
      <c r="E23" s="131">
        <v>40</v>
      </c>
      <c r="F23" s="131">
        <v>51</v>
      </c>
      <c r="G23" s="131">
        <v>4</v>
      </c>
      <c r="H23" s="127" t="s">
        <v>26</v>
      </c>
      <c r="I23" s="127"/>
      <c r="J23" s="127">
        <v>1</v>
      </c>
      <c r="K23" s="109"/>
      <c r="L23" s="109"/>
      <c r="M23" s="109">
        <v>1</v>
      </c>
      <c r="N23" s="110"/>
      <c r="O23" s="110"/>
      <c r="P23" s="110"/>
      <c r="Q23" s="131"/>
    </row>
    <row r="24" spans="2:17" thickBot="1" x14ac:dyDescent="0.3">
      <c r="B24" s="127">
        <v>23</v>
      </c>
      <c r="C24" s="131" t="s">
        <v>199</v>
      </c>
      <c r="D24" s="131" t="s">
        <v>200</v>
      </c>
      <c r="E24" s="131">
        <v>40</v>
      </c>
      <c r="F24" s="131">
        <v>22</v>
      </c>
      <c r="G24" s="131">
        <v>4</v>
      </c>
      <c r="H24" s="127" t="s">
        <v>26</v>
      </c>
      <c r="I24" s="127"/>
      <c r="J24" s="127">
        <v>1</v>
      </c>
      <c r="K24" s="109"/>
      <c r="L24" s="109"/>
      <c r="M24" s="109"/>
      <c r="N24" s="110"/>
      <c r="O24" s="110"/>
      <c r="P24" s="110"/>
      <c r="Q24" s="131" t="s">
        <v>2632</v>
      </c>
    </row>
    <row r="25" spans="2:17" thickBot="1" x14ac:dyDescent="0.3">
      <c r="B25" s="127">
        <v>24</v>
      </c>
      <c r="C25" s="131" t="s">
        <v>201</v>
      </c>
      <c r="D25" s="131" t="s">
        <v>202</v>
      </c>
      <c r="E25" s="131">
        <v>40</v>
      </c>
      <c r="F25" s="131">
        <v>48</v>
      </c>
      <c r="G25" s="131"/>
      <c r="H25" s="131" t="s">
        <v>27</v>
      </c>
      <c r="I25" s="127">
        <v>1</v>
      </c>
      <c r="J25" s="127"/>
      <c r="K25" s="109"/>
      <c r="L25" s="109"/>
      <c r="M25" s="109"/>
      <c r="N25" s="110">
        <v>1</v>
      </c>
      <c r="O25" s="110"/>
      <c r="P25" s="110"/>
      <c r="Q25" s="131" t="s">
        <v>29</v>
      </c>
    </row>
    <row r="26" spans="2:17" thickBot="1" x14ac:dyDescent="0.3">
      <c r="B26" s="127">
        <v>25</v>
      </c>
      <c r="C26" s="131" t="s">
        <v>258</v>
      </c>
      <c r="D26" s="131" t="s">
        <v>2636</v>
      </c>
      <c r="E26" s="131">
        <v>40</v>
      </c>
      <c r="F26" s="131">
        <v>47</v>
      </c>
      <c r="G26" s="131">
        <v>3</v>
      </c>
      <c r="H26" s="127" t="s">
        <v>26</v>
      </c>
      <c r="I26" s="127"/>
      <c r="J26" s="127">
        <v>1</v>
      </c>
      <c r="K26" s="109"/>
      <c r="L26" s="109"/>
      <c r="M26" s="109"/>
      <c r="N26" s="110"/>
      <c r="O26" s="110"/>
      <c r="P26" s="110"/>
      <c r="Q26" s="131" t="s">
        <v>2632</v>
      </c>
    </row>
    <row r="27" spans="2:17" thickBot="1" x14ac:dyDescent="0.3">
      <c r="B27" s="127">
        <v>26</v>
      </c>
      <c r="C27" s="131" t="s">
        <v>203</v>
      </c>
      <c r="D27" s="131" t="s">
        <v>204</v>
      </c>
      <c r="E27" s="131">
        <v>40</v>
      </c>
      <c r="F27" s="131">
        <v>49</v>
      </c>
      <c r="G27" s="131">
        <v>1</v>
      </c>
      <c r="H27" s="127" t="s">
        <v>26</v>
      </c>
      <c r="I27" s="127"/>
      <c r="J27" s="127">
        <v>1</v>
      </c>
      <c r="K27" s="109"/>
      <c r="L27" s="109"/>
      <c r="M27" s="109">
        <v>1</v>
      </c>
      <c r="N27" s="110"/>
      <c r="O27" s="110"/>
      <c r="P27" s="110"/>
      <c r="Q27" s="131"/>
    </row>
    <row r="28" spans="2:17" thickBot="1" x14ac:dyDescent="0.3">
      <c r="B28" s="127">
        <v>27</v>
      </c>
      <c r="C28" s="131" t="s">
        <v>205</v>
      </c>
      <c r="D28" s="131" t="s">
        <v>206</v>
      </c>
      <c r="E28" s="131">
        <v>40</v>
      </c>
      <c r="F28" s="131">
        <v>65</v>
      </c>
      <c r="G28" s="131">
        <v>1</v>
      </c>
      <c r="H28" s="127" t="s">
        <v>26</v>
      </c>
      <c r="I28" s="127"/>
      <c r="J28" s="127">
        <v>1</v>
      </c>
      <c r="K28" s="109"/>
      <c r="L28" s="109"/>
      <c r="M28" s="109"/>
      <c r="N28" s="110"/>
      <c r="O28" s="110"/>
      <c r="P28" s="110"/>
      <c r="Q28" s="131" t="s">
        <v>2632</v>
      </c>
    </row>
    <row r="29" spans="2:17" thickBot="1" x14ac:dyDescent="0.3">
      <c r="B29" s="127">
        <v>28</v>
      </c>
      <c r="C29" s="131" t="s">
        <v>207</v>
      </c>
      <c r="D29" s="131" t="s">
        <v>208</v>
      </c>
      <c r="E29" s="131">
        <v>40</v>
      </c>
      <c r="F29" s="131">
        <v>64</v>
      </c>
      <c r="G29" s="131">
        <v>1</v>
      </c>
      <c r="H29" s="131" t="s">
        <v>27</v>
      </c>
      <c r="I29" s="127">
        <v>1</v>
      </c>
      <c r="J29" s="127"/>
      <c r="K29" s="109"/>
      <c r="L29" s="109"/>
      <c r="M29" s="109"/>
      <c r="N29" s="110"/>
      <c r="O29" s="110"/>
      <c r="P29" s="110">
        <v>1</v>
      </c>
      <c r="Q29" s="131"/>
    </row>
    <row r="30" spans="2:17" thickBot="1" x14ac:dyDescent="0.3">
      <c r="B30" s="127">
        <v>29</v>
      </c>
      <c r="C30" s="149" t="s">
        <v>209</v>
      </c>
      <c r="D30" s="149" t="s">
        <v>210</v>
      </c>
      <c r="E30" s="131">
        <v>40</v>
      </c>
      <c r="F30" s="131">
        <v>66</v>
      </c>
      <c r="G30" s="131">
        <v>2</v>
      </c>
      <c r="H30" s="127" t="s">
        <v>26</v>
      </c>
      <c r="I30" s="127"/>
      <c r="J30" s="127">
        <v>1</v>
      </c>
      <c r="K30" s="109"/>
      <c r="L30" s="109"/>
      <c r="M30" s="109"/>
      <c r="N30" s="110"/>
      <c r="O30" s="110"/>
      <c r="P30" s="110"/>
      <c r="Q30" s="131" t="s">
        <v>2632</v>
      </c>
    </row>
    <row r="31" spans="2:17" thickBot="1" x14ac:dyDescent="0.3">
      <c r="B31" s="127">
        <v>30</v>
      </c>
      <c r="C31" s="131" t="s">
        <v>190</v>
      </c>
      <c r="D31" s="131" t="s">
        <v>211</v>
      </c>
      <c r="E31" s="131">
        <v>40</v>
      </c>
      <c r="F31" s="131">
        <v>43</v>
      </c>
      <c r="G31" s="131">
        <v>2</v>
      </c>
      <c r="H31" s="127" t="s">
        <v>26</v>
      </c>
      <c r="I31" s="127"/>
      <c r="J31" s="127">
        <v>1</v>
      </c>
      <c r="K31" s="109"/>
      <c r="L31" s="109"/>
      <c r="M31" s="109"/>
      <c r="N31" s="110"/>
      <c r="O31" s="110"/>
      <c r="P31" s="110"/>
      <c r="Q31" s="131" t="s">
        <v>2632</v>
      </c>
    </row>
    <row r="32" spans="2:17" ht="39.75" thickBot="1" x14ac:dyDescent="0.3">
      <c r="B32" s="127">
        <v>31</v>
      </c>
      <c r="C32" s="146" t="s">
        <v>212</v>
      </c>
      <c r="D32" s="146" t="s">
        <v>213</v>
      </c>
      <c r="E32" s="131">
        <v>40</v>
      </c>
      <c r="F32" s="131">
        <v>62</v>
      </c>
      <c r="G32" s="131">
        <v>2</v>
      </c>
      <c r="H32" s="131" t="s">
        <v>27</v>
      </c>
      <c r="I32" s="127">
        <v>1</v>
      </c>
      <c r="J32" s="127"/>
      <c r="K32" s="109"/>
      <c r="L32" s="109"/>
      <c r="M32" s="109"/>
      <c r="N32" s="110"/>
      <c r="O32" s="110">
        <v>1</v>
      </c>
      <c r="P32" s="110"/>
      <c r="Q32" s="131" t="s">
        <v>424</v>
      </c>
    </row>
    <row r="33" spans="2:17" thickBot="1" x14ac:dyDescent="0.3">
      <c r="B33" s="127">
        <v>32</v>
      </c>
      <c r="C33" s="131" t="s">
        <v>214</v>
      </c>
      <c r="D33" s="131" t="s">
        <v>215</v>
      </c>
      <c r="E33" s="131">
        <v>40</v>
      </c>
      <c r="F33" s="131">
        <v>58</v>
      </c>
      <c r="G33" s="131">
        <v>1</v>
      </c>
      <c r="H33" s="131" t="s">
        <v>27</v>
      </c>
      <c r="I33" s="127">
        <v>1</v>
      </c>
      <c r="J33" s="127"/>
      <c r="K33" s="109"/>
      <c r="L33" s="109"/>
      <c r="M33" s="109"/>
      <c r="N33" s="110"/>
      <c r="O33" s="110"/>
      <c r="P33" s="110">
        <v>1</v>
      </c>
      <c r="Q33" s="131"/>
    </row>
    <row r="34" spans="2:17" ht="39.75" thickBot="1" x14ac:dyDescent="0.3">
      <c r="B34" s="127">
        <v>33</v>
      </c>
      <c r="C34" s="131" t="s">
        <v>216</v>
      </c>
      <c r="D34" s="131" t="s">
        <v>178</v>
      </c>
      <c r="E34" s="131">
        <v>40</v>
      </c>
      <c r="F34" s="131">
        <v>133</v>
      </c>
      <c r="G34" s="131">
        <v>2</v>
      </c>
      <c r="H34" s="131" t="s">
        <v>27</v>
      </c>
      <c r="I34" s="127">
        <v>1</v>
      </c>
      <c r="J34" s="127"/>
      <c r="K34" s="109"/>
      <c r="L34" s="109"/>
      <c r="M34" s="109"/>
      <c r="N34" s="110"/>
      <c r="O34" s="110"/>
      <c r="P34" s="110"/>
      <c r="Q34" s="131" t="s">
        <v>2669</v>
      </c>
    </row>
    <row r="35" spans="2:17" thickBot="1" x14ac:dyDescent="0.3">
      <c r="B35" s="127">
        <v>34</v>
      </c>
      <c r="C35" s="131" t="s">
        <v>217</v>
      </c>
      <c r="D35" s="131" t="s">
        <v>218</v>
      </c>
      <c r="E35" s="131">
        <v>40</v>
      </c>
      <c r="F35" s="131">
        <v>120</v>
      </c>
      <c r="G35" s="131">
        <v>6</v>
      </c>
      <c r="H35" s="131" t="s">
        <v>27</v>
      </c>
      <c r="I35" s="127">
        <v>1</v>
      </c>
      <c r="J35" s="127"/>
      <c r="K35" s="109"/>
      <c r="L35" s="109"/>
      <c r="M35" s="109"/>
      <c r="N35" s="110"/>
      <c r="O35" s="110"/>
      <c r="P35" s="110"/>
      <c r="Q35" s="131"/>
    </row>
    <row r="36" spans="2:17" thickBot="1" x14ac:dyDescent="0.3">
      <c r="B36" s="127">
        <v>35</v>
      </c>
      <c r="C36" s="131" t="s">
        <v>219</v>
      </c>
      <c r="D36" s="131" t="s">
        <v>220</v>
      </c>
      <c r="E36" s="131">
        <v>40</v>
      </c>
      <c r="F36" s="131">
        <v>57</v>
      </c>
      <c r="G36" s="131">
        <v>2</v>
      </c>
      <c r="H36" s="131" t="s">
        <v>27</v>
      </c>
      <c r="I36" s="127">
        <v>1</v>
      </c>
      <c r="J36" s="127"/>
      <c r="K36" s="109"/>
      <c r="L36" s="109"/>
      <c r="M36" s="109"/>
      <c r="N36" s="110"/>
      <c r="O36" s="110"/>
      <c r="P36" s="110">
        <v>1</v>
      </c>
      <c r="Q36" s="131"/>
    </row>
    <row r="37" spans="2:17" thickBot="1" x14ac:dyDescent="0.3">
      <c r="B37" s="127">
        <v>36</v>
      </c>
      <c r="C37" s="131" t="s">
        <v>221</v>
      </c>
      <c r="D37" s="131" t="s">
        <v>222</v>
      </c>
      <c r="E37" s="131">
        <v>40</v>
      </c>
      <c r="F37" s="131">
        <v>53</v>
      </c>
      <c r="G37" s="131">
        <v>2</v>
      </c>
      <c r="H37" s="131" t="s">
        <v>27</v>
      </c>
      <c r="I37" s="127">
        <v>1</v>
      </c>
      <c r="J37" s="127"/>
      <c r="K37" s="109"/>
      <c r="L37" s="109"/>
      <c r="M37" s="109"/>
      <c r="N37" s="110"/>
      <c r="O37" s="110"/>
      <c r="P37" s="110"/>
      <c r="Q37" s="131" t="s">
        <v>2632</v>
      </c>
    </row>
    <row r="38" spans="2:17" thickBot="1" x14ac:dyDescent="0.3">
      <c r="B38" s="127">
        <v>37</v>
      </c>
      <c r="C38" s="131" t="s">
        <v>201</v>
      </c>
      <c r="D38" s="131" t="s">
        <v>223</v>
      </c>
      <c r="E38" s="131">
        <v>40</v>
      </c>
      <c r="F38" s="131">
        <v>53</v>
      </c>
      <c r="G38" s="131">
        <v>3</v>
      </c>
      <c r="H38" s="127" t="s">
        <v>26</v>
      </c>
      <c r="I38" s="127"/>
      <c r="J38" s="127">
        <v>1</v>
      </c>
      <c r="K38" s="109"/>
      <c r="L38" s="109"/>
      <c r="M38" s="109">
        <v>1</v>
      </c>
      <c r="N38" s="110"/>
      <c r="O38" s="110"/>
      <c r="P38" s="110"/>
      <c r="Q38" s="131"/>
    </row>
    <row r="39" spans="2:17" thickBot="1" x14ac:dyDescent="0.3">
      <c r="B39" s="127">
        <v>38</v>
      </c>
      <c r="C39" s="131" t="s">
        <v>224</v>
      </c>
      <c r="D39" s="131" t="s">
        <v>225</v>
      </c>
      <c r="E39" s="131">
        <v>40</v>
      </c>
      <c r="F39" s="131">
        <v>55</v>
      </c>
      <c r="G39" s="131">
        <v>4</v>
      </c>
      <c r="H39" s="131" t="s">
        <v>27</v>
      </c>
      <c r="I39" s="127">
        <v>1</v>
      </c>
      <c r="J39" s="127"/>
      <c r="K39" s="109"/>
      <c r="L39" s="109"/>
      <c r="M39" s="109"/>
      <c r="N39" s="110"/>
      <c r="O39" s="110"/>
      <c r="P39" s="110"/>
      <c r="Q39" s="131"/>
    </row>
    <row r="40" spans="2:17" thickBot="1" x14ac:dyDescent="0.3">
      <c r="B40" s="127">
        <v>39</v>
      </c>
      <c r="C40" s="146" t="s">
        <v>177</v>
      </c>
      <c r="D40" s="146" t="s">
        <v>226</v>
      </c>
      <c r="E40" s="131">
        <v>40</v>
      </c>
      <c r="F40" s="131">
        <v>57</v>
      </c>
      <c r="G40" s="131">
        <v>4</v>
      </c>
      <c r="H40" s="131" t="s">
        <v>27</v>
      </c>
      <c r="I40" s="127">
        <v>1</v>
      </c>
      <c r="J40" s="127"/>
      <c r="K40" s="109"/>
      <c r="L40" s="109"/>
      <c r="M40" s="109"/>
      <c r="N40" s="110"/>
      <c r="O40" s="110"/>
      <c r="P40" s="110"/>
      <c r="Q40" s="131"/>
    </row>
    <row r="41" spans="2:17" thickBot="1" x14ac:dyDescent="0.3">
      <c r="B41" s="127">
        <v>40</v>
      </c>
      <c r="C41" s="146" t="s">
        <v>227</v>
      </c>
      <c r="D41" s="146" t="s">
        <v>228</v>
      </c>
      <c r="E41" s="131">
        <v>40</v>
      </c>
      <c r="F41" s="131">
        <v>61</v>
      </c>
      <c r="G41" s="131">
        <v>4</v>
      </c>
      <c r="H41" s="131" t="s">
        <v>27</v>
      </c>
      <c r="I41" s="127">
        <v>1</v>
      </c>
      <c r="J41" s="127"/>
      <c r="K41" s="109"/>
      <c r="L41" s="109"/>
      <c r="M41" s="109"/>
      <c r="N41" s="110"/>
      <c r="O41" s="110"/>
      <c r="P41" s="110"/>
      <c r="Q41" s="131"/>
    </row>
    <row r="42" spans="2:17" thickBot="1" x14ac:dyDescent="0.3">
      <c r="B42" s="127">
        <v>41</v>
      </c>
      <c r="C42" s="146" t="s">
        <v>203</v>
      </c>
      <c r="D42" s="146" t="s">
        <v>229</v>
      </c>
      <c r="E42" s="131">
        <v>40</v>
      </c>
      <c r="F42" s="131">
        <v>63</v>
      </c>
      <c r="G42" s="131">
        <v>4</v>
      </c>
      <c r="H42" s="131" t="s">
        <v>27</v>
      </c>
      <c r="I42" s="127">
        <v>1</v>
      </c>
      <c r="J42" s="127"/>
      <c r="K42" s="109"/>
      <c r="L42" s="109"/>
      <c r="M42" s="109"/>
      <c r="N42" s="110"/>
      <c r="O42" s="110"/>
      <c r="P42" s="110"/>
      <c r="Q42" s="131"/>
    </row>
    <row r="43" spans="2:17" thickBot="1" x14ac:dyDescent="0.3">
      <c r="B43" s="127">
        <v>42</v>
      </c>
      <c r="C43" s="131" t="s">
        <v>230</v>
      </c>
      <c r="D43" s="131" t="s">
        <v>231</v>
      </c>
      <c r="E43" s="131">
        <v>40</v>
      </c>
      <c r="F43" s="131"/>
      <c r="G43" s="131"/>
      <c r="H43" s="131" t="s">
        <v>27</v>
      </c>
      <c r="I43" s="127">
        <v>1</v>
      </c>
      <c r="J43" s="127"/>
      <c r="K43" s="109"/>
      <c r="L43" s="109"/>
      <c r="M43" s="109"/>
      <c r="N43" s="110"/>
      <c r="O43" s="110"/>
      <c r="P43" s="110"/>
      <c r="Q43" s="131"/>
    </row>
    <row r="44" spans="2:17" thickBot="1" x14ac:dyDescent="0.3">
      <c r="B44" s="127">
        <v>43</v>
      </c>
      <c r="C44" s="131" t="s">
        <v>232</v>
      </c>
      <c r="D44" s="131" t="s">
        <v>233</v>
      </c>
      <c r="E44" s="131">
        <v>40</v>
      </c>
      <c r="F44" s="131">
        <v>67</v>
      </c>
      <c r="G44" s="131">
        <v>4</v>
      </c>
      <c r="H44" s="127" t="s">
        <v>26</v>
      </c>
      <c r="I44" s="127"/>
      <c r="J44" s="127">
        <v>1</v>
      </c>
      <c r="K44" s="109"/>
      <c r="L44" s="109"/>
      <c r="M44" s="109"/>
      <c r="N44" s="110"/>
      <c r="O44" s="110"/>
      <c r="P44" s="110"/>
      <c r="Q44" s="131" t="s">
        <v>2632</v>
      </c>
    </row>
    <row r="45" spans="2:17" thickBot="1" x14ac:dyDescent="0.3">
      <c r="B45" s="127">
        <v>44</v>
      </c>
      <c r="C45" s="131" t="s">
        <v>234</v>
      </c>
      <c r="D45" s="131" t="s">
        <v>235</v>
      </c>
      <c r="E45" s="131">
        <v>40</v>
      </c>
      <c r="F45" s="131">
        <v>61</v>
      </c>
      <c r="G45" s="131">
        <v>5</v>
      </c>
      <c r="H45" s="131" t="s">
        <v>27</v>
      </c>
      <c r="I45" s="127">
        <v>1</v>
      </c>
      <c r="J45" s="127"/>
      <c r="K45" s="109"/>
      <c r="L45" s="109"/>
      <c r="M45" s="109"/>
      <c r="N45" s="110"/>
      <c r="O45" s="110"/>
      <c r="P45" s="110"/>
      <c r="Q45" s="131"/>
    </row>
    <row r="46" spans="2:17" thickBot="1" x14ac:dyDescent="0.3">
      <c r="B46" s="127">
        <v>45</v>
      </c>
      <c r="C46" s="131" t="s">
        <v>199</v>
      </c>
      <c r="D46" s="131" t="s">
        <v>236</v>
      </c>
      <c r="E46" s="131">
        <v>40</v>
      </c>
      <c r="F46" s="131">
        <v>57</v>
      </c>
      <c r="G46" s="131">
        <v>5</v>
      </c>
      <c r="H46" s="131" t="s">
        <v>27</v>
      </c>
      <c r="I46" s="127">
        <v>1</v>
      </c>
      <c r="J46" s="127"/>
      <c r="K46" s="109"/>
      <c r="L46" s="109"/>
      <c r="M46" s="109"/>
      <c r="N46" s="110"/>
      <c r="O46" s="110"/>
      <c r="P46" s="110"/>
      <c r="Q46" s="131"/>
    </row>
    <row r="47" spans="2:17" thickBot="1" x14ac:dyDescent="0.3">
      <c r="B47" s="127">
        <v>46</v>
      </c>
      <c r="C47" s="131" t="s">
        <v>237</v>
      </c>
      <c r="D47" s="131" t="s">
        <v>238</v>
      </c>
      <c r="E47" s="131">
        <v>40</v>
      </c>
      <c r="F47" s="131">
        <v>53</v>
      </c>
      <c r="G47" s="131">
        <v>5</v>
      </c>
      <c r="H47" s="127" t="s">
        <v>26</v>
      </c>
      <c r="I47" s="127"/>
      <c r="J47" s="127">
        <v>1</v>
      </c>
      <c r="K47" s="109"/>
      <c r="L47" s="109"/>
      <c r="M47" s="109"/>
      <c r="N47" s="110"/>
      <c r="O47" s="110"/>
      <c r="P47" s="110"/>
      <c r="Q47" s="131" t="s">
        <v>2632</v>
      </c>
    </row>
    <row r="48" spans="2:17" thickBot="1" x14ac:dyDescent="0.3">
      <c r="B48" s="127">
        <v>47</v>
      </c>
      <c r="C48" s="131" t="s">
        <v>239</v>
      </c>
      <c r="D48" s="131" t="s">
        <v>240</v>
      </c>
      <c r="E48" s="131">
        <v>40</v>
      </c>
      <c r="F48" s="131">
        <v>54</v>
      </c>
      <c r="G48" s="131">
        <v>6</v>
      </c>
      <c r="H48" s="127" t="s">
        <v>26</v>
      </c>
      <c r="I48" s="127"/>
      <c r="J48" s="127">
        <v>1</v>
      </c>
      <c r="K48" s="109"/>
      <c r="L48" s="109"/>
      <c r="M48" s="109"/>
      <c r="N48" s="110"/>
      <c r="O48" s="110"/>
      <c r="P48" s="110"/>
      <c r="Q48" s="131" t="s">
        <v>2632</v>
      </c>
    </row>
    <row r="49" spans="2:17" thickBot="1" x14ac:dyDescent="0.3">
      <c r="B49" s="127">
        <v>48</v>
      </c>
      <c r="C49" s="131" t="s">
        <v>241</v>
      </c>
      <c r="D49" s="131" t="s">
        <v>242</v>
      </c>
      <c r="E49" s="131">
        <v>40</v>
      </c>
      <c r="F49" s="131">
        <v>55</v>
      </c>
      <c r="G49" s="131">
        <v>6</v>
      </c>
      <c r="H49" s="127" t="s">
        <v>26</v>
      </c>
      <c r="I49" s="127"/>
      <c r="J49" s="127">
        <v>1</v>
      </c>
      <c r="K49" s="109"/>
      <c r="L49" s="109"/>
      <c r="M49" s="109"/>
      <c r="N49" s="110"/>
      <c r="O49" s="110"/>
      <c r="P49" s="110"/>
      <c r="Q49" s="131" t="s">
        <v>2632</v>
      </c>
    </row>
    <row r="50" spans="2:17" thickBot="1" x14ac:dyDescent="0.3">
      <c r="B50" s="127">
        <v>49</v>
      </c>
      <c r="C50" s="131" t="s">
        <v>219</v>
      </c>
      <c r="D50" s="131" t="s">
        <v>2642</v>
      </c>
      <c r="E50" s="131">
        <v>40</v>
      </c>
      <c r="F50" s="131">
        <v>60</v>
      </c>
      <c r="G50" s="131">
        <v>7</v>
      </c>
      <c r="H50" s="131" t="s">
        <v>27</v>
      </c>
      <c r="I50" s="127">
        <v>1</v>
      </c>
      <c r="J50" s="127"/>
      <c r="K50" s="109"/>
      <c r="L50" s="109"/>
      <c r="M50" s="109"/>
      <c r="N50" s="110"/>
      <c r="O50" s="110"/>
      <c r="P50" s="110"/>
      <c r="Q50" s="131"/>
    </row>
    <row r="51" spans="2:17" thickBot="1" x14ac:dyDescent="0.3">
      <c r="B51" s="127">
        <v>50</v>
      </c>
      <c r="C51" s="131" t="s">
        <v>243</v>
      </c>
      <c r="D51" s="131" t="s">
        <v>244</v>
      </c>
      <c r="E51" s="131">
        <v>40</v>
      </c>
      <c r="F51" s="131">
        <v>59</v>
      </c>
      <c r="G51" s="131">
        <v>7</v>
      </c>
      <c r="H51" s="127" t="s">
        <v>26</v>
      </c>
      <c r="I51" s="127"/>
      <c r="J51" s="127">
        <v>1</v>
      </c>
      <c r="K51" s="109"/>
      <c r="L51" s="109"/>
      <c r="M51" s="109"/>
      <c r="N51" s="110"/>
      <c r="O51" s="110"/>
      <c r="P51" s="110"/>
      <c r="Q51" s="131" t="s">
        <v>2632</v>
      </c>
    </row>
    <row r="52" spans="2:17" thickBot="1" x14ac:dyDescent="0.3">
      <c r="B52" s="127">
        <v>51</v>
      </c>
      <c r="C52" s="131" t="s">
        <v>245</v>
      </c>
      <c r="D52" s="131" t="s">
        <v>246</v>
      </c>
      <c r="E52" s="131">
        <v>40</v>
      </c>
      <c r="F52" s="131">
        <v>52</v>
      </c>
      <c r="G52" s="131">
        <v>8</v>
      </c>
      <c r="H52" s="131" t="s">
        <v>27</v>
      </c>
      <c r="I52" s="127">
        <v>1</v>
      </c>
      <c r="J52" s="127"/>
      <c r="K52" s="109"/>
      <c r="L52" s="109"/>
      <c r="M52" s="109"/>
      <c r="N52" s="110"/>
      <c r="O52" s="110"/>
      <c r="P52" s="110">
        <v>1</v>
      </c>
      <c r="Q52" s="131" t="s">
        <v>111</v>
      </c>
    </row>
    <row r="53" spans="2:17" thickBot="1" x14ac:dyDescent="0.3">
      <c r="B53" s="127">
        <v>52</v>
      </c>
      <c r="C53" s="131" t="s">
        <v>247</v>
      </c>
      <c r="D53" s="131" t="s">
        <v>248</v>
      </c>
      <c r="E53" s="131">
        <v>40</v>
      </c>
      <c r="F53" s="131">
        <v>56</v>
      </c>
      <c r="G53" s="131">
        <v>8</v>
      </c>
      <c r="H53" s="127" t="s">
        <v>26</v>
      </c>
      <c r="I53" s="127"/>
      <c r="J53" s="127">
        <v>1</v>
      </c>
      <c r="K53" s="109"/>
      <c r="L53" s="109"/>
      <c r="M53" s="109"/>
      <c r="N53" s="110"/>
      <c r="O53" s="110"/>
      <c r="P53" s="110"/>
      <c r="Q53" s="131" t="s">
        <v>2632</v>
      </c>
    </row>
    <row r="54" spans="2:17" thickBot="1" x14ac:dyDescent="0.3">
      <c r="B54" s="127">
        <v>53</v>
      </c>
      <c r="C54" s="131" t="s">
        <v>249</v>
      </c>
      <c r="D54" s="131" t="s">
        <v>250</v>
      </c>
      <c r="E54" s="131">
        <v>40</v>
      </c>
      <c r="F54" s="131">
        <v>64</v>
      </c>
      <c r="G54" s="131">
        <v>8</v>
      </c>
      <c r="H54" s="127" t="s">
        <v>26</v>
      </c>
      <c r="I54" s="127"/>
      <c r="J54" s="127">
        <v>1</v>
      </c>
      <c r="K54" s="109"/>
      <c r="L54" s="109"/>
      <c r="M54" s="109"/>
      <c r="N54" s="110"/>
      <c r="O54" s="110"/>
      <c r="P54" s="110"/>
      <c r="Q54" s="131" t="s">
        <v>2632</v>
      </c>
    </row>
    <row r="55" spans="2:17" thickBot="1" x14ac:dyDescent="0.3">
      <c r="B55" s="127">
        <v>54</v>
      </c>
      <c r="C55" s="131" t="s">
        <v>253</v>
      </c>
      <c r="D55" s="131" t="s">
        <v>254</v>
      </c>
      <c r="E55" s="131">
        <v>40</v>
      </c>
      <c r="F55" s="131">
        <v>54</v>
      </c>
      <c r="G55" s="131">
        <v>10</v>
      </c>
      <c r="H55" s="127" t="s">
        <v>26</v>
      </c>
      <c r="I55" s="127"/>
      <c r="J55" s="127">
        <v>1</v>
      </c>
      <c r="K55" s="109"/>
      <c r="L55" s="109"/>
      <c r="M55" s="109"/>
      <c r="N55" s="110"/>
      <c r="O55" s="110"/>
      <c r="P55" s="110"/>
      <c r="Q55" s="131" t="s">
        <v>2632</v>
      </c>
    </row>
    <row r="56" spans="2:17" thickBot="1" x14ac:dyDescent="0.3">
      <c r="B56" s="127">
        <v>55</v>
      </c>
      <c r="C56" s="131" t="s">
        <v>255</v>
      </c>
      <c r="D56" s="131" t="s">
        <v>256</v>
      </c>
      <c r="E56" s="131">
        <v>40</v>
      </c>
      <c r="F56" s="131">
        <v>61</v>
      </c>
      <c r="G56" s="131">
        <v>10</v>
      </c>
      <c r="H56" s="131" t="s">
        <v>27</v>
      </c>
      <c r="I56" s="127">
        <v>1</v>
      </c>
      <c r="J56" s="127"/>
      <c r="K56" s="109"/>
      <c r="L56" s="109"/>
      <c r="M56" s="109"/>
      <c r="N56" s="110"/>
      <c r="O56" s="110"/>
      <c r="P56" s="110">
        <v>1</v>
      </c>
      <c r="Q56" s="131" t="s">
        <v>111</v>
      </c>
    </row>
    <row r="57" spans="2:17" thickBot="1" x14ac:dyDescent="0.3">
      <c r="B57" s="127">
        <v>56</v>
      </c>
      <c r="C57" s="146" t="s">
        <v>125</v>
      </c>
      <c r="D57" s="146" t="s">
        <v>2641</v>
      </c>
      <c r="E57" s="131">
        <v>40</v>
      </c>
      <c r="F57" s="131">
        <v>63</v>
      </c>
      <c r="G57" s="131">
        <v>11</v>
      </c>
      <c r="H57" s="131" t="s">
        <v>27</v>
      </c>
      <c r="I57" s="127">
        <v>1</v>
      </c>
      <c r="J57" s="127"/>
      <c r="K57" s="109"/>
      <c r="L57" s="109"/>
      <c r="M57" s="109"/>
      <c r="N57" s="110"/>
      <c r="O57" s="110"/>
      <c r="P57" s="110"/>
      <c r="Q57" s="131"/>
    </row>
    <row r="58" spans="2:17" thickBot="1" x14ac:dyDescent="0.3">
      <c r="B58" s="127">
        <v>57</v>
      </c>
      <c r="C58" s="131" t="s">
        <v>247</v>
      </c>
      <c r="D58" s="131" t="s">
        <v>257</v>
      </c>
      <c r="E58" s="131">
        <v>40</v>
      </c>
      <c r="F58" s="131">
        <v>64</v>
      </c>
      <c r="G58" s="131">
        <v>12</v>
      </c>
      <c r="H58" s="131" t="s">
        <v>27</v>
      </c>
      <c r="I58" s="127">
        <v>1</v>
      </c>
      <c r="J58" s="127"/>
      <c r="K58" s="109"/>
      <c r="L58" s="109"/>
      <c r="M58" s="109"/>
      <c r="N58" s="110"/>
      <c r="O58" s="110"/>
      <c r="P58" s="110">
        <v>1</v>
      </c>
      <c r="Q58" s="131"/>
    </row>
    <row r="59" spans="2:17" thickBot="1" x14ac:dyDescent="0.3">
      <c r="B59" s="127">
        <v>58</v>
      </c>
      <c r="C59" s="131" t="s">
        <v>258</v>
      </c>
      <c r="D59" s="131" t="s">
        <v>259</v>
      </c>
      <c r="E59" s="131">
        <v>40</v>
      </c>
      <c r="F59" s="131">
        <v>52</v>
      </c>
      <c r="G59" s="131">
        <v>12</v>
      </c>
      <c r="H59" s="131" t="s">
        <v>27</v>
      </c>
      <c r="I59" s="127">
        <v>1</v>
      </c>
      <c r="J59" s="127"/>
      <c r="K59" s="109"/>
      <c r="L59" s="109"/>
      <c r="M59" s="109"/>
      <c r="N59" s="110"/>
      <c r="O59" s="110"/>
      <c r="P59" s="110">
        <v>1</v>
      </c>
      <c r="Q59" s="131" t="s">
        <v>111</v>
      </c>
    </row>
    <row r="60" spans="2:17" thickBot="1" x14ac:dyDescent="0.3">
      <c r="B60" s="127">
        <v>59</v>
      </c>
      <c r="C60" s="131" t="s">
        <v>260</v>
      </c>
      <c r="D60" s="131" t="s">
        <v>261</v>
      </c>
      <c r="E60" s="131">
        <v>40</v>
      </c>
      <c r="F60" s="131">
        <v>3</v>
      </c>
      <c r="G60" s="131">
        <v>18</v>
      </c>
      <c r="H60" s="127" t="s">
        <v>26</v>
      </c>
      <c r="I60" s="127"/>
      <c r="J60" s="127">
        <v>1</v>
      </c>
      <c r="K60" s="109"/>
      <c r="L60" s="109"/>
      <c r="M60" s="109"/>
      <c r="N60" s="110"/>
      <c r="O60" s="110"/>
      <c r="P60" s="110"/>
      <c r="Q60" s="131" t="s">
        <v>2635</v>
      </c>
    </row>
    <row r="61" spans="2:17" thickBot="1" x14ac:dyDescent="0.3">
      <c r="B61" s="127">
        <v>60</v>
      </c>
      <c r="C61" s="131" t="s">
        <v>183</v>
      </c>
      <c r="D61" s="131" t="s">
        <v>262</v>
      </c>
      <c r="E61" s="131">
        <v>40</v>
      </c>
      <c r="F61" s="131">
        <v>2</v>
      </c>
      <c r="G61" s="131">
        <v>20</v>
      </c>
      <c r="H61" s="127" t="s">
        <v>26</v>
      </c>
      <c r="I61" s="127"/>
      <c r="J61" s="127">
        <v>1</v>
      </c>
      <c r="K61" s="109"/>
      <c r="L61" s="109"/>
      <c r="M61" s="109"/>
      <c r="N61" s="110"/>
      <c r="O61" s="110"/>
      <c r="P61" s="110"/>
      <c r="Q61" s="131" t="s">
        <v>2635</v>
      </c>
    </row>
    <row r="62" spans="2:17" thickBot="1" x14ac:dyDescent="0.3">
      <c r="B62" s="127">
        <v>61</v>
      </c>
      <c r="C62" s="131" t="s">
        <v>263</v>
      </c>
      <c r="D62" s="131" t="s">
        <v>264</v>
      </c>
      <c r="E62" s="131">
        <v>40</v>
      </c>
      <c r="F62" s="131">
        <v>6</v>
      </c>
      <c r="G62" s="131">
        <v>22</v>
      </c>
      <c r="H62" s="127" t="s">
        <v>27</v>
      </c>
      <c r="I62" s="127">
        <v>1</v>
      </c>
      <c r="J62" s="127"/>
      <c r="K62" s="109"/>
      <c r="L62" s="109"/>
      <c r="M62" s="109"/>
      <c r="N62" s="110"/>
      <c r="O62" s="110"/>
      <c r="P62" s="110"/>
      <c r="Q62" s="131"/>
    </row>
    <row r="63" spans="2:17" thickBot="1" x14ac:dyDescent="0.3">
      <c r="B63" s="127">
        <v>62</v>
      </c>
      <c r="C63" s="131" t="s">
        <v>181</v>
      </c>
      <c r="D63" s="131" t="s">
        <v>265</v>
      </c>
      <c r="E63" s="131">
        <v>40</v>
      </c>
      <c r="F63" s="131">
        <v>17</v>
      </c>
      <c r="G63" s="131">
        <v>14</v>
      </c>
      <c r="H63" s="127" t="s">
        <v>26</v>
      </c>
      <c r="I63" s="127"/>
      <c r="J63" s="127">
        <v>1</v>
      </c>
      <c r="K63" s="109"/>
      <c r="L63" s="109"/>
      <c r="M63" s="109"/>
      <c r="N63" s="110"/>
      <c r="O63" s="110"/>
      <c r="P63" s="110"/>
      <c r="Q63" s="131" t="s">
        <v>2632</v>
      </c>
    </row>
    <row r="64" spans="2:17" thickBot="1" x14ac:dyDescent="0.3">
      <c r="B64" s="127">
        <v>63</v>
      </c>
      <c r="C64" s="131" t="s">
        <v>197</v>
      </c>
      <c r="D64" s="131" t="s">
        <v>266</v>
      </c>
      <c r="E64" s="131">
        <v>40</v>
      </c>
      <c r="F64" s="131">
        <v>10</v>
      </c>
      <c r="G64" s="131">
        <v>22</v>
      </c>
      <c r="H64" s="127" t="s">
        <v>26</v>
      </c>
      <c r="I64" s="127"/>
      <c r="J64" s="127">
        <v>1</v>
      </c>
      <c r="K64" s="109"/>
      <c r="L64" s="109"/>
      <c r="M64" s="109">
        <v>1</v>
      </c>
      <c r="N64" s="110"/>
      <c r="O64" s="110"/>
      <c r="P64" s="110"/>
      <c r="Q64" s="131"/>
    </row>
    <row r="65" spans="2:17" thickBot="1" x14ac:dyDescent="0.3">
      <c r="B65" s="127">
        <v>64</v>
      </c>
      <c r="C65" s="131" t="s">
        <v>263</v>
      </c>
      <c r="D65" s="131" t="s">
        <v>267</v>
      </c>
      <c r="E65" s="131">
        <v>40</v>
      </c>
      <c r="F65" s="131">
        <v>14</v>
      </c>
      <c r="G65" s="131">
        <v>23</v>
      </c>
      <c r="H65" s="127" t="s">
        <v>26</v>
      </c>
      <c r="I65" s="127"/>
      <c r="J65" s="127">
        <v>1</v>
      </c>
      <c r="K65" s="109"/>
      <c r="L65" s="109"/>
      <c r="M65" s="109"/>
      <c r="N65" s="110"/>
      <c r="O65" s="110"/>
      <c r="P65" s="110"/>
      <c r="Q65" s="131" t="s">
        <v>2632</v>
      </c>
    </row>
    <row r="66" spans="2:17" thickBot="1" x14ac:dyDescent="0.3">
      <c r="B66" s="127">
        <v>65</v>
      </c>
      <c r="C66" s="131" t="s">
        <v>268</v>
      </c>
      <c r="D66" s="131" t="s">
        <v>269</v>
      </c>
      <c r="E66" s="131">
        <v>40</v>
      </c>
      <c r="F66" s="131">
        <v>22</v>
      </c>
      <c r="G66" s="131">
        <v>23</v>
      </c>
      <c r="H66" s="127" t="s">
        <v>26</v>
      </c>
      <c r="I66" s="127"/>
      <c r="J66" s="127">
        <v>1</v>
      </c>
      <c r="K66" s="109"/>
      <c r="L66" s="109"/>
      <c r="M66" s="109">
        <v>1</v>
      </c>
      <c r="N66" s="110"/>
      <c r="O66" s="110"/>
      <c r="P66" s="110"/>
      <c r="Q66" s="131"/>
    </row>
    <row r="67" spans="2:17" thickBot="1" x14ac:dyDescent="0.3">
      <c r="B67" s="127">
        <v>66</v>
      </c>
      <c r="C67" s="131" t="s">
        <v>270</v>
      </c>
      <c r="D67" s="131" t="s">
        <v>271</v>
      </c>
      <c r="E67" s="131">
        <v>40</v>
      </c>
      <c r="F67" s="131">
        <v>25</v>
      </c>
      <c r="G67" s="131">
        <v>23</v>
      </c>
      <c r="H67" s="127" t="s">
        <v>26</v>
      </c>
      <c r="I67" s="127"/>
      <c r="J67" s="127">
        <v>1</v>
      </c>
      <c r="K67" s="109"/>
      <c r="L67" s="109"/>
      <c r="M67" s="109">
        <v>1</v>
      </c>
      <c r="N67" s="110"/>
      <c r="O67" s="110"/>
      <c r="P67" s="110"/>
      <c r="Q67" s="131"/>
    </row>
    <row r="68" spans="2:17" thickBot="1" x14ac:dyDescent="0.3">
      <c r="B68" s="127">
        <v>67</v>
      </c>
      <c r="C68" s="131" t="s">
        <v>272</v>
      </c>
      <c r="D68" s="131" t="s">
        <v>273</v>
      </c>
      <c r="E68" s="131">
        <v>40</v>
      </c>
      <c r="F68" s="131">
        <v>22</v>
      </c>
      <c r="G68" s="131">
        <v>21</v>
      </c>
      <c r="H68" s="127" t="s">
        <v>26</v>
      </c>
      <c r="I68" s="127"/>
      <c r="J68" s="127">
        <v>1</v>
      </c>
      <c r="K68" s="109"/>
      <c r="L68" s="109"/>
      <c r="M68" s="109">
        <v>1</v>
      </c>
      <c r="N68" s="110"/>
      <c r="O68" s="110"/>
      <c r="P68" s="110"/>
      <c r="Q68" s="131"/>
    </row>
    <row r="69" spans="2:17" thickBot="1" x14ac:dyDescent="0.3">
      <c r="B69" s="127">
        <v>68</v>
      </c>
      <c r="C69" s="131" t="s">
        <v>274</v>
      </c>
      <c r="D69" s="131" t="s">
        <v>275</v>
      </c>
      <c r="E69" s="131">
        <v>40</v>
      </c>
      <c r="F69" s="131">
        <v>23</v>
      </c>
      <c r="G69" s="131">
        <v>21</v>
      </c>
      <c r="H69" s="127" t="s">
        <v>26</v>
      </c>
      <c r="I69" s="127"/>
      <c r="J69" s="127">
        <v>1</v>
      </c>
      <c r="K69" s="109"/>
      <c r="L69" s="109"/>
      <c r="M69" s="109"/>
      <c r="N69" s="110"/>
      <c r="O69" s="110"/>
      <c r="P69" s="110"/>
      <c r="Q69" s="131" t="s">
        <v>2632</v>
      </c>
    </row>
    <row r="70" spans="2:17" thickBot="1" x14ac:dyDescent="0.3">
      <c r="B70" s="127">
        <v>69</v>
      </c>
      <c r="C70" s="131" t="s">
        <v>203</v>
      </c>
      <c r="D70" s="131" t="s">
        <v>276</v>
      </c>
      <c r="E70" s="131">
        <v>40</v>
      </c>
      <c r="F70" s="131">
        <v>26</v>
      </c>
      <c r="G70" s="131">
        <v>21</v>
      </c>
      <c r="H70" s="127" t="s">
        <v>26</v>
      </c>
      <c r="I70" s="127"/>
      <c r="J70" s="127">
        <v>1</v>
      </c>
      <c r="K70" s="109"/>
      <c r="L70" s="109"/>
      <c r="M70" s="109"/>
      <c r="N70" s="110"/>
      <c r="O70" s="110"/>
      <c r="P70" s="110"/>
      <c r="Q70" s="131" t="s">
        <v>2635</v>
      </c>
    </row>
    <row r="71" spans="2:17" thickBot="1" x14ac:dyDescent="0.3">
      <c r="B71" s="127">
        <v>70</v>
      </c>
      <c r="C71" s="140" t="s">
        <v>292</v>
      </c>
      <c r="D71" s="140" t="s">
        <v>293</v>
      </c>
      <c r="E71" s="131">
        <v>40</v>
      </c>
      <c r="F71" s="131">
        <v>19</v>
      </c>
      <c r="G71" s="131">
        <v>23</v>
      </c>
      <c r="H71" s="127" t="s">
        <v>26</v>
      </c>
      <c r="I71" s="127"/>
      <c r="J71" s="127">
        <v>1</v>
      </c>
      <c r="K71" s="109"/>
      <c r="L71" s="109"/>
      <c r="M71" s="109">
        <v>1</v>
      </c>
      <c r="N71" s="110"/>
      <c r="O71" s="110"/>
      <c r="P71" s="110"/>
      <c r="Q71" s="131"/>
    </row>
    <row r="72" spans="2:17" thickBot="1" x14ac:dyDescent="0.3">
      <c r="B72" s="127">
        <v>71</v>
      </c>
      <c r="C72" s="131" t="s">
        <v>277</v>
      </c>
      <c r="D72" s="131" t="s">
        <v>278</v>
      </c>
      <c r="E72" s="131">
        <v>40</v>
      </c>
      <c r="F72" s="131">
        <v>18</v>
      </c>
      <c r="G72" s="131">
        <v>15</v>
      </c>
      <c r="H72" s="127" t="s">
        <v>26</v>
      </c>
      <c r="I72" s="127"/>
      <c r="J72" s="127">
        <v>1</v>
      </c>
      <c r="K72" s="109"/>
      <c r="L72" s="109"/>
      <c r="M72" s="109">
        <v>1</v>
      </c>
      <c r="N72" s="110"/>
      <c r="O72" s="110"/>
      <c r="P72" s="110"/>
      <c r="Q72" s="131"/>
    </row>
    <row r="73" spans="2:17" thickBot="1" x14ac:dyDescent="0.3">
      <c r="B73" s="127">
        <v>72</v>
      </c>
      <c r="C73" s="131" t="s">
        <v>247</v>
      </c>
      <c r="D73" s="131" t="s">
        <v>2643</v>
      </c>
      <c r="E73" s="131">
        <v>40</v>
      </c>
      <c r="F73" s="131">
        <v>20</v>
      </c>
      <c r="G73" s="131">
        <v>14</v>
      </c>
      <c r="H73" s="127" t="s">
        <v>26</v>
      </c>
      <c r="I73" s="127"/>
      <c r="J73" s="127">
        <v>1</v>
      </c>
      <c r="K73" s="109"/>
      <c r="L73" s="109"/>
      <c r="M73" s="109">
        <v>1</v>
      </c>
      <c r="N73" s="110"/>
      <c r="O73" s="110"/>
      <c r="P73" s="110"/>
      <c r="Q73" s="131"/>
    </row>
    <row r="74" spans="2:17" thickBot="1" x14ac:dyDescent="0.3">
      <c r="B74" s="127">
        <v>73</v>
      </c>
      <c r="C74" s="131" t="s">
        <v>131</v>
      </c>
      <c r="D74" s="131" t="s">
        <v>279</v>
      </c>
      <c r="E74" s="131">
        <v>40</v>
      </c>
      <c r="F74" s="131">
        <v>18</v>
      </c>
      <c r="G74" s="131">
        <v>13</v>
      </c>
      <c r="H74" s="127" t="s">
        <v>26</v>
      </c>
      <c r="I74" s="127"/>
      <c r="J74" s="127">
        <v>1</v>
      </c>
      <c r="K74" s="109"/>
      <c r="L74" s="109"/>
      <c r="M74" s="109"/>
      <c r="N74" s="110"/>
      <c r="O74" s="110"/>
      <c r="P74" s="110"/>
      <c r="Q74" s="131" t="s">
        <v>2635</v>
      </c>
    </row>
    <row r="75" spans="2:17" thickBot="1" x14ac:dyDescent="0.3">
      <c r="B75" s="127">
        <v>74</v>
      </c>
      <c r="C75" s="131" t="s">
        <v>280</v>
      </c>
      <c r="D75" s="131" t="s">
        <v>281</v>
      </c>
      <c r="E75" s="131">
        <v>40</v>
      </c>
      <c r="F75" s="131">
        <v>46</v>
      </c>
      <c r="G75" s="131">
        <v>14</v>
      </c>
      <c r="H75" s="127" t="s">
        <v>26</v>
      </c>
      <c r="I75" s="127"/>
      <c r="J75" s="127">
        <v>1</v>
      </c>
      <c r="K75" s="109"/>
      <c r="L75" s="109"/>
      <c r="M75" s="109">
        <v>1</v>
      </c>
      <c r="N75" s="110"/>
      <c r="O75" s="110"/>
      <c r="P75" s="110"/>
      <c r="Q75" s="131"/>
    </row>
    <row r="76" spans="2:17" thickBot="1" x14ac:dyDescent="0.3">
      <c r="B76" s="127">
        <v>75</v>
      </c>
      <c r="C76" s="131" t="s">
        <v>137</v>
      </c>
      <c r="D76" s="131" t="s">
        <v>282</v>
      </c>
      <c r="E76" s="131">
        <v>40</v>
      </c>
      <c r="F76" s="131">
        <v>51</v>
      </c>
      <c r="G76" s="131">
        <v>17</v>
      </c>
      <c r="H76" s="127" t="s">
        <v>26</v>
      </c>
      <c r="I76" s="127"/>
      <c r="J76" s="127">
        <v>1</v>
      </c>
      <c r="K76" s="109"/>
      <c r="L76" s="109"/>
      <c r="M76" s="109">
        <v>1</v>
      </c>
      <c r="N76" s="110"/>
      <c r="O76" s="110"/>
      <c r="P76" s="110"/>
      <c r="Q76" s="131"/>
    </row>
    <row r="77" spans="2:17" ht="25.5" thickBot="1" x14ac:dyDescent="0.3">
      <c r="B77" s="127">
        <v>76</v>
      </c>
      <c r="C77" s="150" t="s">
        <v>131</v>
      </c>
      <c r="D77" s="150" t="s">
        <v>283</v>
      </c>
      <c r="E77" s="150">
        <v>40</v>
      </c>
      <c r="F77" s="150">
        <v>40</v>
      </c>
      <c r="G77" s="150">
        <v>20</v>
      </c>
      <c r="H77" s="151" t="s">
        <v>26</v>
      </c>
      <c r="I77" s="151"/>
      <c r="J77" s="151">
        <v>1</v>
      </c>
      <c r="K77" s="109"/>
      <c r="L77" s="109"/>
      <c r="M77" s="109">
        <v>1</v>
      </c>
      <c r="N77" s="110"/>
      <c r="O77" s="110"/>
      <c r="P77" s="110"/>
      <c r="Q77" s="152"/>
    </row>
    <row r="78" spans="2:17" thickBot="1" x14ac:dyDescent="0.3">
      <c r="B78" s="127">
        <v>77</v>
      </c>
      <c r="C78" s="131" t="s">
        <v>284</v>
      </c>
      <c r="D78" s="131" t="s">
        <v>285</v>
      </c>
      <c r="E78" s="131">
        <v>40</v>
      </c>
      <c r="F78" s="131">
        <v>52</v>
      </c>
      <c r="G78" s="131">
        <v>23</v>
      </c>
      <c r="H78" s="127" t="s">
        <v>26</v>
      </c>
      <c r="I78" s="127"/>
      <c r="J78" s="127">
        <v>1</v>
      </c>
      <c r="K78" s="109"/>
      <c r="L78" s="109"/>
      <c r="M78" s="109"/>
      <c r="N78" s="110"/>
      <c r="O78" s="110"/>
      <c r="P78" s="110"/>
      <c r="Q78" s="131" t="s">
        <v>2632</v>
      </c>
    </row>
    <row r="79" spans="2:17" thickBot="1" x14ac:dyDescent="0.3">
      <c r="B79" s="127">
        <v>78</v>
      </c>
      <c r="C79" s="131" t="s">
        <v>600</v>
      </c>
      <c r="D79" s="131" t="s">
        <v>6</v>
      </c>
      <c r="E79" s="131">
        <v>40</v>
      </c>
      <c r="F79" s="131">
        <v>69</v>
      </c>
      <c r="G79" s="131">
        <v>22</v>
      </c>
      <c r="H79" s="131" t="s">
        <v>27</v>
      </c>
      <c r="I79" s="127">
        <v>1</v>
      </c>
      <c r="J79" s="127"/>
      <c r="K79" s="109"/>
      <c r="L79" s="109"/>
      <c r="M79" s="109"/>
      <c r="N79" s="110">
        <v>1</v>
      </c>
      <c r="O79" s="110"/>
      <c r="P79" s="110"/>
      <c r="Q79" s="131"/>
    </row>
    <row r="80" spans="2:17" thickBot="1" x14ac:dyDescent="0.3">
      <c r="B80" s="127">
        <v>79</v>
      </c>
      <c r="C80" s="131" t="s">
        <v>600</v>
      </c>
      <c r="D80" s="131" t="s">
        <v>6</v>
      </c>
      <c r="E80" s="131">
        <v>40</v>
      </c>
      <c r="F80" s="131"/>
      <c r="G80" s="131"/>
      <c r="H80" s="131" t="s">
        <v>27</v>
      </c>
      <c r="I80" s="127">
        <v>1</v>
      </c>
      <c r="J80" s="127"/>
      <c r="K80" s="109"/>
      <c r="L80" s="109"/>
      <c r="M80" s="109"/>
      <c r="N80" s="110">
        <v>1</v>
      </c>
      <c r="O80" s="110"/>
      <c r="P80" s="110"/>
      <c r="Q80" s="131"/>
    </row>
    <row r="81" spans="2:17" thickBot="1" x14ac:dyDescent="0.3">
      <c r="B81" s="127">
        <v>80</v>
      </c>
      <c r="C81" s="131" t="s">
        <v>170</v>
      </c>
      <c r="D81" s="131" t="s">
        <v>286</v>
      </c>
      <c r="E81" s="131">
        <v>40</v>
      </c>
      <c r="F81" s="131"/>
      <c r="G81" s="131"/>
      <c r="H81" s="131" t="s">
        <v>27</v>
      </c>
      <c r="I81" s="127">
        <v>1</v>
      </c>
      <c r="J81" s="127"/>
      <c r="K81" s="109"/>
      <c r="L81" s="109"/>
      <c r="M81" s="109"/>
      <c r="N81" s="110"/>
      <c r="O81" s="110"/>
      <c r="P81" s="110"/>
      <c r="Q81" s="131"/>
    </row>
    <row r="82" spans="2:17" thickBot="1" x14ac:dyDescent="0.3">
      <c r="B82" s="127">
        <v>81</v>
      </c>
      <c r="C82" s="131" t="s">
        <v>600</v>
      </c>
      <c r="D82" s="131" t="s">
        <v>6</v>
      </c>
      <c r="E82" s="131">
        <v>40</v>
      </c>
      <c r="F82" s="131"/>
      <c r="G82" s="131"/>
      <c r="H82" s="131" t="s">
        <v>27</v>
      </c>
      <c r="I82" s="127">
        <v>1</v>
      </c>
      <c r="J82" s="127"/>
      <c r="K82" s="109"/>
      <c r="L82" s="109"/>
      <c r="M82" s="109"/>
      <c r="N82" s="110">
        <v>1</v>
      </c>
      <c r="O82" s="110"/>
      <c r="P82" s="110"/>
      <c r="Q82" s="131"/>
    </row>
    <row r="83" spans="2:17" thickBot="1" x14ac:dyDescent="0.3">
      <c r="B83" s="127">
        <v>82</v>
      </c>
      <c r="C83" s="131" t="s">
        <v>287</v>
      </c>
      <c r="D83" s="131" t="s">
        <v>288</v>
      </c>
      <c r="E83" s="131">
        <v>40</v>
      </c>
      <c r="F83" s="131">
        <v>59</v>
      </c>
      <c r="G83" s="131">
        <v>18</v>
      </c>
      <c r="H83" s="131" t="s">
        <v>27</v>
      </c>
      <c r="I83" s="127">
        <v>1</v>
      </c>
      <c r="J83" s="127"/>
      <c r="K83" s="109"/>
      <c r="L83" s="109"/>
      <c r="M83" s="109"/>
      <c r="N83" s="110"/>
      <c r="O83" s="110"/>
      <c r="P83" s="110">
        <v>1</v>
      </c>
      <c r="Q83" s="131"/>
    </row>
    <row r="84" spans="2:17" thickBot="1" x14ac:dyDescent="0.3">
      <c r="B84" s="127">
        <v>83</v>
      </c>
      <c r="C84" s="131" t="s">
        <v>289</v>
      </c>
      <c r="D84" s="131" t="s">
        <v>290</v>
      </c>
      <c r="E84" s="131">
        <v>40</v>
      </c>
      <c r="F84" s="131">
        <v>80</v>
      </c>
      <c r="G84" s="131">
        <v>16</v>
      </c>
      <c r="H84" s="127" t="s">
        <v>26</v>
      </c>
      <c r="I84" s="127"/>
      <c r="J84" s="127">
        <v>1</v>
      </c>
      <c r="K84" s="109"/>
      <c r="L84" s="109"/>
      <c r="M84" s="109">
        <v>1</v>
      </c>
      <c r="N84" s="110"/>
      <c r="O84" s="110"/>
      <c r="P84" s="110"/>
      <c r="Q84" s="131"/>
    </row>
    <row r="85" spans="2:17" thickBot="1" x14ac:dyDescent="0.3">
      <c r="B85" s="127">
        <v>84</v>
      </c>
      <c r="C85" s="131" t="s">
        <v>203</v>
      </c>
      <c r="D85" s="131" t="s">
        <v>291</v>
      </c>
      <c r="E85" s="131">
        <v>40</v>
      </c>
      <c r="F85" s="131">
        <v>78</v>
      </c>
      <c r="G85" s="131">
        <v>16</v>
      </c>
      <c r="H85" s="127" t="s">
        <v>26</v>
      </c>
      <c r="I85" s="127"/>
      <c r="J85" s="127">
        <v>1</v>
      </c>
      <c r="K85" s="109"/>
      <c r="L85" s="109"/>
      <c r="M85" s="109">
        <v>1</v>
      </c>
      <c r="N85" s="110"/>
      <c r="O85" s="110"/>
      <c r="P85" s="110"/>
      <c r="Q85" s="131"/>
    </row>
    <row r="86" spans="2:17" thickBot="1" x14ac:dyDescent="0.3">
      <c r="B86" s="127">
        <v>85</v>
      </c>
      <c r="C86" s="131" t="s">
        <v>294</v>
      </c>
      <c r="D86" s="131" t="s">
        <v>295</v>
      </c>
      <c r="E86" s="131">
        <v>40</v>
      </c>
      <c r="F86" s="131">
        <v>81</v>
      </c>
      <c r="G86" s="131">
        <v>19</v>
      </c>
      <c r="H86" s="127" t="s">
        <v>26</v>
      </c>
      <c r="I86" s="127"/>
      <c r="J86" s="127">
        <v>1</v>
      </c>
      <c r="K86" s="109"/>
      <c r="L86" s="109"/>
      <c r="M86" s="109">
        <v>1</v>
      </c>
      <c r="N86" s="110"/>
      <c r="O86" s="110"/>
      <c r="P86" s="110"/>
      <c r="Q86" s="131"/>
    </row>
    <row r="87" spans="2:17" thickBot="1" x14ac:dyDescent="0.3">
      <c r="B87" s="127">
        <v>86</v>
      </c>
      <c r="C87" s="131" t="s">
        <v>296</v>
      </c>
      <c r="D87" s="131" t="s">
        <v>297</v>
      </c>
      <c r="E87" s="131">
        <v>40</v>
      </c>
      <c r="F87" s="131">
        <v>79</v>
      </c>
      <c r="G87" s="131">
        <v>21</v>
      </c>
      <c r="H87" s="127" t="s">
        <v>26</v>
      </c>
      <c r="I87" s="127"/>
      <c r="J87" s="127">
        <v>1</v>
      </c>
      <c r="K87" s="109"/>
      <c r="L87" s="109"/>
      <c r="M87" s="109">
        <v>1</v>
      </c>
      <c r="N87" s="110"/>
      <c r="O87" s="110"/>
      <c r="P87" s="110"/>
      <c r="Q87" s="131"/>
    </row>
    <row r="88" spans="2:17" thickBot="1" x14ac:dyDescent="0.3">
      <c r="B88" s="127">
        <v>87</v>
      </c>
      <c r="C88" s="131" t="s">
        <v>298</v>
      </c>
      <c r="D88" s="131" t="s">
        <v>299</v>
      </c>
      <c r="E88" s="131">
        <v>40</v>
      </c>
      <c r="F88" s="131">
        <v>81</v>
      </c>
      <c r="G88" s="131">
        <v>23</v>
      </c>
      <c r="H88" s="131" t="s">
        <v>27</v>
      </c>
      <c r="I88" s="127">
        <v>1</v>
      </c>
      <c r="J88" s="127"/>
      <c r="K88" s="109"/>
      <c r="L88" s="109"/>
      <c r="M88" s="109"/>
      <c r="N88" s="110"/>
      <c r="O88" s="110"/>
      <c r="P88" s="110"/>
      <c r="Q88" s="131"/>
    </row>
    <row r="89" spans="2:17" thickBot="1" x14ac:dyDescent="0.3">
      <c r="B89" s="127">
        <v>88</v>
      </c>
      <c r="C89" s="131" t="s">
        <v>600</v>
      </c>
      <c r="D89" s="131" t="s">
        <v>6</v>
      </c>
      <c r="E89" s="131">
        <v>40</v>
      </c>
      <c r="F89" s="131"/>
      <c r="G89" s="131"/>
      <c r="H89" s="131" t="s">
        <v>27</v>
      </c>
      <c r="I89" s="127">
        <v>1</v>
      </c>
      <c r="J89" s="127"/>
      <c r="K89" s="109"/>
      <c r="L89" s="109"/>
      <c r="M89" s="109"/>
      <c r="N89" s="110">
        <v>1</v>
      </c>
      <c r="O89" s="110"/>
      <c r="P89" s="110"/>
      <c r="Q89" s="131"/>
    </row>
    <row r="90" spans="2:17" thickBot="1" x14ac:dyDescent="0.3">
      <c r="B90" s="127">
        <v>89</v>
      </c>
      <c r="C90" s="146" t="s">
        <v>300</v>
      </c>
      <c r="D90" s="146" t="s">
        <v>301</v>
      </c>
      <c r="E90" s="131">
        <v>40</v>
      </c>
      <c r="F90" s="131">
        <v>102</v>
      </c>
      <c r="G90" s="131">
        <v>7</v>
      </c>
      <c r="H90" s="131" t="s">
        <v>27</v>
      </c>
      <c r="I90" s="127">
        <v>1</v>
      </c>
      <c r="J90" s="127"/>
      <c r="K90" s="109"/>
      <c r="L90" s="109"/>
      <c r="M90" s="109"/>
      <c r="N90" s="110"/>
      <c r="O90" s="110"/>
      <c r="P90" s="110"/>
      <c r="Q90" s="131"/>
    </row>
    <row r="91" spans="2:17" thickBot="1" x14ac:dyDescent="0.3">
      <c r="B91" s="127">
        <v>90</v>
      </c>
      <c r="C91" s="131" t="s">
        <v>302</v>
      </c>
      <c r="D91" s="131" t="s">
        <v>303</v>
      </c>
      <c r="E91" s="131">
        <v>40</v>
      </c>
      <c r="F91" s="131"/>
      <c r="G91" s="131"/>
      <c r="H91" s="127" t="s">
        <v>26</v>
      </c>
      <c r="I91" s="127"/>
      <c r="J91" s="127">
        <v>1</v>
      </c>
      <c r="K91" s="109"/>
      <c r="L91" s="109"/>
      <c r="M91" s="109">
        <v>1</v>
      </c>
      <c r="N91" s="110"/>
      <c r="O91" s="110"/>
      <c r="P91" s="110"/>
      <c r="Q91" s="131"/>
    </row>
    <row r="92" spans="2:17" ht="39.75" thickBot="1" x14ac:dyDescent="0.3">
      <c r="B92" s="127">
        <v>91</v>
      </c>
      <c r="C92" s="131" t="s">
        <v>201</v>
      </c>
      <c r="D92" s="131" t="s">
        <v>304</v>
      </c>
      <c r="E92" s="131">
        <v>40</v>
      </c>
      <c r="F92" s="131"/>
      <c r="G92" s="131"/>
      <c r="H92" s="131" t="s">
        <v>27</v>
      </c>
      <c r="I92" s="127">
        <v>1</v>
      </c>
      <c r="J92" s="127"/>
      <c r="K92" s="109"/>
      <c r="L92" s="109"/>
      <c r="M92" s="109"/>
      <c r="N92" s="110"/>
      <c r="O92" s="110"/>
      <c r="P92" s="110"/>
      <c r="Q92" s="131" t="s">
        <v>2647</v>
      </c>
    </row>
    <row r="93" spans="2:17" thickBot="1" x14ac:dyDescent="0.3">
      <c r="B93" s="127">
        <v>92</v>
      </c>
      <c r="C93" s="131" t="s">
        <v>203</v>
      </c>
      <c r="D93" s="131" t="s">
        <v>305</v>
      </c>
      <c r="E93" s="131">
        <v>40</v>
      </c>
      <c r="F93" s="131">
        <v>92</v>
      </c>
      <c r="G93" s="131">
        <v>21</v>
      </c>
      <c r="H93" s="127" t="s">
        <v>26</v>
      </c>
      <c r="I93" s="127"/>
      <c r="J93" s="127">
        <v>1</v>
      </c>
      <c r="K93" s="109"/>
      <c r="L93" s="109"/>
      <c r="M93" s="109"/>
      <c r="N93" s="110"/>
      <c r="O93" s="110"/>
      <c r="P93" s="110"/>
      <c r="Q93" s="131" t="s">
        <v>2632</v>
      </c>
    </row>
    <row r="94" spans="2:17" thickBot="1" x14ac:dyDescent="0.3">
      <c r="B94" s="127">
        <v>93</v>
      </c>
      <c r="C94" s="131" t="s">
        <v>306</v>
      </c>
      <c r="D94" s="131" t="s">
        <v>307</v>
      </c>
      <c r="E94" s="131">
        <v>40</v>
      </c>
      <c r="F94" s="131">
        <v>95</v>
      </c>
      <c r="G94" s="131">
        <v>2</v>
      </c>
      <c r="H94" s="127" t="s">
        <v>26</v>
      </c>
      <c r="I94" s="127"/>
      <c r="J94" s="127">
        <v>1</v>
      </c>
      <c r="K94" s="109"/>
      <c r="L94" s="109"/>
      <c r="M94" s="109">
        <v>1</v>
      </c>
      <c r="N94" s="110"/>
      <c r="O94" s="110"/>
      <c r="P94" s="110"/>
      <c r="Q94" s="131"/>
    </row>
    <row r="95" spans="2:17" thickBot="1" x14ac:dyDescent="0.3">
      <c r="B95" s="127">
        <v>94</v>
      </c>
      <c r="C95" s="131" t="s">
        <v>308</v>
      </c>
      <c r="D95" s="131" t="s">
        <v>309</v>
      </c>
      <c r="E95" s="131">
        <v>40</v>
      </c>
      <c r="F95" s="131">
        <v>93</v>
      </c>
      <c r="G95" s="131">
        <v>20</v>
      </c>
      <c r="H95" s="127" t="s">
        <v>26</v>
      </c>
      <c r="I95" s="127"/>
      <c r="J95" s="127">
        <v>1</v>
      </c>
      <c r="K95" s="109"/>
      <c r="L95" s="109"/>
      <c r="M95" s="109">
        <v>1</v>
      </c>
      <c r="N95" s="110"/>
      <c r="O95" s="110"/>
      <c r="P95" s="110"/>
      <c r="Q95" s="131"/>
    </row>
    <row r="96" spans="2:17" thickBot="1" x14ac:dyDescent="0.3">
      <c r="B96" s="127">
        <v>95</v>
      </c>
      <c r="C96" s="131" t="s">
        <v>125</v>
      </c>
      <c r="D96" s="131" t="s">
        <v>310</v>
      </c>
      <c r="E96" s="131">
        <v>40</v>
      </c>
      <c r="F96" s="131">
        <v>95</v>
      </c>
      <c r="G96" s="131">
        <v>14</v>
      </c>
      <c r="H96" s="127" t="s">
        <v>26</v>
      </c>
      <c r="I96" s="127"/>
      <c r="J96" s="127">
        <v>1</v>
      </c>
      <c r="K96" s="109"/>
      <c r="L96" s="109"/>
      <c r="M96" s="109">
        <v>1</v>
      </c>
      <c r="N96" s="110"/>
      <c r="O96" s="110"/>
      <c r="P96" s="110"/>
      <c r="Q96" s="131"/>
    </row>
    <row r="97" spans="2:17" thickBot="1" x14ac:dyDescent="0.3">
      <c r="B97" s="127">
        <v>96</v>
      </c>
      <c r="C97" s="131" t="s">
        <v>311</v>
      </c>
      <c r="D97" s="131" t="s">
        <v>312</v>
      </c>
      <c r="E97" s="131">
        <v>40</v>
      </c>
      <c r="F97" s="131">
        <v>93</v>
      </c>
      <c r="G97" s="131">
        <v>14</v>
      </c>
      <c r="H97" s="127" t="s">
        <v>26</v>
      </c>
      <c r="I97" s="127"/>
      <c r="J97" s="127">
        <v>1</v>
      </c>
      <c r="K97" s="109"/>
      <c r="L97" s="109"/>
      <c r="M97" s="109">
        <v>1</v>
      </c>
      <c r="N97" s="110"/>
      <c r="O97" s="110"/>
      <c r="P97" s="110"/>
      <c r="Q97" s="131"/>
    </row>
    <row r="98" spans="2:17" thickBot="1" x14ac:dyDescent="0.3">
      <c r="B98" s="127">
        <v>97</v>
      </c>
      <c r="C98" s="131" t="s">
        <v>314</v>
      </c>
      <c r="D98" s="131" t="s">
        <v>313</v>
      </c>
      <c r="E98" s="131">
        <v>40</v>
      </c>
      <c r="F98" s="131">
        <v>101</v>
      </c>
      <c r="G98" s="131">
        <v>13</v>
      </c>
      <c r="H98" s="127" t="s">
        <v>26</v>
      </c>
      <c r="I98" s="127"/>
      <c r="J98" s="127">
        <v>1</v>
      </c>
      <c r="K98" s="109"/>
      <c r="L98" s="109"/>
      <c r="M98" s="109"/>
      <c r="N98" s="110"/>
      <c r="O98" s="110"/>
      <c r="P98" s="110"/>
      <c r="Q98" s="131" t="s">
        <v>2632</v>
      </c>
    </row>
    <row r="99" spans="2:17" ht="39.75" thickBot="1" x14ac:dyDescent="0.3">
      <c r="B99" s="127">
        <v>98</v>
      </c>
      <c r="C99" s="131" t="s">
        <v>315</v>
      </c>
      <c r="D99" s="131" t="s">
        <v>316</v>
      </c>
      <c r="E99" s="131">
        <v>40</v>
      </c>
      <c r="F99" s="131">
        <v>113</v>
      </c>
      <c r="G99" s="131">
        <v>13</v>
      </c>
      <c r="H99" s="131" t="s">
        <v>27</v>
      </c>
      <c r="I99" s="127">
        <v>1</v>
      </c>
      <c r="J99" s="127"/>
      <c r="K99" s="109"/>
      <c r="L99" s="109"/>
      <c r="M99" s="109"/>
      <c r="N99" s="110"/>
      <c r="O99" s="110"/>
      <c r="P99" s="110"/>
      <c r="Q99" s="131" t="s">
        <v>418</v>
      </c>
    </row>
    <row r="100" spans="2:17" ht="39.75" thickBot="1" x14ac:dyDescent="0.3">
      <c r="B100" s="127">
        <v>99</v>
      </c>
      <c r="C100" s="131" t="s">
        <v>317</v>
      </c>
      <c r="D100" s="131" t="s">
        <v>318</v>
      </c>
      <c r="E100" s="131">
        <v>40</v>
      </c>
      <c r="F100" s="131">
        <v>109</v>
      </c>
      <c r="G100" s="131">
        <v>14</v>
      </c>
      <c r="H100" s="131" t="s">
        <v>27</v>
      </c>
      <c r="I100" s="127">
        <v>1</v>
      </c>
      <c r="J100" s="127"/>
      <c r="K100" s="109"/>
      <c r="L100" s="109"/>
      <c r="M100" s="109"/>
      <c r="N100" s="110"/>
      <c r="O100" s="110"/>
      <c r="P100" s="110"/>
      <c r="Q100" s="131" t="s">
        <v>30</v>
      </c>
    </row>
    <row r="101" spans="2:17" thickBot="1" x14ac:dyDescent="0.3">
      <c r="B101" s="127">
        <v>100</v>
      </c>
      <c r="C101" s="131" t="s">
        <v>319</v>
      </c>
      <c r="D101" s="131" t="s">
        <v>320</v>
      </c>
      <c r="E101" s="131">
        <v>40</v>
      </c>
      <c r="F101" s="131">
        <v>91</v>
      </c>
      <c r="G101" s="131">
        <v>10</v>
      </c>
      <c r="H101" s="131" t="s">
        <v>27</v>
      </c>
      <c r="I101" s="127">
        <v>1</v>
      </c>
      <c r="J101" s="127"/>
      <c r="K101" s="109"/>
      <c r="L101" s="109"/>
      <c r="M101" s="109"/>
      <c r="N101" s="110"/>
      <c r="O101" s="110"/>
      <c r="P101" s="110">
        <v>1</v>
      </c>
      <c r="Q101" s="131"/>
    </row>
    <row r="102" spans="2:17" thickBot="1" x14ac:dyDescent="0.3">
      <c r="B102" s="127">
        <v>101</v>
      </c>
      <c r="C102" s="131" t="s">
        <v>321</v>
      </c>
      <c r="D102" s="131" t="s">
        <v>322</v>
      </c>
      <c r="E102" s="131">
        <v>40</v>
      </c>
      <c r="F102" s="131">
        <v>112</v>
      </c>
      <c r="G102" s="131">
        <v>16</v>
      </c>
      <c r="H102" s="127" t="s">
        <v>26</v>
      </c>
      <c r="I102" s="127"/>
      <c r="J102" s="127">
        <v>1</v>
      </c>
      <c r="K102" s="109"/>
      <c r="L102" s="109"/>
      <c r="M102" s="109"/>
      <c r="N102" s="110"/>
      <c r="O102" s="110"/>
      <c r="P102" s="110"/>
      <c r="Q102" s="131" t="s">
        <v>2635</v>
      </c>
    </row>
    <row r="103" spans="2:17" thickBot="1" x14ac:dyDescent="0.3">
      <c r="B103" s="127">
        <v>102</v>
      </c>
      <c r="C103" s="131" t="s">
        <v>201</v>
      </c>
      <c r="D103" s="131" t="s">
        <v>323</v>
      </c>
      <c r="E103" s="131">
        <v>40</v>
      </c>
      <c r="F103" s="131">
        <v>104</v>
      </c>
      <c r="G103" s="131">
        <v>17</v>
      </c>
      <c r="H103" s="127" t="s">
        <v>26</v>
      </c>
      <c r="I103" s="127"/>
      <c r="J103" s="127">
        <v>1</v>
      </c>
      <c r="K103" s="109"/>
      <c r="L103" s="109"/>
      <c r="M103" s="109"/>
      <c r="N103" s="110"/>
      <c r="O103" s="110"/>
      <c r="P103" s="110"/>
      <c r="Q103" s="131" t="s">
        <v>2635</v>
      </c>
    </row>
    <row r="104" spans="2:17" thickBot="1" x14ac:dyDescent="0.3">
      <c r="B104" s="127">
        <v>103</v>
      </c>
      <c r="C104" s="131" t="s">
        <v>324</v>
      </c>
      <c r="D104" s="131" t="s">
        <v>325</v>
      </c>
      <c r="E104" s="131">
        <v>40</v>
      </c>
      <c r="F104" s="131">
        <v>103</v>
      </c>
      <c r="G104" s="131">
        <v>18</v>
      </c>
      <c r="H104" s="127" t="s">
        <v>26</v>
      </c>
      <c r="I104" s="127"/>
      <c r="J104" s="127">
        <v>1</v>
      </c>
      <c r="K104" s="109"/>
      <c r="L104" s="109"/>
      <c r="M104" s="109"/>
      <c r="N104" s="110"/>
      <c r="O104" s="110"/>
      <c r="P104" s="110"/>
      <c r="Q104" s="131" t="s">
        <v>2635</v>
      </c>
    </row>
    <row r="105" spans="2:17" ht="39.75" thickBot="1" x14ac:dyDescent="0.3">
      <c r="B105" s="127">
        <v>104</v>
      </c>
      <c r="C105" s="131" t="s">
        <v>326</v>
      </c>
      <c r="D105" s="131" t="s">
        <v>327</v>
      </c>
      <c r="E105" s="131">
        <v>40</v>
      </c>
      <c r="F105" s="131"/>
      <c r="G105" s="131"/>
      <c r="H105" s="127" t="s">
        <v>26</v>
      </c>
      <c r="I105" s="127"/>
      <c r="J105" s="127">
        <v>1</v>
      </c>
      <c r="K105" s="109"/>
      <c r="L105" s="109"/>
      <c r="M105" s="109"/>
      <c r="N105" s="110"/>
      <c r="O105" s="110"/>
      <c r="P105" s="110"/>
      <c r="Q105" s="131" t="s">
        <v>2654</v>
      </c>
    </row>
    <row r="106" spans="2:17" thickBot="1" x14ac:dyDescent="0.3">
      <c r="B106" s="127">
        <v>105</v>
      </c>
      <c r="C106" s="131" t="s">
        <v>328</v>
      </c>
      <c r="D106" s="131" t="s">
        <v>329</v>
      </c>
      <c r="E106" s="131">
        <v>40</v>
      </c>
      <c r="F106" s="131">
        <v>85</v>
      </c>
      <c r="G106" s="131">
        <v>10</v>
      </c>
      <c r="H106" s="127" t="s">
        <v>26</v>
      </c>
      <c r="I106" s="127"/>
      <c r="J106" s="127">
        <v>1</v>
      </c>
      <c r="K106" s="109"/>
      <c r="L106" s="109"/>
      <c r="M106" s="109">
        <v>1</v>
      </c>
      <c r="N106" s="110"/>
      <c r="O106" s="110"/>
      <c r="P106" s="110"/>
      <c r="Q106" s="131"/>
    </row>
    <row r="107" spans="2:17" thickBot="1" x14ac:dyDescent="0.3">
      <c r="B107" s="127">
        <v>106</v>
      </c>
      <c r="C107" s="131" t="s">
        <v>315</v>
      </c>
      <c r="D107" s="131" t="s">
        <v>330</v>
      </c>
      <c r="E107" s="131">
        <v>40</v>
      </c>
      <c r="F107" s="131">
        <v>114</v>
      </c>
      <c r="G107" s="131">
        <v>22</v>
      </c>
      <c r="H107" s="127" t="s">
        <v>26</v>
      </c>
      <c r="I107" s="127"/>
      <c r="J107" s="127">
        <v>1</v>
      </c>
      <c r="K107" s="109"/>
      <c r="L107" s="109"/>
      <c r="M107" s="109"/>
      <c r="N107" s="110"/>
      <c r="O107" s="110"/>
      <c r="P107" s="110"/>
      <c r="Q107" s="131" t="s">
        <v>2632</v>
      </c>
    </row>
    <row r="108" spans="2:17" thickBot="1" x14ac:dyDescent="0.3">
      <c r="B108" s="127">
        <v>107</v>
      </c>
      <c r="C108" s="131" t="s">
        <v>600</v>
      </c>
      <c r="D108" s="131" t="s">
        <v>332</v>
      </c>
      <c r="E108" s="131">
        <v>40</v>
      </c>
      <c r="F108" s="131">
        <v>87</v>
      </c>
      <c r="G108" s="131">
        <v>3</v>
      </c>
      <c r="H108" s="127" t="s">
        <v>26</v>
      </c>
      <c r="I108" s="127"/>
      <c r="J108" s="127">
        <v>1</v>
      </c>
      <c r="K108" s="109"/>
      <c r="L108" s="109"/>
      <c r="M108" s="109"/>
      <c r="N108" s="110"/>
      <c r="O108" s="110"/>
      <c r="P108" s="110"/>
      <c r="Q108" s="131" t="s">
        <v>2632</v>
      </c>
    </row>
    <row r="109" spans="2:17" thickBot="1" x14ac:dyDescent="0.3">
      <c r="B109" s="127">
        <v>108</v>
      </c>
      <c r="C109" s="131" t="s">
        <v>203</v>
      </c>
      <c r="D109" s="131" t="s">
        <v>331</v>
      </c>
      <c r="E109" s="131">
        <v>40</v>
      </c>
      <c r="F109" s="131">
        <v>123</v>
      </c>
      <c r="G109" s="131">
        <v>19</v>
      </c>
      <c r="H109" s="127" t="s">
        <v>26</v>
      </c>
      <c r="I109" s="127"/>
      <c r="J109" s="127">
        <v>1</v>
      </c>
      <c r="K109" s="109"/>
      <c r="L109" s="109"/>
      <c r="M109" s="109"/>
      <c r="N109" s="110"/>
      <c r="O109" s="110"/>
      <c r="P109" s="110"/>
      <c r="Q109" s="131" t="s">
        <v>2635</v>
      </c>
    </row>
    <row r="110" spans="2:17" thickBot="1" x14ac:dyDescent="0.3">
      <c r="B110" s="127">
        <v>109</v>
      </c>
      <c r="C110" s="131" t="s">
        <v>214</v>
      </c>
      <c r="D110" s="131" t="s">
        <v>333</v>
      </c>
      <c r="E110" s="131">
        <v>40</v>
      </c>
      <c r="F110" s="131">
        <v>92</v>
      </c>
      <c r="G110" s="131">
        <v>10</v>
      </c>
      <c r="H110" s="131" t="s">
        <v>27</v>
      </c>
      <c r="I110" s="127">
        <v>1</v>
      </c>
      <c r="J110" s="127"/>
      <c r="K110" s="109"/>
      <c r="L110" s="109"/>
      <c r="M110" s="109"/>
      <c r="N110" s="110"/>
      <c r="O110" s="110"/>
      <c r="P110" s="110"/>
      <c r="Q110" s="131"/>
    </row>
    <row r="111" spans="2:17" thickBot="1" x14ac:dyDescent="0.3">
      <c r="B111" s="127">
        <v>110</v>
      </c>
      <c r="C111" s="131" t="s">
        <v>334</v>
      </c>
      <c r="D111" s="131" t="s">
        <v>123</v>
      </c>
      <c r="E111" s="131">
        <v>40</v>
      </c>
      <c r="F111" s="131">
        <v>126</v>
      </c>
      <c r="G111" s="131">
        <v>15</v>
      </c>
      <c r="H111" s="131" t="s">
        <v>27</v>
      </c>
      <c r="I111" s="127">
        <v>1</v>
      </c>
      <c r="J111" s="127"/>
      <c r="K111" s="109"/>
      <c r="L111" s="109"/>
      <c r="M111" s="109"/>
      <c r="N111" s="110"/>
      <c r="O111" s="110"/>
      <c r="P111" s="110">
        <v>1</v>
      </c>
      <c r="Q111" s="131"/>
    </row>
    <row r="112" spans="2:17" ht="21.75" thickBot="1" x14ac:dyDescent="0.3">
      <c r="B112" s="127">
        <v>111</v>
      </c>
      <c r="C112" s="153" t="s">
        <v>335</v>
      </c>
      <c r="D112" s="153" t="s">
        <v>336</v>
      </c>
      <c r="E112" s="153">
        <v>40</v>
      </c>
      <c r="F112" s="153">
        <v>93</v>
      </c>
      <c r="G112" s="153">
        <v>11</v>
      </c>
      <c r="H112" s="153" t="s">
        <v>27</v>
      </c>
      <c r="I112" s="127">
        <v>1</v>
      </c>
      <c r="J112" s="154"/>
      <c r="K112" s="109"/>
      <c r="L112" s="109"/>
      <c r="M112" s="109"/>
      <c r="N112" s="110"/>
      <c r="O112" s="110"/>
      <c r="P112" s="110">
        <v>1</v>
      </c>
      <c r="Q112" s="131"/>
    </row>
    <row r="113" spans="2:17" thickBot="1" x14ac:dyDescent="0.3">
      <c r="B113" s="127">
        <v>112</v>
      </c>
      <c r="C113" s="131" t="s">
        <v>337</v>
      </c>
      <c r="D113" s="131" t="s">
        <v>338</v>
      </c>
      <c r="E113" s="131">
        <v>40</v>
      </c>
      <c r="F113" s="131">
        <v>26</v>
      </c>
      <c r="G113" s="131">
        <v>8</v>
      </c>
      <c r="H113" s="131" t="s">
        <v>27</v>
      </c>
      <c r="I113" s="127">
        <v>1</v>
      </c>
      <c r="J113" s="127"/>
      <c r="K113" s="109"/>
      <c r="L113" s="109"/>
      <c r="M113" s="109"/>
      <c r="N113" s="110"/>
      <c r="O113" s="110"/>
      <c r="P113" s="110">
        <v>1</v>
      </c>
      <c r="Q113" s="131" t="s">
        <v>111</v>
      </c>
    </row>
    <row r="114" spans="2:17" ht="21.75" thickBot="1" x14ac:dyDescent="0.3">
      <c r="B114" s="127">
        <v>113</v>
      </c>
      <c r="C114" s="153" t="s">
        <v>314</v>
      </c>
      <c r="D114" s="153" t="s">
        <v>339</v>
      </c>
      <c r="E114" s="153">
        <v>40</v>
      </c>
      <c r="F114" s="153">
        <v>20</v>
      </c>
      <c r="G114" s="153">
        <v>9</v>
      </c>
      <c r="H114" s="153" t="s">
        <v>27</v>
      </c>
      <c r="I114" s="127">
        <v>1</v>
      </c>
      <c r="J114" s="153"/>
      <c r="K114" s="109"/>
      <c r="L114" s="109"/>
      <c r="M114" s="109"/>
      <c r="N114" s="110"/>
      <c r="O114" s="110"/>
      <c r="P114" s="110">
        <v>1</v>
      </c>
      <c r="Q114" s="131"/>
    </row>
    <row r="115" spans="2:17" ht="21.75" thickBot="1" x14ac:dyDescent="0.3">
      <c r="B115" s="127">
        <v>114</v>
      </c>
      <c r="C115" s="153" t="s">
        <v>219</v>
      </c>
      <c r="D115" s="153" t="s">
        <v>2644</v>
      </c>
      <c r="E115" s="153">
        <v>40</v>
      </c>
      <c r="F115" s="153">
        <v>45</v>
      </c>
      <c r="G115" s="153">
        <v>2</v>
      </c>
      <c r="H115" s="153" t="s">
        <v>27</v>
      </c>
      <c r="I115" s="127">
        <v>1</v>
      </c>
      <c r="J115" s="153"/>
      <c r="K115" s="109"/>
      <c r="L115" s="109"/>
      <c r="M115" s="109"/>
      <c r="N115" s="110"/>
      <c r="O115" s="110"/>
      <c r="P115" s="110">
        <v>1</v>
      </c>
      <c r="Q115" s="131"/>
    </row>
    <row r="116" spans="2:17" ht="21.75" thickBot="1" x14ac:dyDescent="0.3">
      <c r="B116" s="127">
        <v>115</v>
      </c>
      <c r="C116" s="153" t="s">
        <v>219</v>
      </c>
      <c r="D116" s="153" t="s">
        <v>340</v>
      </c>
      <c r="E116" s="153">
        <v>40</v>
      </c>
      <c r="F116" s="153">
        <v>36</v>
      </c>
      <c r="G116" s="153">
        <v>6</v>
      </c>
      <c r="H116" s="153" t="s">
        <v>27</v>
      </c>
      <c r="I116" s="127">
        <v>1</v>
      </c>
      <c r="J116" s="153"/>
      <c r="K116" s="109"/>
      <c r="L116" s="109"/>
      <c r="M116" s="109"/>
      <c r="N116" s="110"/>
      <c r="O116" s="110"/>
      <c r="P116" s="110">
        <v>1</v>
      </c>
      <c r="Q116" s="131"/>
    </row>
    <row r="117" spans="2:17" ht="21.75" thickBot="1" x14ac:dyDescent="0.3">
      <c r="B117" s="127">
        <v>116</v>
      </c>
      <c r="C117" s="153" t="s">
        <v>136</v>
      </c>
      <c r="D117" s="153" t="s">
        <v>341</v>
      </c>
      <c r="E117" s="153">
        <v>40</v>
      </c>
      <c r="F117" s="153">
        <v>48</v>
      </c>
      <c r="G117" s="153">
        <v>1</v>
      </c>
      <c r="H117" s="153" t="s">
        <v>27</v>
      </c>
      <c r="I117" s="127">
        <v>1</v>
      </c>
      <c r="J117" s="153"/>
      <c r="K117" s="109"/>
      <c r="L117" s="109"/>
      <c r="M117" s="109"/>
      <c r="N117" s="110"/>
      <c r="O117" s="110"/>
      <c r="P117" s="110">
        <v>1</v>
      </c>
      <c r="Q117" s="131"/>
    </row>
    <row r="118" spans="2:17" ht="21.75" thickBot="1" x14ac:dyDescent="0.3">
      <c r="B118" s="127">
        <v>117</v>
      </c>
      <c r="C118" s="153" t="s">
        <v>342</v>
      </c>
      <c r="D118" s="153" t="s">
        <v>343</v>
      </c>
      <c r="E118" s="153">
        <v>40</v>
      </c>
      <c r="F118" s="153">
        <v>22</v>
      </c>
      <c r="G118" s="153">
        <v>4</v>
      </c>
      <c r="H118" s="153" t="s">
        <v>27</v>
      </c>
      <c r="I118" s="127">
        <v>1</v>
      </c>
      <c r="J118" s="153"/>
      <c r="K118" s="109"/>
      <c r="L118" s="109"/>
      <c r="M118" s="109"/>
      <c r="N118" s="110"/>
      <c r="O118" s="110"/>
      <c r="P118" s="110">
        <v>1</v>
      </c>
      <c r="Q118" s="131"/>
    </row>
    <row r="119" spans="2:17" ht="21.75" thickBot="1" x14ac:dyDescent="0.3">
      <c r="B119" s="127">
        <v>118</v>
      </c>
      <c r="C119" s="153" t="s">
        <v>344</v>
      </c>
      <c r="D119" s="153" t="s">
        <v>345</v>
      </c>
      <c r="E119" s="153">
        <v>40</v>
      </c>
      <c r="F119" s="153">
        <v>45</v>
      </c>
      <c r="G119" s="153">
        <v>10</v>
      </c>
      <c r="H119" s="153" t="s">
        <v>27</v>
      </c>
      <c r="I119" s="127">
        <v>1</v>
      </c>
      <c r="J119" s="153"/>
      <c r="K119" s="109"/>
      <c r="L119" s="109"/>
      <c r="M119" s="109"/>
      <c r="N119" s="110"/>
      <c r="O119" s="110"/>
      <c r="P119" s="110">
        <v>1</v>
      </c>
      <c r="Q119" s="131"/>
    </row>
    <row r="120" spans="2:17" ht="21.75" thickBot="1" x14ac:dyDescent="0.3">
      <c r="B120" s="127">
        <v>119</v>
      </c>
      <c r="C120" s="153" t="s">
        <v>346</v>
      </c>
      <c r="D120" s="153" t="s">
        <v>347</v>
      </c>
      <c r="E120" s="153">
        <v>40</v>
      </c>
      <c r="F120" s="153">
        <v>47</v>
      </c>
      <c r="G120" s="153">
        <v>5</v>
      </c>
      <c r="H120" s="153" t="s">
        <v>27</v>
      </c>
      <c r="I120" s="127">
        <v>1</v>
      </c>
      <c r="J120" s="153"/>
      <c r="K120" s="109"/>
      <c r="L120" s="109"/>
      <c r="M120" s="109"/>
      <c r="N120" s="110"/>
      <c r="O120" s="110"/>
      <c r="P120" s="110">
        <v>1</v>
      </c>
      <c r="Q120" s="131"/>
    </row>
    <row r="121" spans="2:17" ht="21.75" thickBot="1" x14ac:dyDescent="0.3">
      <c r="B121" s="127">
        <v>120</v>
      </c>
      <c r="C121" s="153" t="s">
        <v>348</v>
      </c>
      <c r="D121" s="153" t="s">
        <v>349</v>
      </c>
      <c r="E121" s="153">
        <v>40</v>
      </c>
      <c r="F121" s="153">
        <v>15</v>
      </c>
      <c r="G121" s="153">
        <v>24</v>
      </c>
      <c r="H121" s="153" t="s">
        <v>27</v>
      </c>
      <c r="I121" s="127">
        <v>1</v>
      </c>
      <c r="J121" s="153"/>
      <c r="K121" s="109"/>
      <c r="L121" s="109"/>
      <c r="M121" s="109"/>
      <c r="N121" s="110"/>
      <c r="O121" s="110"/>
      <c r="P121" s="110">
        <v>1</v>
      </c>
      <c r="Q121" s="131"/>
    </row>
    <row r="122" spans="2:17" ht="21.75" thickBot="1" x14ac:dyDescent="0.3">
      <c r="B122" s="127">
        <v>121</v>
      </c>
      <c r="C122" s="153" t="s">
        <v>351</v>
      </c>
      <c r="D122" s="153" t="s">
        <v>352</v>
      </c>
      <c r="E122" s="153">
        <v>40</v>
      </c>
      <c r="F122" s="153">
        <v>63</v>
      </c>
      <c r="G122" s="153">
        <v>13</v>
      </c>
      <c r="H122" s="153" t="s">
        <v>27</v>
      </c>
      <c r="I122" s="127">
        <v>1</v>
      </c>
      <c r="J122" s="153"/>
      <c r="K122" s="109"/>
      <c r="L122" s="109"/>
      <c r="M122" s="109"/>
      <c r="N122" s="110"/>
      <c r="O122" s="110"/>
      <c r="P122" s="110">
        <v>1</v>
      </c>
      <c r="Q122" s="131"/>
    </row>
    <row r="123" spans="2:17" ht="21.75" thickBot="1" x14ac:dyDescent="0.3">
      <c r="B123" s="127">
        <v>122</v>
      </c>
      <c r="C123" s="153" t="s">
        <v>422</v>
      </c>
      <c r="D123" s="153" t="s">
        <v>423</v>
      </c>
      <c r="E123" s="153">
        <v>40</v>
      </c>
      <c r="F123" s="153">
        <v>31</v>
      </c>
      <c r="G123" s="153">
        <v>21</v>
      </c>
      <c r="H123" s="153" t="s">
        <v>27</v>
      </c>
      <c r="I123" s="127">
        <v>1</v>
      </c>
      <c r="J123" s="153"/>
      <c r="K123" s="109"/>
      <c r="L123" s="109"/>
      <c r="M123" s="109"/>
      <c r="N123" s="110"/>
      <c r="O123" s="110"/>
      <c r="P123" s="110">
        <v>1</v>
      </c>
      <c r="Q123" s="131"/>
    </row>
    <row r="124" spans="2:17" ht="21.75" thickBot="1" x14ac:dyDescent="0.3">
      <c r="B124" s="127">
        <v>123</v>
      </c>
      <c r="C124" s="153" t="s">
        <v>181</v>
      </c>
      <c r="D124" s="153" t="s">
        <v>353</v>
      </c>
      <c r="E124" s="153">
        <v>40</v>
      </c>
      <c r="F124" s="153">
        <v>77</v>
      </c>
      <c r="G124" s="153">
        <v>16</v>
      </c>
      <c r="H124" s="153" t="s">
        <v>27</v>
      </c>
      <c r="I124" s="127">
        <v>1</v>
      </c>
      <c r="J124" s="153"/>
      <c r="K124" s="109"/>
      <c r="L124" s="109"/>
      <c r="M124" s="109"/>
      <c r="N124" s="110"/>
      <c r="O124" s="110"/>
      <c r="P124" s="110">
        <v>1</v>
      </c>
      <c r="Q124" s="131"/>
    </row>
    <row r="125" spans="2:17" ht="21.75" thickBot="1" x14ac:dyDescent="0.3">
      <c r="B125" s="127">
        <v>124</v>
      </c>
      <c r="C125" s="153" t="s">
        <v>181</v>
      </c>
      <c r="D125" s="153" t="s">
        <v>354</v>
      </c>
      <c r="E125" s="153">
        <v>40</v>
      </c>
      <c r="F125" s="153">
        <v>35</v>
      </c>
      <c r="G125" s="153">
        <v>4</v>
      </c>
      <c r="H125" s="153" t="s">
        <v>27</v>
      </c>
      <c r="I125" s="127">
        <v>1</v>
      </c>
      <c r="J125" s="153"/>
      <c r="K125" s="109"/>
      <c r="L125" s="109"/>
      <c r="M125" s="109"/>
      <c r="N125" s="110"/>
      <c r="O125" s="110"/>
      <c r="P125" s="110">
        <v>1</v>
      </c>
      <c r="Q125" s="131"/>
    </row>
    <row r="126" spans="2:17" ht="21.75" thickBot="1" x14ac:dyDescent="0.3">
      <c r="B126" s="127">
        <v>125</v>
      </c>
      <c r="C126" s="153" t="s">
        <v>135</v>
      </c>
      <c r="D126" s="153" t="s">
        <v>1141</v>
      </c>
      <c r="E126" s="153">
        <v>40</v>
      </c>
      <c r="F126" s="153">
        <v>37</v>
      </c>
      <c r="G126" s="153">
        <v>9</v>
      </c>
      <c r="H126" s="153" t="s">
        <v>27</v>
      </c>
      <c r="I126" s="127">
        <v>1</v>
      </c>
      <c r="J126" s="153"/>
      <c r="K126" s="109"/>
      <c r="L126" s="109"/>
      <c r="M126" s="109"/>
      <c r="N126" s="110"/>
      <c r="O126" s="110"/>
      <c r="P126" s="110">
        <v>1</v>
      </c>
      <c r="Q126" s="131"/>
    </row>
    <row r="127" spans="2:17" ht="21.75" thickBot="1" x14ac:dyDescent="0.3">
      <c r="B127" s="127">
        <v>126</v>
      </c>
      <c r="C127" s="153" t="s">
        <v>181</v>
      </c>
      <c r="D127" s="153" t="s">
        <v>356</v>
      </c>
      <c r="E127" s="153">
        <v>40</v>
      </c>
      <c r="F127" s="153">
        <v>7</v>
      </c>
      <c r="G127" s="153">
        <v>24</v>
      </c>
      <c r="H127" s="153" t="s">
        <v>27</v>
      </c>
      <c r="I127" s="127">
        <v>1</v>
      </c>
      <c r="J127" s="153"/>
      <c r="K127" s="109"/>
      <c r="L127" s="109"/>
      <c r="M127" s="109"/>
      <c r="N127" s="110"/>
      <c r="O127" s="110"/>
      <c r="P127" s="110">
        <v>1</v>
      </c>
      <c r="Q127" s="131"/>
    </row>
    <row r="128" spans="2:17" ht="21.75" thickBot="1" x14ac:dyDescent="0.3">
      <c r="B128" s="127">
        <v>127</v>
      </c>
      <c r="C128" s="153" t="s">
        <v>197</v>
      </c>
      <c r="D128" s="153" t="s">
        <v>357</v>
      </c>
      <c r="E128" s="153">
        <v>40</v>
      </c>
      <c r="F128" s="153">
        <v>103</v>
      </c>
      <c r="G128" s="153">
        <v>19</v>
      </c>
      <c r="H128" s="153" t="s">
        <v>27</v>
      </c>
      <c r="I128" s="127">
        <v>1</v>
      </c>
      <c r="J128" s="153"/>
      <c r="K128" s="109"/>
      <c r="L128" s="109"/>
      <c r="M128" s="109"/>
      <c r="N128" s="110"/>
      <c r="O128" s="110"/>
      <c r="P128" s="110">
        <v>1</v>
      </c>
      <c r="Q128" s="131"/>
    </row>
    <row r="129" spans="2:17" ht="21.75" thickBot="1" x14ac:dyDescent="0.3">
      <c r="B129" s="127">
        <v>128</v>
      </c>
      <c r="C129" s="142" t="s">
        <v>302</v>
      </c>
      <c r="D129" s="142" t="s">
        <v>358</v>
      </c>
      <c r="E129" s="153">
        <v>40</v>
      </c>
      <c r="F129" s="153">
        <v>50</v>
      </c>
      <c r="G129" s="153">
        <v>1</v>
      </c>
      <c r="H129" s="153" t="s">
        <v>27</v>
      </c>
      <c r="I129" s="127">
        <v>1</v>
      </c>
      <c r="J129" s="153"/>
      <c r="K129" s="109"/>
      <c r="L129" s="109"/>
      <c r="M129" s="109"/>
      <c r="N129" s="110"/>
      <c r="O129" s="110">
        <v>1</v>
      </c>
      <c r="P129" s="110"/>
      <c r="Q129" s="131" t="s">
        <v>2645</v>
      </c>
    </row>
    <row r="130" spans="2:17" ht="21.75" thickBot="1" x14ac:dyDescent="0.3">
      <c r="B130" s="127">
        <v>129</v>
      </c>
      <c r="C130" s="153" t="s">
        <v>359</v>
      </c>
      <c r="D130" s="153" t="s">
        <v>360</v>
      </c>
      <c r="E130" s="153">
        <v>40</v>
      </c>
      <c r="F130" s="153">
        <v>55</v>
      </c>
      <c r="G130" s="153">
        <v>19</v>
      </c>
      <c r="H130" s="153" t="s">
        <v>27</v>
      </c>
      <c r="I130" s="127">
        <v>1</v>
      </c>
      <c r="J130" s="153"/>
      <c r="K130" s="109"/>
      <c r="L130" s="109"/>
      <c r="M130" s="109"/>
      <c r="N130" s="110"/>
      <c r="O130" s="110"/>
      <c r="P130" s="110">
        <v>1</v>
      </c>
      <c r="Q130" s="131"/>
    </row>
    <row r="131" spans="2:17" ht="21.75" thickBot="1" x14ac:dyDescent="0.3">
      <c r="B131" s="127">
        <v>130</v>
      </c>
      <c r="C131" s="153" t="s">
        <v>255</v>
      </c>
      <c r="D131" s="153" t="s">
        <v>361</v>
      </c>
      <c r="E131" s="153">
        <v>40</v>
      </c>
      <c r="F131" s="153">
        <v>61</v>
      </c>
      <c r="G131" s="153">
        <v>10</v>
      </c>
      <c r="H131" s="153" t="s">
        <v>27</v>
      </c>
      <c r="I131" s="127">
        <v>1</v>
      </c>
      <c r="J131" s="153"/>
      <c r="K131" s="109"/>
      <c r="L131" s="109"/>
      <c r="M131" s="109"/>
      <c r="N131" s="110"/>
      <c r="O131" s="110"/>
      <c r="P131" s="110">
        <v>1</v>
      </c>
      <c r="Q131" s="131"/>
    </row>
    <row r="132" spans="2:17" ht="21.75" thickBot="1" x14ac:dyDescent="0.3">
      <c r="B132" s="127">
        <v>131</v>
      </c>
      <c r="C132" s="153" t="s">
        <v>362</v>
      </c>
      <c r="D132" s="153" t="s">
        <v>363</v>
      </c>
      <c r="E132" s="153">
        <v>40</v>
      </c>
      <c r="F132" s="153">
        <v>43</v>
      </c>
      <c r="G132" s="153">
        <v>11</v>
      </c>
      <c r="H132" s="153" t="s">
        <v>27</v>
      </c>
      <c r="I132" s="127">
        <v>1</v>
      </c>
      <c r="J132" s="153"/>
      <c r="K132" s="109"/>
      <c r="L132" s="109"/>
      <c r="M132" s="109"/>
      <c r="N132" s="110"/>
      <c r="O132" s="110"/>
      <c r="P132" s="110">
        <v>1</v>
      </c>
      <c r="Q132" s="131"/>
    </row>
    <row r="133" spans="2:17" ht="21.75" thickBot="1" x14ac:dyDescent="0.3">
      <c r="B133" s="127">
        <v>132</v>
      </c>
      <c r="C133" s="153" t="s">
        <v>364</v>
      </c>
      <c r="D133" s="153" t="s">
        <v>365</v>
      </c>
      <c r="E133" s="153">
        <v>40</v>
      </c>
      <c r="F133" s="153">
        <v>58</v>
      </c>
      <c r="G133" s="153">
        <v>7</v>
      </c>
      <c r="H133" s="153" t="s">
        <v>27</v>
      </c>
      <c r="I133" s="127">
        <v>1</v>
      </c>
      <c r="J133" s="153"/>
      <c r="K133" s="109"/>
      <c r="L133" s="109"/>
      <c r="M133" s="109"/>
      <c r="N133" s="110"/>
      <c r="O133" s="110"/>
      <c r="P133" s="110">
        <v>1</v>
      </c>
      <c r="Q133" s="131"/>
    </row>
    <row r="134" spans="2:17" ht="21.75" thickBot="1" x14ac:dyDescent="0.3">
      <c r="B134" s="127">
        <v>133</v>
      </c>
      <c r="C134" s="153" t="s">
        <v>366</v>
      </c>
      <c r="D134" s="153" t="s">
        <v>367</v>
      </c>
      <c r="E134" s="153">
        <v>40</v>
      </c>
      <c r="F134" s="153">
        <v>88</v>
      </c>
      <c r="G134" s="153">
        <v>20</v>
      </c>
      <c r="H134" s="153" t="s">
        <v>27</v>
      </c>
      <c r="I134" s="127">
        <v>1</v>
      </c>
      <c r="J134" s="153"/>
      <c r="K134" s="109"/>
      <c r="L134" s="109"/>
      <c r="M134" s="109"/>
      <c r="N134" s="110"/>
      <c r="O134" s="110"/>
      <c r="P134" s="110">
        <v>1</v>
      </c>
      <c r="Q134" s="131"/>
    </row>
    <row r="135" spans="2:17" ht="21.75" thickBot="1" x14ac:dyDescent="0.3">
      <c r="B135" s="127">
        <v>134</v>
      </c>
      <c r="C135" s="153" t="s">
        <v>368</v>
      </c>
      <c r="D135" s="153" t="s">
        <v>369</v>
      </c>
      <c r="E135" s="153">
        <v>40</v>
      </c>
      <c r="F135" s="153">
        <v>11</v>
      </c>
      <c r="G135" s="153">
        <v>17</v>
      </c>
      <c r="H135" s="153" t="s">
        <v>27</v>
      </c>
      <c r="I135" s="127">
        <v>1</v>
      </c>
      <c r="J135" s="153"/>
      <c r="K135" s="109"/>
      <c r="L135" s="109"/>
      <c r="M135" s="109"/>
      <c r="N135" s="110"/>
      <c r="O135" s="110"/>
      <c r="P135" s="110">
        <v>1</v>
      </c>
      <c r="Q135" s="131"/>
    </row>
    <row r="136" spans="2:17" ht="21.75" thickBot="1" x14ac:dyDescent="0.3">
      <c r="B136" s="127">
        <v>135</v>
      </c>
      <c r="C136" s="153" t="s">
        <v>370</v>
      </c>
      <c r="D136" s="153" t="s">
        <v>360</v>
      </c>
      <c r="E136" s="153">
        <v>40</v>
      </c>
      <c r="F136" s="153">
        <v>57</v>
      </c>
      <c r="G136" s="153">
        <v>19</v>
      </c>
      <c r="H136" s="153" t="s">
        <v>27</v>
      </c>
      <c r="I136" s="127">
        <v>1</v>
      </c>
      <c r="J136" s="153"/>
      <c r="K136" s="109"/>
      <c r="L136" s="109"/>
      <c r="M136" s="109"/>
      <c r="N136" s="110"/>
      <c r="O136" s="110"/>
      <c r="P136" s="110">
        <v>1</v>
      </c>
      <c r="Q136" s="131"/>
    </row>
    <row r="137" spans="2:17" ht="21.75" thickBot="1" x14ac:dyDescent="0.3">
      <c r="B137" s="127">
        <v>136</v>
      </c>
      <c r="C137" s="153" t="s">
        <v>371</v>
      </c>
      <c r="D137" s="153" t="s">
        <v>372</v>
      </c>
      <c r="E137" s="153">
        <v>40</v>
      </c>
      <c r="F137" s="153">
        <v>80</v>
      </c>
      <c r="G137" s="153">
        <v>18</v>
      </c>
      <c r="H137" s="153" t="s">
        <v>27</v>
      </c>
      <c r="I137" s="127">
        <v>1</v>
      </c>
      <c r="J137" s="153"/>
      <c r="K137" s="109"/>
      <c r="L137" s="109"/>
      <c r="M137" s="109"/>
      <c r="N137" s="110"/>
      <c r="O137" s="110"/>
      <c r="P137" s="110">
        <v>1</v>
      </c>
      <c r="Q137" s="131"/>
    </row>
    <row r="138" spans="2:17" ht="21.75" thickBot="1" x14ac:dyDescent="0.3">
      <c r="B138" s="127">
        <v>137</v>
      </c>
      <c r="C138" s="153" t="s">
        <v>274</v>
      </c>
      <c r="D138" s="153" t="s">
        <v>373</v>
      </c>
      <c r="E138" s="153">
        <v>40</v>
      </c>
      <c r="F138" s="153">
        <v>54</v>
      </c>
      <c r="G138" s="153">
        <v>19</v>
      </c>
      <c r="H138" s="153" t="s">
        <v>27</v>
      </c>
      <c r="I138" s="127">
        <v>1</v>
      </c>
      <c r="J138" s="153"/>
      <c r="K138" s="109"/>
      <c r="L138" s="109"/>
      <c r="M138" s="109"/>
      <c r="N138" s="110"/>
      <c r="O138" s="110"/>
      <c r="P138" s="110">
        <v>1</v>
      </c>
      <c r="Q138" s="131"/>
    </row>
    <row r="139" spans="2:17" ht="21.75" thickBot="1" x14ac:dyDescent="0.3">
      <c r="B139" s="127">
        <v>138</v>
      </c>
      <c r="C139" s="153" t="s">
        <v>135</v>
      </c>
      <c r="D139" s="153" t="s">
        <v>98</v>
      </c>
      <c r="E139" s="153">
        <v>40</v>
      </c>
      <c r="F139" s="153">
        <v>11</v>
      </c>
      <c r="G139" s="153">
        <v>22</v>
      </c>
      <c r="H139" s="153" t="s">
        <v>27</v>
      </c>
      <c r="I139" s="127">
        <v>1</v>
      </c>
      <c r="J139" s="153"/>
      <c r="K139" s="109"/>
      <c r="L139" s="109"/>
      <c r="M139" s="109"/>
      <c r="N139" s="110"/>
      <c r="O139" s="110"/>
      <c r="P139" s="110">
        <v>1</v>
      </c>
      <c r="Q139" s="131"/>
    </row>
    <row r="140" spans="2:17" ht="21.75" thickBot="1" x14ac:dyDescent="0.3">
      <c r="B140" s="127">
        <v>139</v>
      </c>
      <c r="C140" s="153" t="s">
        <v>131</v>
      </c>
      <c r="D140" s="153" t="s">
        <v>374</v>
      </c>
      <c r="E140" s="153">
        <v>40</v>
      </c>
      <c r="F140" s="153">
        <v>41</v>
      </c>
      <c r="G140" s="153">
        <v>9</v>
      </c>
      <c r="H140" s="153" t="s">
        <v>27</v>
      </c>
      <c r="I140" s="127">
        <v>1</v>
      </c>
      <c r="J140" s="153"/>
      <c r="K140" s="109"/>
      <c r="L140" s="109"/>
      <c r="M140" s="109"/>
      <c r="N140" s="110"/>
      <c r="O140" s="110"/>
      <c r="P140" s="110">
        <v>1</v>
      </c>
      <c r="Q140" s="131"/>
    </row>
    <row r="141" spans="2:17" ht="21.75" thickBot="1" x14ac:dyDescent="0.3">
      <c r="B141" s="127">
        <v>140</v>
      </c>
      <c r="C141" s="153" t="s">
        <v>2679</v>
      </c>
      <c r="D141" s="153" t="s">
        <v>2680</v>
      </c>
      <c r="E141" s="153">
        <v>40</v>
      </c>
      <c r="F141" s="153">
        <v>7</v>
      </c>
      <c r="G141" s="153">
        <v>16</v>
      </c>
      <c r="H141" s="153" t="s">
        <v>27</v>
      </c>
      <c r="I141" s="127">
        <v>1</v>
      </c>
      <c r="J141" s="153"/>
      <c r="K141" s="109"/>
      <c r="L141" s="109"/>
      <c r="M141" s="109"/>
      <c r="N141" s="110"/>
      <c r="O141" s="110"/>
      <c r="P141" s="110">
        <v>1</v>
      </c>
      <c r="Q141" s="131"/>
    </row>
    <row r="142" spans="2:17" ht="21.75" thickBot="1" x14ac:dyDescent="0.3">
      <c r="B142" s="127">
        <v>141</v>
      </c>
      <c r="C142" s="153" t="s">
        <v>131</v>
      </c>
      <c r="D142" s="153" t="s">
        <v>375</v>
      </c>
      <c r="E142" s="153">
        <v>40</v>
      </c>
      <c r="F142" s="153">
        <v>517</v>
      </c>
      <c r="G142" s="153">
        <v>22</v>
      </c>
      <c r="H142" s="153" t="s">
        <v>27</v>
      </c>
      <c r="I142" s="127">
        <v>1</v>
      </c>
      <c r="J142" s="153"/>
      <c r="K142" s="109"/>
      <c r="L142" s="109"/>
      <c r="M142" s="109"/>
      <c r="N142" s="110"/>
      <c r="O142" s="110"/>
      <c r="P142" s="110">
        <v>1</v>
      </c>
      <c r="Q142" s="131"/>
    </row>
    <row r="143" spans="2:17" ht="39.75" thickBot="1" x14ac:dyDescent="0.3">
      <c r="B143" s="127">
        <v>142</v>
      </c>
      <c r="C143" s="153" t="s">
        <v>131</v>
      </c>
      <c r="D143" s="153" t="s">
        <v>376</v>
      </c>
      <c r="E143" s="153">
        <v>40</v>
      </c>
      <c r="F143" s="153">
        <v>97</v>
      </c>
      <c r="G143" s="153">
        <v>19</v>
      </c>
      <c r="H143" s="153" t="s">
        <v>27</v>
      </c>
      <c r="I143" s="127">
        <v>1</v>
      </c>
      <c r="J143" s="153"/>
      <c r="K143" s="109"/>
      <c r="L143" s="109"/>
      <c r="M143" s="109"/>
      <c r="N143" s="110"/>
      <c r="O143" s="110"/>
      <c r="P143" s="110">
        <v>1</v>
      </c>
      <c r="Q143" s="131" t="s">
        <v>421</v>
      </c>
    </row>
    <row r="144" spans="2:17" ht="21.75" thickBot="1" x14ac:dyDescent="0.3">
      <c r="B144" s="127">
        <v>143</v>
      </c>
      <c r="C144" s="153" t="s">
        <v>251</v>
      </c>
      <c r="D144" s="153" t="s">
        <v>252</v>
      </c>
      <c r="E144" s="153">
        <v>40</v>
      </c>
      <c r="F144" s="153">
        <v>66</v>
      </c>
      <c r="G144" s="153">
        <v>8</v>
      </c>
      <c r="H144" s="153" t="s">
        <v>27</v>
      </c>
      <c r="I144" s="127">
        <v>1</v>
      </c>
      <c r="J144" s="153"/>
      <c r="K144" s="109"/>
      <c r="L144" s="109"/>
      <c r="M144" s="109"/>
      <c r="N144" s="110"/>
      <c r="O144" s="110"/>
      <c r="P144" s="110">
        <v>1</v>
      </c>
      <c r="Q144" s="131"/>
    </row>
    <row r="145" spans="2:17" ht="21.75" thickBot="1" x14ac:dyDescent="0.3">
      <c r="B145" s="127">
        <v>144</v>
      </c>
      <c r="C145" s="153" t="s">
        <v>214</v>
      </c>
      <c r="D145" s="153" t="s">
        <v>377</v>
      </c>
      <c r="E145" s="153">
        <v>40</v>
      </c>
      <c r="F145" s="153">
        <v>28</v>
      </c>
      <c r="G145" s="153">
        <v>3</v>
      </c>
      <c r="H145" s="153" t="s">
        <v>27</v>
      </c>
      <c r="I145" s="127">
        <v>1</v>
      </c>
      <c r="J145" s="153"/>
      <c r="K145" s="109"/>
      <c r="L145" s="109"/>
      <c r="M145" s="109"/>
      <c r="N145" s="110"/>
      <c r="O145" s="110"/>
      <c r="P145" s="110">
        <v>1</v>
      </c>
      <c r="Q145" s="131"/>
    </row>
    <row r="146" spans="2:17" ht="21.75" thickBot="1" x14ac:dyDescent="0.3">
      <c r="B146" s="127">
        <v>145</v>
      </c>
      <c r="C146" s="153" t="s">
        <v>131</v>
      </c>
      <c r="D146" s="153" t="s">
        <v>378</v>
      </c>
      <c r="E146" s="153">
        <v>40</v>
      </c>
      <c r="F146" s="153">
        <v>26</v>
      </c>
      <c r="G146" s="153">
        <v>4</v>
      </c>
      <c r="H146" s="153" t="s">
        <v>27</v>
      </c>
      <c r="I146" s="127">
        <v>1</v>
      </c>
      <c r="J146" s="153"/>
      <c r="K146" s="109"/>
      <c r="L146" s="109"/>
      <c r="M146" s="109"/>
      <c r="N146" s="110"/>
      <c r="O146" s="110"/>
      <c r="P146" s="110">
        <v>1</v>
      </c>
      <c r="Q146" s="131"/>
    </row>
    <row r="147" spans="2:17" ht="21.75" thickBot="1" x14ac:dyDescent="0.3">
      <c r="B147" s="127">
        <v>146</v>
      </c>
      <c r="C147" s="153" t="s">
        <v>379</v>
      </c>
      <c r="D147" s="153" t="s">
        <v>380</v>
      </c>
      <c r="E147" s="153">
        <v>40</v>
      </c>
      <c r="F147" s="153">
        <v>118</v>
      </c>
      <c r="G147" s="153">
        <v>17</v>
      </c>
      <c r="H147" s="153" t="s">
        <v>27</v>
      </c>
      <c r="I147" s="127">
        <v>1</v>
      </c>
      <c r="J147" s="153"/>
      <c r="K147" s="109"/>
      <c r="L147" s="109"/>
      <c r="M147" s="109"/>
      <c r="N147" s="110"/>
      <c r="O147" s="110"/>
      <c r="P147" s="110">
        <v>1</v>
      </c>
      <c r="Q147" s="131"/>
    </row>
    <row r="148" spans="2:17" ht="21.75" thickBot="1" x14ac:dyDescent="0.3">
      <c r="B148" s="127">
        <v>147</v>
      </c>
      <c r="C148" s="153" t="s">
        <v>315</v>
      </c>
      <c r="D148" s="153" t="s">
        <v>381</v>
      </c>
      <c r="E148" s="153">
        <v>40</v>
      </c>
      <c r="F148" s="153">
        <v>40</v>
      </c>
      <c r="G148" s="153">
        <v>11</v>
      </c>
      <c r="H148" s="153" t="s">
        <v>27</v>
      </c>
      <c r="I148" s="127">
        <v>1</v>
      </c>
      <c r="J148" s="153"/>
      <c r="K148" s="109"/>
      <c r="L148" s="109"/>
      <c r="M148" s="109"/>
      <c r="N148" s="110"/>
      <c r="O148" s="110"/>
      <c r="P148" s="110">
        <v>1</v>
      </c>
      <c r="Q148" s="131"/>
    </row>
    <row r="149" spans="2:17" ht="21.75" thickBot="1" x14ac:dyDescent="0.3">
      <c r="B149" s="127">
        <v>148</v>
      </c>
      <c r="C149" s="153" t="s">
        <v>128</v>
      </c>
      <c r="D149" s="153" t="s">
        <v>382</v>
      </c>
      <c r="E149" s="153">
        <v>40</v>
      </c>
      <c r="F149" s="153">
        <v>58</v>
      </c>
      <c r="G149" s="153">
        <v>8</v>
      </c>
      <c r="H149" s="153" t="s">
        <v>27</v>
      </c>
      <c r="I149" s="127">
        <v>1</v>
      </c>
      <c r="J149" s="153"/>
      <c r="K149" s="109"/>
      <c r="L149" s="109"/>
      <c r="M149" s="109"/>
      <c r="N149" s="110"/>
      <c r="O149" s="110"/>
      <c r="P149" s="110">
        <v>1</v>
      </c>
      <c r="Q149" s="131"/>
    </row>
    <row r="150" spans="2:17" ht="21.75" thickBot="1" x14ac:dyDescent="0.3">
      <c r="B150" s="127">
        <v>149</v>
      </c>
      <c r="C150" s="153" t="s">
        <v>132</v>
      </c>
      <c r="D150" s="153" t="s">
        <v>383</v>
      </c>
      <c r="E150" s="153">
        <v>40</v>
      </c>
      <c r="F150" s="153">
        <v>22</v>
      </c>
      <c r="G150" s="153">
        <v>17</v>
      </c>
      <c r="H150" s="153" t="s">
        <v>27</v>
      </c>
      <c r="I150" s="127">
        <v>1</v>
      </c>
      <c r="J150" s="153"/>
      <c r="K150" s="109"/>
      <c r="L150" s="109"/>
      <c r="M150" s="109"/>
      <c r="N150" s="110"/>
      <c r="O150" s="110"/>
      <c r="P150" s="110">
        <v>1</v>
      </c>
      <c r="Q150" s="131"/>
    </row>
    <row r="151" spans="2:17" ht="21.75" thickBot="1" x14ac:dyDescent="0.3">
      <c r="B151" s="127">
        <v>150</v>
      </c>
      <c r="C151" s="153" t="s">
        <v>384</v>
      </c>
      <c r="D151" s="153" t="s">
        <v>385</v>
      </c>
      <c r="E151" s="153">
        <v>40</v>
      </c>
      <c r="F151" s="153">
        <v>8</v>
      </c>
      <c r="G151" s="153">
        <v>20</v>
      </c>
      <c r="H151" s="153" t="s">
        <v>27</v>
      </c>
      <c r="I151" s="127">
        <v>1</v>
      </c>
      <c r="J151" s="153"/>
      <c r="K151" s="109"/>
      <c r="L151" s="109"/>
      <c r="M151" s="109"/>
      <c r="N151" s="110"/>
      <c r="O151" s="110"/>
      <c r="P151" s="110">
        <v>1</v>
      </c>
      <c r="Q151" s="131"/>
    </row>
    <row r="152" spans="2:17" ht="21.75" thickBot="1" x14ac:dyDescent="0.3">
      <c r="B152" s="127">
        <v>151</v>
      </c>
      <c r="C152" s="153" t="s">
        <v>306</v>
      </c>
      <c r="D152" s="153" t="s">
        <v>386</v>
      </c>
      <c r="E152" s="153">
        <v>40</v>
      </c>
      <c r="F152" s="153">
        <v>65</v>
      </c>
      <c r="G152" s="153">
        <v>6</v>
      </c>
      <c r="H152" s="153" t="s">
        <v>27</v>
      </c>
      <c r="I152" s="127">
        <v>1</v>
      </c>
      <c r="J152" s="153"/>
      <c r="K152" s="109"/>
      <c r="L152" s="109"/>
      <c r="M152" s="109"/>
      <c r="N152" s="110"/>
      <c r="O152" s="110"/>
      <c r="P152" s="110"/>
      <c r="Q152" s="131"/>
    </row>
    <row r="153" spans="2:17" ht="21.75" thickBot="1" x14ac:dyDescent="0.3">
      <c r="B153" s="127">
        <v>152</v>
      </c>
      <c r="C153" s="153" t="s">
        <v>387</v>
      </c>
      <c r="D153" s="153" t="s">
        <v>133</v>
      </c>
      <c r="E153" s="153">
        <v>40</v>
      </c>
      <c r="F153" s="153">
        <v>59</v>
      </c>
      <c r="G153" s="153">
        <v>16</v>
      </c>
      <c r="H153" s="153" t="s">
        <v>27</v>
      </c>
      <c r="I153" s="127">
        <v>1</v>
      </c>
      <c r="J153" s="153"/>
      <c r="K153" s="109"/>
      <c r="L153" s="109"/>
      <c r="M153" s="109"/>
      <c r="N153" s="110"/>
      <c r="O153" s="110"/>
      <c r="P153" s="110">
        <v>1</v>
      </c>
      <c r="Q153" s="131"/>
    </row>
    <row r="154" spans="2:17" ht="21.75" thickBot="1" x14ac:dyDescent="0.3">
      <c r="B154" s="127">
        <v>153</v>
      </c>
      <c r="C154" s="153" t="s">
        <v>388</v>
      </c>
      <c r="D154" s="153" t="s">
        <v>389</v>
      </c>
      <c r="E154" s="153">
        <v>40</v>
      </c>
      <c r="F154" s="153">
        <v>66</v>
      </c>
      <c r="G154" s="153">
        <v>16</v>
      </c>
      <c r="H154" s="153" t="s">
        <v>27</v>
      </c>
      <c r="I154" s="127">
        <v>1</v>
      </c>
      <c r="J154" s="153"/>
      <c r="K154" s="109"/>
      <c r="L154" s="109"/>
      <c r="M154" s="109"/>
      <c r="N154" s="110"/>
      <c r="O154" s="110"/>
      <c r="P154" s="110">
        <v>1</v>
      </c>
      <c r="Q154" s="131"/>
    </row>
    <row r="155" spans="2:17" ht="21.75" thickBot="1" x14ac:dyDescent="0.3">
      <c r="B155" s="127">
        <v>154</v>
      </c>
      <c r="C155" s="153" t="s">
        <v>199</v>
      </c>
      <c r="D155" s="153" t="s">
        <v>390</v>
      </c>
      <c r="E155" s="153">
        <v>40</v>
      </c>
      <c r="F155" s="153">
        <v>57</v>
      </c>
      <c r="G155" s="153">
        <v>5</v>
      </c>
      <c r="H155" s="153" t="s">
        <v>27</v>
      </c>
      <c r="I155" s="127">
        <v>1</v>
      </c>
      <c r="J155" s="153"/>
      <c r="K155" s="109"/>
      <c r="L155" s="109"/>
      <c r="M155" s="109"/>
      <c r="N155" s="110"/>
      <c r="O155" s="110"/>
      <c r="P155" s="110">
        <v>1</v>
      </c>
      <c r="Q155" s="131"/>
    </row>
    <row r="156" spans="2:17" ht="21.75" thickBot="1" x14ac:dyDescent="0.3">
      <c r="B156" s="127">
        <v>155</v>
      </c>
      <c r="C156" s="153" t="s">
        <v>391</v>
      </c>
      <c r="D156" s="153" t="s">
        <v>392</v>
      </c>
      <c r="E156" s="153">
        <v>40</v>
      </c>
      <c r="F156" s="153">
        <v>29</v>
      </c>
      <c r="G156" s="153">
        <v>9</v>
      </c>
      <c r="H156" s="153" t="s">
        <v>27</v>
      </c>
      <c r="I156" s="127">
        <v>1</v>
      </c>
      <c r="J156" s="153"/>
      <c r="K156" s="109"/>
      <c r="L156" s="109"/>
      <c r="M156" s="109"/>
      <c r="N156" s="110"/>
      <c r="O156" s="110"/>
      <c r="P156" s="110">
        <v>1</v>
      </c>
      <c r="Q156" s="131"/>
    </row>
    <row r="157" spans="2:17" ht="21.75" thickBot="1" x14ac:dyDescent="0.3">
      <c r="B157" s="127">
        <v>156</v>
      </c>
      <c r="C157" s="153" t="s">
        <v>138</v>
      </c>
      <c r="D157" s="153" t="s">
        <v>393</v>
      </c>
      <c r="E157" s="153">
        <v>40</v>
      </c>
      <c r="F157" s="153">
        <v>115</v>
      </c>
      <c r="G157" s="153">
        <v>19</v>
      </c>
      <c r="H157" s="153" t="s">
        <v>27</v>
      </c>
      <c r="I157" s="127">
        <v>1</v>
      </c>
      <c r="J157" s="153"/>
      <c r="K157" s="109"/>
      <c r="L157" s="109"/>
      <c r="M157" s="109"/>
      <c r="N157" s="110"/>
      <c r="O157" s="110"/>
      <c r="P157" s="110">
        <v>1</v>
      </c>
      <c r="Q157" s="131"/>
    </row>
    <row r="158" spans="2:17" ht="21.75" thickBot="1" x14ac:dyDescent="0.3">
      <c r="B158" s="127">
        <v>157</v>
      </c>
      <c r="C158" s="153" t="s">
        <v>203</v>
      </c>
      <c r="D158" s="153" t="s">
        <v>394</v>
      </c>
      <c r="E158" s="153">
        <v>40</v>
      </c>
      <c r="F158" s="153">
        <v>16</v>
      </c>
      <c r="G158" s="153">
        <v>24</v>
      </c>
      <c r="H158" s="153" t="s">
        <v>27</v>
      </c>
      <c r="I158" s="127">
        <v>1</v>
      </c>
      <c r="J158" s="153"/>
      <c r="K158" s="109"/>
      <c r="L158" s="109"/>
      <c r="M158" s="109"/>
      <c r="N158" s="110"/>
      <c r="O158" s="110"/>
      <c r="P158" s="110">
        <v>1</v>
      </c>
      <c r="Q158" s="131"/>
    </row>
    <row r="159" spans="2:17" ht="21.75" thickBot="1" x14ac:dyDescent="0.3">
      <c r="B159" s="127">
        <v>158</v>
      </c>
      <c r="C159" s="153" t="s">
        <v>203</v>
      </c>
      <c r="D159" s="153" t="s">
        <v>395</v>
      </c>
      <c r="E159" s="153">
        <v>40</v>
      </c>
      <c r="F159" s="153">
        <v>25</v>
      </c>
      <c r="G159" s="153">
        <v>1</v>
      </c>
      <c r="H159" s="153" t="s">
        <v>27</v>
      </c>
      <c r="I159" s="127">
        <v>1</v>
      </c>
      <c r="J159" s="153"/>
      <c r="K159" s="109"/>
      <c r="L159" s="109"/>
      <c r="M159" s="109"/>
      <c r="N159" s="110"/>
      <c r="O159" s="110"/>
      <c r="P159" s="110">
        <v>1</v>
      </c>
      <c r="Q159" s="131"/>
    </row>
    <row r="160" spans="2:17" ht="21.75" thickBot="1" x14ac:dyDescent="0.3">
      <c r="B160" s="127">
        <v>159</v>
      </c>
      <c r="C160" s="153" t="s">
        <v>396</v>
      </c>
      <c r="D160" s="153" t="s">
        <v>397</v>
      </c>
      <c r="E160" s="153">
        <v>40</v>
      </c>
      <c r="F160" s="153">
        <v>52</v>
      </c>
      <c r="G160" s="153">
        <v>12</v>
      </c>
      <c r="H160" s="153" t="s">
        <v>27</v>
      </c>
      <c r="I160" s="127">
        <v>1</v>
      </c>
      <c r="J160" s="153"/>
      <c r="K160" s="109"/>
      <c r="L160" s="109"/>
      <c r="M160" s="109"/>
      <c r="N160" s="110"/>
      <c r="O160" s="110"/>
      <c r="P160" s="110">
        <v>1</v>
      </c>
      <c r="Q160" s="131"/>
    </row>
    <row r="161" spans="2:17" ht="21.75" thickBot="1" x14ac:dyDescent="0.3">
      <c r="B161" s="127">
        <v>160</v>
      </c>
      <c r="C161" s="153" t="s">
        <v>326</v>
      </c>
      <c r="D161" s="153" t="s">
        <v>398</v>
      </c>
      <c r="E161" s="153">
        <v>40</v>
      </c>
      <c r="F161" s="153">
        <v>50</v>
      </c>
      <c r="G161" s="153">
        <v>9</v>
      </c>
      <c r="H161" s="153" t="s">
        <v>27</v>
      </c>
      <c r="I161" s="127">
        <v>1</v>
      </c>
      <c r="J161" s="153"/>
      <c r="K161" s="109"/>
      <c r="L161" s="109"/>
      <c r="M161" s="109"/>
      <c r="N161" s="110"/>
      <c r="O161" s="110"/>
      <c r="P161" s="110">
        <v>1</v>
      </c>
      <c r="Q161" s="131"/>
    </row>
    <row r="162" spans="2:17" ht="21.75" thickBot="1" x14ac:dyDescent="0.3">
      <c r="B162" s="127">
        <v>161</v>
      </c>
      <c r="C162" s="153" t="s">
        <v>326</v>
      </c>
      <c r="D162" s="153" t="s">
        <v>399</v>
      </c>
      <c r="E162" s="153">
        <v>40</v>
      </c>
      <c r="F162" s="153">
        <v>38</v>
      </c>
      <c r="G162" s="153">
        <v>5</v>
      </c>
      <c r="H162" s="153" t="s">
        <v>27</v>
      </c>
      <c r="I162" s="127">
        <v>1</v>
      </c>
      <c r="J162" s="153"/>
      <c r="K162" s="109"/>
      <c r="L162" s="109"/>
      <c r="M162" s="109"/>
      <c r="N162" s="110"/>
      <c r="O162" s="110"/>
      <c r="P162" s="110">
        <v>1</v>
      </c>
      <c r="Q162" s="131"/>
    </row>
    <row r="163" spans="2:17" ht="21.75" thickBot="1" x14ac:dyDescent="0.3">
      <c r="B163" s="127">
        <v>162</v>
      </c>
      <c r="C163" s="153" t="s">
        <v>326</v>
      </c>
      <c r="D163" s="153" t="s">
        <v>400</v>
      </c>
      <c r="E163" s="153">
        <v>40</v>
      </c>
      <c r="F163" s="153">
        <v>48</v>
      </c>
      <c r="G163" s="153">
        <v>11</v>
      </c>
      <c r="H163" s="153" t="s">
        <v>27</v>
      </c>
      <c r="I163" s="127">
        <v>1</v>
      </c>
      <c r="J163" s="153"/>
      <c r="K163" s="109"/>
      <c r="L163" s="109"/>
      <c r="M163" s="109"/>
      <c r="N163" s="110"/>
      <c r="O163" s="110"/>
      <c r="P163" s="110">
        <v>1</v>
      </c>
      <c r="Q163" s="131"/>
    </row>
    <row r="164" spans="2:17" ht="21.75" thickBot="1" x14ac:dyDescent="0.3">
      <c r="B164" s="127">
        <v>163</v>
      </c>
      <c r="C164" s="153" t="s">
        <v>326</v>
      </c>
      <c r="D164" s="153" t="s">
        <v>401</v>
      </c>
      <c r="E164" s="153">
        <v>40</v>
      </c>
      <c r="F164" s="153">
        <v>41</v>
      </c>
      <c r="G164" s="153">
        <v>4</v>
      </c>
      <c r="H164" s="153" t="s">
        <v>27</v>
      </c>
      <c r="I164" s="127">
        <v>1</v>
      </c>
      <c r="J164" s="153"/>
      <c r="K164" s="109"/>
      <c r="L164" s="109"/>
      <c r="M164" s="109"/>
      <c r="N164" s="110"/>
      <c r="O164" s="110"/>
      <c r="P164" s="110">
        <v>1</v>
      </c>
      <c r="Q164" s="131"/>
    </row>
    <row r="165" spans="2:17" ht="21.75" thickBot="1" x14ac:dyDescent="0.3">
      <c r="B165" s="127">
        <v>164</v>
      </c>
      <c r="C165" s="153" t="s">
        <v>402</v>
      </c>
      <c r="D165" s="153" t="s">
        <v>403</v>
      </c>
      <c r="E165" s="153">
        <v>40</v>
      </c>
      <c r="F165" s="153">
        <v>62</v>
      </c>
      <c r="G165" s="153">
        <v>9</v>
      </c>
      <c r="H165" s="153" t="s">
        <v>27</v>
      </c>
      <c r="I165" s="127">
        <v>1</v>
      </c>
      <c r="J165" s="153"/>
      <c r="K165" s="109"/>
      <c r="L165" s="109"/>
      <c r="M165" s="109"/>
      <c r="N165" s="110"/>
      <c r="O165" s="110"/>
      <c r="P165" s="110">
        <v>1</v>
      </c>
      <c r="Q165" s="131"/>
    </row>
    <row r="166" spans="2:17" ht="21.75" thickBot="1" x14ac:dyDescent="0.3">
      <c r="B166" s="127">
        <v>165</v>
      </c>
      <c r="C166" s="153" t="s">
        <v>183</v>
      </c>
      <c r="D166" s="153" t="s">
        <v>2646</v>
      </c>
      <c r="E166" s="153">
        <v>40</v>
      </c>
      <c r="F166" s="153">
        <v>35</v>
      </c>
      <c r="G166" s="153">
        <v>9</v>
      </c>
      <c r="H166" s="153" t="s">
        <v>27</v>
      </c>
      <c r="I166" s="127">
        <v>1</v>
      </c>
      <c r="J166" s="153"/>
      <c r="K166" s="109"/>
      <c r="L166" s="109"/>
      <c r="M166" s="109"/>
      <c r="N166" s="110"/>
      <c r="O166" s="110"/>
      <c r="P166" s="110">
        <v>1</v>
      </c>
      <c r="Q166" s="131"/>
    </row>
    <row r="167" spans="2:17" ht="21.75" thickBot="1" x14ac:dyDescent="0.3">
      <c r="B167" s="127">
        <v>166</v>
      </c>
      <c r="C167" s="153" t="s">
        <v>183</v>
      </c>
      <c r="D167" s="153" t="s">
        <v>404</v>
      </c>
      <c r="E167" s="153">
        <v>40</v>
      </c>
      <c r="F167" s="153">
        <v>62</v>
      </c>
      <c r="G167" s="153">
        <v>6</v>
      </c>
      <c r="H167" s="153" t="s">
        <v>27</v>
      </c>
      <c r="I167" s="127">
        <v>1</v>
      </c>
      <c r="J167" s="153"/>
      <c r="K167" s="109"/>
      <c r="L167" s="109"/>
      <c r="M167" s="109"/>
      <c r="N167" s="110"/>
      <c r="O167" s="110"/>
      <c r="P167" s="110"/>
      <c r="Q167" s="131"/>
    </row>
    <row r="168" spans="2:17" ht="21.75" thickBot="1" x14ac:dyDescent="0.3">
      <c r="B168" s="127">
        <v>167</v>
      </c>
      <c r="C168" s="153" t="s">
        <v>183</v>
      </c>
      <c r="D168" s="153" t="s">
        <v>405</v>
      </c>
      <c r="E168" s="153">
        <v>40</v>
      </c>
      <c r="F168" s="153">
        <v>16</v>
      </c>
      <c r="G168" s="153">
        <v>8</v>
      </c>
      <c r="H168" s="153" t="s">
        <v>27</v>
      </c>
      <c r="I168" s="127">
        <v>1</v>
      </c>
      <c r="J168" s="153"/>
      <c r="K168" s="109"/>
      <c r="L168" s="109"/>
      <c r="M168" s="109"/>
      <c r="N168" s="110"/>
      <c r="O168" s="110"/>
      <c r="P168" s="110">
        <v>1</v>
      </c>
      <c r="Q168" s="131"/>
    </row>
    <row r="169" spans="2:17" ht="21.75" thickBot="1" x14ac:dyDescent="0.3">
      <c r="B169" s="127">
        <v>168</v>
      </c>
      <c r="C169" s="153" t="s">
        <v>406</v>
      </c>
      <c r="D169" s="153" t="s">
        <v>365</v>
      </c>
      <c r="E169" s="153">
        <v>40</v>
      </c>
      <c r="F169" s="153">
        <v>57</v>
      </c>
      <c r="G169" s="153">
        <v>17</v>
      </c>
      <c r="H169" s="153" t="s">
        <v>27</v>
      </c>
      <c r="I169" s="127">
        <v>1</v>
      </c>
      <c r="J169" s="153"/>
      <c r="K169" s="109"/>
      <c r="L169" s="109"/>
      <c r="M169" s="109"/>
      <c r="N169" s="110"/>
      <c r="O169" s="110"/>
      <c r="P169" s="110">
        <v>1</v>
      </c>
      <c r="Q169" s="131"/>
    </row>
    <row r="170" spans="2:17" ht="21.75" thickBot="1" x14ac:dyDescent="0.3">
      <c r="B170" s="127">
        <v>169</v>
      </c>
      <c r="C170" s="153" t="s">
        <v>407</v>
      </c>
      <c r="D170" s="153" t="s">
        <v>408</v>
      </c>
      <c r="E170" s="153">
        <v>40</v>
      </c>
      <c r="F170" s="153">
        <v>10</v>
      </c>
      <c r="G170" s="153">
        <v>8</v>
      </c>
      <c r="H170" s="153" t="s">
        <v>27</v>
      </c>
      <c r="I170" s="127">
        <v>1</v>
      </c>
      <c r="J170" s="153"/>
      <c r="K170" s="109"/>
      <c r="L170" s="109"/>
      <c r="M170" s="109"/>
      <c r="N170" s="110"/>
      <c r="O170" s="110"/>
      <c r="P170" s="110">
        <v>1</v>
      </c>
      <c r="Q170" s="131"/>
    </row>
    <row r="171" spans="2:17" ht="21.75" thickBot="1" x14ac:dyDescent="0.3">
      <c r="B171" s="127">
        <v>170</v>
      </c>
      <c r="C171" s="153" t="s">
        <v>409</v>
      </c>
      <c r="D171" s="153" t="s">
        <v>410</v>
      </c>
      <c r="E171" s="153">
        <v>40</v>
      </c>
      <c r="F171" s="153">
        <v>71</v>
      </c>
      <c r="G171" s="153">
        <v>19</v>
      </c>
      <c r="H171" s="153" t="s">
        <v>27</v>
      </c>
      <c r="I171" s="127">
        <v>1</v>
      </c>
      <c r="J171" s="153"/>
      <c r="K171" s="109"/>
      <c r="L171" s="109"/>
      <c r="M171" s="109"/>
      <c r="N171" s="110"/>
      <c r="O171" s="110"/>
      <c r="P171" s="110">
        <v>1</v>
      </c>
      <c r="Q171" s="131"/>
    </row>
    <row r="172" spans="2:17" ht="21.75" thickBot="1" x14ac:dyDescent="0.3">
      <c r="B172" s="127">
        <v>171</v>
      </c>
      <c r="C172" s="153" t="s">
        <v>168</v>
      </c>
      <c r="D172" s="153" t="s">
        <v>99</v>
      </c>
      <c r="E172" s="153">
        <v>40</v>
      </c>
      <c r="F172" s="153">
        <v>71</v>
      </c>
      <c r="G172" s="153">
        <v>21</v>
      </c>
      <c r="H172" s="153" t="s">
        <v>27</v>
      </c>
      <c r="I172" s="127">
        <v>1</v>
      </c>
      <c r="J172" s="153"/>
      <c r="K172" s="109"/>
      <c r="L172" s="109"/>
      <c r="M172" s="109"/>
      <c r="N172" s="110"/>
      <c r="O172" s="110"/>
      <c r="P172" s="110">
        <v>1</v>
      </c>
      <c r="Q172" s="131"/>
    </row>
    <row r="173" spans="2:17" ht="21.75" thickBot="1" x14ac:dyDescent="0.3">
      <c r="B173" s="127">
        <v>172</v>
      </c>
      <c r="C173" s="153" t="s">
        <v>411</v>
      </c>
      <c r="D173" s="153" t="s">
        <v>412</v>
      </c>
      <c r="E173" s="153">
        <v>40</v>
      </c>
      <c r="F173" s="153">
        <v>54</v>
      </c>
      <c r="G173" s="153">
        <v>5</v>
      </c>
      <c r="H173" s="153" t="s">
        <v>27</v>
      </c>
      <c r="I173" s="127">
        <v>1</v>
      </c>
      <c r="J173" s="153"/>
      <c r="K173" s="109"/>
      <c r="L173" s="109"/>
      <c r="M173" s="109"/>
      <c r="N173" s="110"/>
      <c r="O173" s="110"/>
      <c r="P173" s="110">
        <v>1</v>
      </c>
      <c r="Q173" s="131"/>
    </row>
    <row r="174" spans="2:17" ht="21.75" thickBot="1" x14ac:dyDescent="0.3">
      <c r="B174" s="127">
        <v>173</v>
      </c>
      <c r="C174" s="153" t="s">
        <v>413</v>
      </c>
      <c r="D174" s="153" t="s">
        <v>353</v>
      </c>
      <c r="E174" s="153">
        <v>40</v>
      </c>
      <c r="F174" s="153">
        <v>59</v>
      </c>
      <c r="G174" s="153">
        <v>16</v>
      </c>
      <c r="H174" s="153" t="s">
        <v>27</v>
      </c>
      <c r="I174" s="127">
        <v>1</v>
      </c>
      <c r="J174" s="153"/>
      <c r="K174" s="109"/>
      <c r="L174" s="109"/>
      <c r="M174" s="109"/>
      <c r="N174" s="110"/>
      <c r="O174" s="110"/>
      <c r="P174" s="110">
        <v>1</v>
      </c>
      <c r="Q174" s="131"/>
    </row>
    <row r="175" spans="2:17" ht="21.75" thickBot="1" x14ac:dyDescent="0.3">
      <c r="B175" s="127">
        <v>174</v>
      </c>
      <c r="C175" s="153" t="s">
        <v>415</v>
      </c>
      <c r="D175" s="153" t="s">
        <v>414</v>
      </c>
      <c r="E175" s="153">
        <v>40</v>
      </c>
      <c r="F175" s="153">
        <v>63</v>
      </c>
      <c r="G175" s="153">
        <v>7</v>
      </c>
      <c r="H175" s="153" t="s">
        <v>27</v>
      </c>
      <c r="I175" s="127">
        <v>1</v>
      </c>
      <c r="J175" s="153"/>
      <c r="K175" s="109"/>
      <c r="L175" s="109"/>
      <c r="M175" s="109"/>
      <c r="N175" s="110"/>
      <c r="O175" s="110"/>
      <c r="P175" s="110">
        <v>1</v>
      </c>
      <c r="Q175" s="131"/>
    </row>
    <row r="176" spans="2:17" ht="21.75" thickBot="1" x14ac:dyDescent="0.3">
      <c r="B176" s="127">
        <v>175</v>
      </c>
      <c r="C176" s="153" t="s">
        <v>306</v>
      </c>
      <c r="D176" s="153" t="s">
        <v>416</v>
      </c>
      <c r="E176" s="153">
        <v>40</v>
      </c>
      <c r="F176" s="153">
        <v>128</v>
      </c>
      <c r="G176" s="153">
        <v>5</v>
      </c>
      <c r="H176" s="153" t="s">
        <v>27</v>
      </c>
      <c r="I176" s="127">
        <v>1</v>
      </c>
      <c r="J176" s="153"/>
      <c r="K176" s="109"/>
      <c r="L176" s="109"/>
      <c r="M176" s="109"/>
      <c r="N176" s="110">
        <v>1</v>
      </c>
      <c r="O176" s="110"/>
      <c r="P176" s="110">
        <v>1</v>
      </c>
      <c r="Q176" s="131"/>
    </row>
    <row r="177" spans="1:17" ht="21.75" thickBot="1" x14ac:dyDescent="0.3">
      <c r="B177" s="127">
        <v>176</v>
      </c>
      <c r="C177" s="156" t="s">
        <v>171</v>
      </c>
      <c r="D177" s="156" t="s">
        <v>417</v>
      </c>
      <c r="E177" s="156">
        <v>40</v>
      </c>
      <c r="F177" s="156">
        <v>93</v>
      </c>
      <c r="G177" s="156">
        <v>14</v>
      </c>
      <c r="H177" s="156" t="s">
        <v>27</v>
      </c>
      <c r="I177" s="131">
        <v>1</v>
      </c>
      <c r="J177" s="156"/>
      <c r="K177" s="157"/>
      <c r="L177" s="157"/>
      <c r="M177" s="157"/>
      <c r="N177" s="158">
        <v>1</v>
      </c>
      <c r="O177" s="158"/>
      <c r="P177" s="158"/>
      <c r="Q177" s="155"/>
    </row>
    <row r="178" spans="1:17" thickBot="1" x14ac:dyDescent="0.3">
      <c r="A178" s="104"/>
      <c r="B178" s="127">
        <v>177</v>
      </c>
      <c r="C178" s="131" t="s">
        <v>137</v>
      </c>
      <c r="D178" s="131" t="s">
        <v>2648</v>
      </c>
      <c r="E178" s="131">
        <v>40</v>
      </c>
      <c r="F178" s="131">
        <v>96</v>
      </c>
      <c r="G178" s="131">
        <v>7</v>
      </c>
      <c r="H178" s="131" t="s">
        <v>26</v>
      </c>
      <c r="I178" s="131"/>
      <c r="J178" s="131">
        <v>1</v>
      </c>
      <c r="K178" s="109"/>
      <c r="L178" s="109"/>
      <c r="M178" s="109"/>
      <c r="N178" s="110"/>
      <c r="O178" s="110"/>
      <c r="P178" s="110"/>
      <c r="Q178" s="131" t="s">
        <v>2632</v>
      </c>
    </row>
    <row r="179" spans="1:17" thickBot="1" x14ac:dyDescent="0.3">
      <c r="A179" s="104"/>
      <c r="B179" s="127">
        <v>178</v>
      </c>
      <c r="C179" s="131" t="s">
        <v>2649</v>
      </c>
      <c r="D179" s="131" t="s">
        <v>2650</v>
      </c>
      <c r="E179" s="131">
        <v>40</v>
      </c>
      <c r="F179" s="131">
        <v>100</v>
      </c>
      <c r="G179" s="131">
        <v>8</v>
      </c>
      <c r="H179" s="131" t="s">
        <v>26</v>
      </c>
      <c r="I179" s="131"/>
      <c r="J179" s="131">
        <v>1</v>
      </c>
      <c r="K179" s="109"/>
      <c r="L179" s="109"/>
      <c r="M179" s="109"/>
      <c r="N179" s="110"/>
      <c r="O179" s="110"/>
      <c r="P179" s="110"/>
      <c r="Q179" s="131" t="s">
        <v>2632</v>
      </c>
    </row>
    <row r="180" spans="1:17" thickBot="1" x14ac:dyDescent="0.3">
      <c r="A180" s="104"/>
      <c r="B180" s="127">
        <v>179</v>
      </c>
      <c r="C180" s="131" t="s">
        <v>143</v>
      </c>
      <c r="D180" s="131" t="s">
        <v>2651</v>
      </c>
      <c r="E180" s="131">
        <v>40</v>
      </c>
      <c r="F180" s="131">
        <v>98</v>
      </c>
      <c r="G180" s="131">
        <v>8</v>
      </c>
      <c r="H180" s="131" t="s">
        <v>27</v>
      </c>
      <c r="I180" s="131">
        <v>1</v>
      </c>
      <c r="J180" s="131"/>
      <c r="K180" s="109"/>
      <c r="L180" s="109"/>
      <c r="M180" s="109"/>
      <c r="N180" s="110"/>
      <c r="O180" s="110"/>
      <c r="P180" s="110"/>
      <c r="Q180" s="131"/>
    </row>
    <row r="181" spans="1:17" thickBot="1" x14ac:dyDescent="0.3">
      <c r="A181" s="104"/>
      <c r="B181" s="127">
        <v>180</v>
      </c>
      <c r="C181" s="131" t="s">
        <v>1286</v>
      </c>
      <c r="D181" s="131" t="s">
        <v>2652</v>
      </c>
      <c r="E181" s="131">
        <v>40</v>
      </c>
      <c r="F181" s="131">
        <v>97</v>
      </c>
      <c r="G181" s="131">
        <v>8</v>
      </c>
      <c r="H181" s="131" t="s">
        <v>26</v>
      </c>
      <c r="I181" s="131"/>
      <c r="J181" s="131">
        <v>1</v>
      </c>
      <c r="K181" s="109"/>
      <c r="L181" s="109"/>
      <c r="M181" s="109"/>
      <c r="N181" s="110"/>
      <c r="O181" s="110"/>
      <c r="P181" s="110"/>
      <c r="Q181" s="131" t="s">
        <v>2632</v>
      </c>
    </row>
    <row r="182" spans="1:17" thickBot="1" x14ac:dyDescent="0.3">
      <c r="A182" s="104"/>
      <c r="B182" s="127">
        <v>181</v>
      </c>
      <c r="C182" s="131" t="s">
        <v>2653</v>
      </c>
      <c r="D182" s="131" t="s">
        <v>1839</v>
      </c>
      <c r="E182" s="131">
        <v>40</v>
      </c>
      <c r="F182" s="131">
        <v>99</v>
      </c>
      <c r="G182" s="131">
        <v>9</v>
      </c>
      <c r="H182" s="131" t="s">
        <v>26</v>
      </c>
      <c r="I182" s="131"/>
      <c r="J182" s="131">
        <v>1</v>
      </c>
      <c r="K182" s="109"/>
      <c r="L182" s="109"/>
      <c r="M182" s="109"/>
      <c r="N182" s="110"/>
      <c r="O182" s="110"/>
      <c r="P182" s="110"/>
      <c r="Q182" s="131" t="s">
        <v>2632</v>
      </c>
    </row>
    <row r="183" spans="1:17" thickBot="1" x14ac:dyDescent="0.3">
      <c r="A183" s="104"/>
      <c r="B183" s="127">
        <v>182</v>
      </c>
      <c r="C183" s="131" t="s">
        <v>2655</v>
      </c>
      <c r="D183" s="131" t="s">
        <v>1305</v>
      </c>
      <c r="E183" s="131">
        <v>40</v>
      </c>
      <c r="F183" s="131">
        <v>109</v>
      </c>
      <c r="G183" s="131">
        <v>12</v>
      </c>
      <c r="H183" s="131" t="s">
        <v>27</v>
      </c>
      <c r="I183" s="131">
        <v>1</v>
      </c>
      <c r="J183" s="131"/>
      <c r="K183" s="109"/>
      <c r="L183" s="109"/>
      <c r="M183" s="109"/>
      <c r="N183" s="110"/>
      <c r="O183" s="110"/>
      <c r="P183" s="110"/>
      <c r="Q183" s="131"/>
    </row>
    <row r="184" spans="1:17" thickBot="1" x14ac:dyDescent="0.3">
      <c r="A184" s="104"/>
      <c r="B184" s="127">
        <v>183</v>
      </c>
      <c r="C184" s="131" t="s">
        <v>1621</v>
      </c>
      <c r="D184" s="131" t="s">
        <v>2656</v>
      </c>
      <c r="E184" s="131">
        <v>40</v>
      </c>
      <c r="F184" s="131">
        <v>108</v>
      </c>
      <c r="G184" s="131">
        <v>11</v>
      </c>
      <c r="H184" s="131" t="s">
        <v>27</v>
      </c>
      <c r="I184" s="131">
        <v>1</v>
      </c>
      <c r="J184" s="131"/>
      <c r="K184" s="109"/>
      <c r="L184" s="109"/>
      <c r="M184" s="109"/>
      <c r="N184" s="110"/>
      <c r="O184" s="110"/>
      <c r="P184" s="110"/>
      <c r="Q184" s="131"/>
    </row>
    <row r="185" spans="1:17" thickBot="1" x14ac:dyDescent="0.3">
      <c r="A185" s="104"/>
      <c r="B185" s="127">
        <v>184</v>
      </c>
      <c r="C185" s="131" t="s">
        <v>1008</v>
      </c>
      <c r="D185" s="131" t="s">
        <v>712</v>
      </c>
      <c r="E185" s="131">
        <v>40</v>
      </c>
      <c r="F185" s="131">
        <v>110</v>
      </c>
      <c r="G185" s="131">
        <v>11</v>
      </c>
      <c r="H185" s="131" t="s">
        <v>27</v>
      </c>
      <c r="I185" s="131">
        <v>1</v>
      </c>
      <c r="J185" s="131"/>
      <c r="K185" s="109"/>
      <c r="L185" s="109"/>
      <c r="M185" s="109"/>
      <c r="N185" s="110"/>
      <c r="O185" s="110"/>
      <c r="P185" s="110"/>
      <c r="Q185" s="131"/>
    </row>
    <row r="186" spans="1:17" thickBot="1" x14ac:dyDescent="0.3">
      <c r="A186" s="104"/>
      <c r="B186" s="127">
        <v>185</v>
      </c>
      <c r="C186" s="131" t="s">
        <v>891</v>
      </c>
      <c r="D186" s="131" t="s">
        <v>2657</v>
      </c>
      <c r="E186" s="131">
        <v>40</v>
      </c>
      <c r="F186" s="131">
        <v>105</v>
      </c>
      <c r="G186" s="131">
        <v>10</v>
      </c>
      <c r="H186" s="131" t="s">
        <v>27</v>
      </c>
      <c r="I186" s="131">
        <v>1</v>
      </c>
      <c r="J186" s="131"/>
      <c r="K186" s="109"/>
      <c r="L186" s="109"/>
      <c r="M186" s="109"/>
      <c r="N186" s="110"/>
      <c r="O186" s="110"/>
      <c r="P186" s="110"/>
      <c r="Q186" s="131"/>
    </row>
    <row r="187" spans="1:17" thickBot="1" x14ac:dyDescent="0.3">
      <c r="A187" s="104"/>
      <c r="B187" s="127">
        <v>186</v>
      </c>
      <c r="C187" s="131" t="s">
        <v>2658</v>
      </c>
      <c r="D187" s="131" t="s">
        <v>2501</v>
      </c>
      <c r="E187" s="131">
        <v>40</v>
      </c>
      <c r="F187" s="131">
        <v>108</v>
      </c>
      <c r="G187" s="131">
        <v>6</v>
      </c>
      <c r="H187" s="131" t="s">
        <v>27</v>
      </c>
      <c r="I187" s="131">
        <v>1</v>
      </c>
      <c r="J187" s="131"/>
      <c r="K187" s="109"/>
      <c r="L187" s="109"/>
      <c r="M187" s="109"/>
      <c r="N187" s="110"/>
      <c r="O187" s="110"/>
      <c r="P187" s="110"/>
      <c r="Q187" s="131"/>
    </row>
    <row r="188" spans="1:17" thickBot="1" x14ac:dyDescent="0.3">
      <c r="A188" s="104"/>
      <c r="B188" s="127">
        <v>187</v>
      </c>
      <c r="C188" s="131" t="s">
        <v>736</v>
      </c>
      <c r="D188" s="131" t="s">
        <v>2659</v>
      </c>
      <c r="E188" s="131">
        <v>40</v>
      </c>
      <c r="F188" s="131">
        <v>113</v>
      </c>
      <c r="G188" s="131">
        <v>14</v>
      </c>
      <c r="H188" s="131" t="s">
        <v>26</v>
      </c>
      <c r="I188" s="131"/>
      <c r="J188" s="131">
        <v>1</v>
      </c>
      <c r="K188" s="109"/>
      <c r="L188" s="109"/>
      <c r="M188" s="109"/>
      <c r="N188" s="110"/>
      <c r="O188" s="110"/>
      <c r="P188" s="110"/>
      <c r="Q188" s="131" t="s">
        <v>2632</v>
      </c>
    </row>
    <row r="189" spans="1:17" thickBot="1" x14ac:dyDescent="0.3">
      <c r="A189" s="104"/>
      <c r="B189" s="127">
        <v>188</v>
      </c>
      <c r="C189" s="131" t="s">
        <v>1108</v>
      </c>
      <c r="D189" s="131" t="s">
        <v>2660</v>
      </c>
      <c r="E189" s="131">
        <v>40</v>
      </c>
      <c r="F189" s="131">
        <v>118</v>
      </c>
      <c r="G189" s="131">
        <v>9</v>
      </c>
      <c r="H189" s="131" t="s">
        <v>27</v>
      </c>
      <c r="I189" s="131">
        <v>1</v>
      </c>
      <c r="J189" s="131"/>
      <c r="K189" s="109"/>
      <c r="L189" s="109"/>
      <c r="M189" s="109"/>
      <c r="N189" s="110"/>
      <c r="O189" s="110"/>
      <c r="P189" s="110"/>
      <c r="Q189" s="131"/>
    </row>
    <row r="190" spans="1:17" thickBot="1" x14ac:dyDescent="0.3">
      <c r="A190" s="104"/>
      <c r="B190" s="127">
        <v>189</v>
      </c>
      <c r="C190" s="131" t="s">
        <v>1085</v>
      </c>
      <c r="D190" s="131" t="s">
        <v>2661</v>
      </c>
      <c r="E190" s="131">
        <v>40</v>
      </c>
      <c r="F190" s="131">
        <v>117</v>
      </c>
      <c r="G190" s="131">
        <v>8</v>
      </c>
      <c r="H190" s="131" t="s">
        <v>27</v>
      </c>
      <c r="I190" s="131">
        <v>1</v>
      </c>
      <c r="J190" s="131"/>
      <c r="K190" s="109"/>
      <c r="L190" s="109"/>
      <c r="M190" s="109"/>
      <c r="N190" s="110"/>
      <c r="O190" s="110"/>
      <c r="P190" s="110"/>
      <c r="Q190" s="131"/>
    </row>
    <row r="191" spans="1:17" thickBot="1" x14ac:dyDescent="0.3">
      <c r="A191" s="104"/>
      <c r="B191" s="127">
        <v>190</v>
      </c>
      <c r="C191" s="131" t="s">
        <v>136</v>
      </c>
      <c r="D191" s="131" t="s">
        <v>2662</v>
      </c>
      <c r="E191" s="131">
        <v>40</v>
      </c>
      <c r="F191" s="131">
        <v>103</v>
      </c>
      <c r="G191" s="131">
        <v>5</v>
      </c>
      <c r="H191" s="131" t="s">
        <v>26</v>
      </c>
      <c r="I191" s="131"/>
      <c r="J191" s="131">
        <v>1</v>
      </c>
      <c r="K191" s="109"/>
      <c r="L191" s="109"/>
      <c r="M191" s="109"/>
      <c r="N191" s="110"/>
      <c r="O191" s="110"/>
      <c r="P191" s="110"/>
      <c r="Q191" s="131" t="s">
        <v>2632</v>
      </c>
    </row>
    <row r="192" spans="1:17" thickBot="1" x14ac:dyDescent="0.3">
      <c r="A192" s="104"/>
      <c r="B192" s="127">
        <v>191</v>
      </c>
      <c r="C192" s="131" t="s">
        <v>918</v>
      </c>
      <c r="D192" s="131" t="s">
        <v>2663</v>
      </c>
      <c r="E192" s="131">
        <v>40</v>
      </c>
      <c r="F192" s="131">
        <v>110</v>
      </c>
      <c r="G192" s="131">
        <v>5</v>
      </c>
      <c r="H192" s="131" t="s">
        <v>26</v>
      </c>
      <c r="I192" s="131"/>
      <c r="J192" s="131">
        <v>1</v>
      </c>
      <c r="K192" s="109"/>
      <c r="L192" s="109"/>
      <c r="M192" s="109"/>
      <c r="N192" s="110"/>
      <c r="O192" s="110"/>
      <c r="P192" s="110"/>
      <c r="Q192" s="131" t="s">
        <v>2632</v>
      </c>
    </row>
    <row r="193" spans="1:17" thickBot="1" x14ac:dyDescent="0.3">
      <c r="A193" s="104"/>
      <c r="B193" s="127">
        <v>192</v>
      </c>
      <c r="C193" s="131" t="s">
        <v>131</v>
      </c>
      <c r="D193" s="131" t="s">
        <v>2664</v>
      </c>
      <c r="E193" s="131">
        <v>40</v>
      </c>
      <c r="F193" s="131">
        <v>117</v>
      </c>
      <c r="G193" s="131">
        <v>5</v>
      </c>
      <c r="H193" s="131" t="s">
        <v>27</v>
      </c>
      <c r="I193" s="131">
        <v>1</v>
      </c>
      <c r="J193" s="131"/>
      <c r="K193" s="109"/>
      <c r="L193" s="109"/>
      <c r="M193" s="109"/>
      <c r="N193" s="110"/>
      <c r="O193" s="110"/>
      <c r="P193" s="110"/>
      <c r="Q193" s="131"/>
    </row>
    <row r="194" spans="1:17" thickBot="1" x14ac:dyDescent="0.3">
      <c r="A194" s="104"/>
      <c r="B194" s="127">
        <v>193</v>
      </c>
      <c r="C194" s="131" t="s">
        <v>1085</v>
      </c>
      <c r="D194" s="131" t="s">
        <v>2665</v>
      </c>
      <c r="E194" s="131">
        <v>40</v>
      </c>
      <c r="F194" s="131">
        <v>102</v>
      </c>
      <c r="G194" s="131">
        <v>2</v>
      </c>
      <c r="H194" s="131" t="s">
        <v>27</v>
      </c>
      <c r="I194" s="131">
        <v>1</v>
      </c>
      <c r="J194" s="131"/>
      <c r="K194" s="109"/>
      <c r="L194" s="109"/>
      <c r="M194" s="109"/>
      <c r="N194" s="110"/>
      <c r="O194" s="110"/>
      <c r="P194" s="110"/>
      <c r="Q194" s="131"/>
    </row>
    <row r="195" spans="1:17" thickBot="1" x14ac:dyDescent="0.3">
      <c r="A195" s="104"/>
      <c r="B195" s="127">
        <v>194</v>
      </c>
      <c r="C195" s="131" t="s">
        <v>622</v>
      </c>
      <c r="D195" s="131" t="s">
        <v>2666</v>
      </c>
      <c r="E195" s="131">
        <v>40</v>
      </c>
      <c r="F195" s="131">
        <v>114</v>
      </c>
      <c r="G195" s="131">
        <v>2</v>
      </c>
      <c r="H195" s="131" t="s">
        <v>27</v>
      </c>
      <c r="I195" s="131">
        <v>1</v>
      </c>
      <c r="J195" s="131"/>
      <c r="K195" s="109"/>
      <c r="L195" s="109"/>
      <c r="M195" s="109"/>
      <c r="N195" s="110"/>
      <c r="O195" s="110"/>
      <c r="P195" s="110"/>
      <c r="Q195" s="131"/>
    </row>
    <row r="196" spans="1:17" thickBot="1" x14ac:dyDescent="0.3">
      <c r="A196" s="104"/>
      <c r="B196" s="127">
        <v>195</v>
      </c>
      <c r="C196" s="131" t="s">
        <v>135</v>
      </c>
      <c r="D196" s="131" t="s">
        <v>2667</v>
      </c>
      <c r="E196" s="131">
        <v>40</v>
      </c>
      <c r="F196" s="131">
        <v>119</v>
      </c>
      <c r="G196" s="131">
        <v>1</v>
      </c>
      <c r="H196" s="131" t="s">
        <v>27</v>
      </c>
      <c r="I196" s="131">
        <v>1</v>
      </c>
      <c r="J196" s="131"/>
      <c r="K196" s="109"/>
      <c r="L196" s="109"/>
      <c r="M196" s="109"/>
      <c r="N196" s="110"/>
      <c r="O196" s="110"/>
      <c r="P196" s="110"/>
      <c r="Q196" s="131"/>
    </row>
    <row r="197" spans="1:17" thickBot="1" x14ac:dyDescent="0.3">
      <c r="A197" s="104"/>
      <c r="B197" s="127">
        <v>196</v>
      </c>
      <c r="C197" s="131" t="s">
        <v>128</v>
      </c>
      <c r="D197" s="131" t="s">
        <v>2668</v>
      </c>
      <c r="E197" s="131">
        <v>40</v>
      </c>
      <c r="F197" s="131">
        <v>118</v>
      </c>
      <c r="G197" s="131">
        <v>2</v>
      </c>
      <c r="H197" s="131" t="s">
        <v>27</v>
      </c>
      <c r="I197" s="131">
        <v>1</v>
      </c>
      <c r="J197" s="131"/>
      <c r="K197" s="109"/>
      <c r="L197" s="109"/>
      <c r="M197" s="109"/>
      <c r="N197" s="110"/>
      <c r="O197" s="110"/>
      <c r="P197" s="110"/>
      <c r="Q197" s="131"/>
    </row>
    <row r="198" spans="1:17" thickBot="1" x14ac:dyDescent="0.3">
      <c r="A198" s="104"/>
      <c r="B198" s="127">
        <v>197</v>
      </c>
      <c r="C198" s="131" t="s">
        <v>128</v>
      </c>
      <c r="D198" s="131" t="s">
        <v>747</v>
      </c>
      <c r="E198" s="131">
        <v>40</v>
      </c>
      <c r="F198" s="131">
        <v>131</v>
      </c>
      <c r="G198" s="131">
        <v>3</v>
      </c>
      <c r="H198" s="131" t="s">
        <v>27</v>
      </c>
      <c r="I198" s="131">
        <v>1</v>
      </c>
      <c r="J198" s="131"/>
      <c r="K198" s="109"/>
      <c r="L198" s="109"/>
      <c r="M198" s="109"/>
      <c r="N198" s="110"/>
      <c r="O198" s="110"/>
      <c r="P198" s="110"/>
      <c r="Q198" s="131"/>
    </row>
    <row r="199" spans="1:17" thickBot="1" x14ac:dyDescent="0.3">
      <c r="A199" s="104"/>
      <c r="B199" s="127">
        <v>198</v>
      </c>
      <c r="C199" s="131" t="s">
        <v>2042</v>
      </c>
      <c r="D199" s="131" t="s">
        <v>2670</v>
      </c>
      <c r="E199" s="131">
        <v>40</v>
      </c>
      <c r="F199" s="131">
        <v>128</v>
      </c>
      <c r="G199" s="131">
        <v>6</v>
      </c>
      <c r="H199" s="131" t="s">
        <v>27</v>
      </c>
      <c r="I199" s="131">
        <v>1</v>
      </c>
      <c r="J199" s="131"/>
      <c r="K199" s="109"/>
      <c r="L199" s="109"/>
      <c r="M199" s="109"/>
      <c r="N199" s="110"/>
      <c r="O199" s="110"/>
      <c r="P199" s="110"/>
      <c r="Q199" s="131" t="s">
        <v>2671</v>
      </c>
    </row>
    <row r="200" spans="1:17" thickBot="1" x14ac:dyDescent="0.3">
      <c r="A200" s="104"/>
      <c r="B200" s="127">
        <v>199</v>
      </c>
      <c r="C200" s="131" t="s">
        <v>619</v>
      </c>
      <c r="D200" s="131" t="s">
        <v>2672</v>
      </c>
      <c r="E200" s="131">
        <v>40</v>
      </c>
      <c r="F200" s="131">
        <v>121</v>
      </c>
      <c r="G200" s="131">
        <v>7</v>
      </c>
      <c r="H200" s="131" t="s">
        <v>27</v>
      </c>
      <c r="I200" s="131">
        <v>1</v>
      </c>
      <c r="J200" s="131"/>
      <c r="K200" s="109"/>
      <c r="L200" s="109"/>
      <c r="M200" s="109"/>
      <c r="N200" s="110"/>
      <c r="O200" s="110"/>
      <c r="P200" s="110"/>
      <c r="Q200" s="131" t="s">
        <v>2671</v>
      </c>
    </row>
    <row r="201" spans="1:17" thickBot="1" x14ac:dyDescent="0.3">
      <c r="A201" s="104"/>
      <c r="B201" s="127">
        <v>200</v>
      </c>
      <c r="C201" s="131" t="s">
        <v>2673</v>
      </c>
      <c r="D201" s="131" t="s">
        <v>46</v>
      </c>
      <c r="E201" s="131">
        <v>40</v>
      </c>
      <c r="F201" s="131">
        <v>122</v>
      </c>
      <c r="G201" s="131">
        <v>8</v>
      </c>
      <c r="H201" s="131" t="s">
        <v>27</v>
      </c>
      <c r="I201" s="131">
        <v>1</v>
      </c>
      <c r="J201" s="131"/>
      <c r="K201" s="109"/>
      <c r="L201" s="109"/>
      <c r="M201" s="109"/>
      <c r="N201" s="110"/>
      <c r="O201" s="110"/>
      <c r="P201" s="110"/>
      <c r="Q201" s="131"/>
    </row>
    <row r="202" spans="1:17" thickBot="1" x14ac:dyDescent="0.3">
      <c r="A202" s="104"/>
      <c r="B202" s="127">
        <v>201</v>
      </c>
      <c r="C202" s="131" t="s">
        <v>362</v>
      </c>
      <c r="D202" s="131" t="s">
        <v>2674</v>
      </c>
      <c r="E202" s="131">
        <v>40</v>
      </c>
      <c r="F202" s="131">
        <v>133</v>
      </c>
      <c r="G202" s="131">
        <v>8</v>
      </c>
      <c r="H202" s="131" t="s">
        <v>27</v>
      </c>
      <c r="I202" s="131">
        <v>1</v>
      </c>
      <c r="J202" s="131"/>
      <c r="K202" s="109"/>
      <c r="L202" s="109"/>
      <c r="M202" s="109"/>
      <c r="N202" s="110"/>
      <c r="O202" s="110"/>
      <c r="P202" s="110"/>
      <c r="Q202" s="131"/>
    </row>
    <row r="203" spans="1:17" thickBot="1" x14ac:dyDescent="0.3">
      <c r="A203" s="104"/>
      <c r="B203" s="127">
        <v>202</v>
      </c>
      <c r="C203" s="131" t="s">
        <v>131</v>
      </c>
      <c r="D203" s="131" t="s">
        <v>2675</v>
      </c>
      <c r="E203" s="131">
        <v>40</v>
      </c>
      <c r="F203" s="131">
        <v>125</v>
      </c>
      <c r="G203" s="131">
        <v>12</v>
      </c>
      <c r="H203" s="131" t="s">
        <v>26</v>
      </c>
      <c r="I203" s="131"/>
      <c r="J203" s="131">
        <v>1</v>
      </c>
      <c r="K203" s="109"/>
      <c r="L203" s="109"/>
      <c r="M203" s="109"/>
      <c r="N203" s="110"/>
      <c r="O203" s="110"/>
      <c r="P203" s="110"/>
      <c r="Q203" s="131" t="s">
        <v>2632</v>
      </c>
    </row>
    <row r="204" spans="1:17" thickBot="1" x14ac:dyDescent="0.3">
      <c r="A204" s="104"/>
      <c r="B204" s="127">
        <v>203</v>
      </c>
      <c r="C204" s="131" t="s">
        <v>815</v>
      </c>
      <c r="D204" s="131" t="s">
        <v>2676</v>
      </c>
      <c r="E204" s="131">
        <v>40</v>
      </c>
      <c r="F204" s="131">
        <v>135</v>
      </c>
      <c r="G204" s="131">
        <v>10</v>
      </c>
      <c r="H204" s="131" t="s">
        <v>26</v>
      </c>
      <c r="I204" s="131"/>
      <c r="J204" s="131">
        <v>1</v>
      </c>
      <c r="K204" s="109"/>
      <c r="L204" s="109"/>
      <c r="M204" s="109"/>
      <c r="N204" s="110"/>
      <c r="O204" s="110"/>
      <c r="P204" s="110"/>
      <c r="Q204" s="131" t="s">
        <v>2632</v>
      </c>
    </row>
    <row r="205" spans="1:17" thickBot="1" x14ac:dyDescent="0.3">
      <c r="A205" s="104"/>
      <c r="B205" s="127">
        <v>204</v>
      </c>
      <c r="C205" s="131" t="s">
        <v>2677</v>
      </c>
      <c r="D205" s="131" t="s">
        <v>2678</v>
      </c>
      <c r="E205" s="131">
        <v>40</v>
      </c>
      <c r="F205" s="131">
        <v>132</v>
      </c>
      <c r="G205" s="131">
        <v>12</v>
      </c>
      <c r="H205" s="131" t="s">
        <v>26</v>
      </c>
      <c r="I205" s="131"/>
      <c r="J205" s="131">
        <v>1</v>
      </c>
      <c r="K205" s="109"/>
      <c r="L205" s="109"/>
      <c r="M205" s="109"/>
      <c r="N205" s="110"/>
      <c r="O205" s="110"/>
      <c r="P205" s="110"/>
      <c r="Q205" s="131" t="s">
        <v>2632</v>
      </c>
    </row>
    <row r="206" spans="1:17" thickBot="1" x14ac:dyDescent="0.3">
      <c r="A206" s="104"/>
      <c r="B206" s="127">
        <v>205</v>
      </c>
      <c r="C206" s="131" t="s">
        <v>734</v>
      </c>
      <c r="D206" s="131" t="s">
        <v>2678</v>
      </c>
      <c r="E206" s="131">
        <v>40</v>
      </c>
      <c r="F206" s="131">
        <v>133</v>
      </c>
      <c r="G206" s="131">
        <v>12</v>
      </c>
      <c r="H206" s="131" t="s">
        <v>27</v>
      </c>
      <c r="I206" s="131">
        <v>1</v>
      </c>
      <c r="J206" s="131"/>
      <c r="K206" s="109"/>
      <c r="L206" s="109"/>
      <c r="M206" s="109"/>
      <c r="N206" s="110"/>
      <c r="O206" s="110"/>
      <c r="P206" s="110"/>
      <c r="Q206" s="131"/>
    </row>
    <row r="207" spans="1:17" thickBot="1" x14ac:dyDescent="0.3">
      <c r="A207" s="104"/>
      <c r="B207" s="127">
        <v>206</v>
      </c>
      <c r="C207" s="131" t="s">
        <v>2681</v>
      </c>
      <c r="D207" s="131" t="s">
        <v>2682</v>
      </c>
      <c r="E207" s="131">
        <v>40</v>
      </c>
      <c r="F207" s="131">
        <v>80</v>
      </c>
      <c r="G207" s="131">
        <v>18</v>
      </c>
      <c r="H207" s="131" t="s">
        <v>27</v>
      </c>
      <c r="I207" s="131">
        <v>1</v>
      </c>
      <c r="J207" s="131"/>
      <c r="K207" s="109"/>
      <c r="L207" s="109"/>
      <c r="M207" s="109"/>
      <c r="N207" s="110"/>
      <c r="O207" s="110"/>
      <c r="P207" s="110">
        <v>1</v>
      </c>
      <c r="Q207" s="131"/>
    </row>
    <row r="208" spans="1:17" ht="19.5" x14ac:dyDescent="0.25">
      <c r="A208" s="104"/>
      <c r="B208" s="127">
        <v>207</v>
      </c>
      <c r="C208" s="131" t="s">
        <v>1230</v>
      </c>
      <c r="D208" s="131" t="s">
        <v>2683</v>
      </c>
      <c r="E208" s="131">
        <v>40</v>
      </c>
      <c r="F208" s="131">
        <v>88</v>
      </c>
      <c r="G208" s="131">
        <v>20</v>
      </c>
      <c r="H208" s="131" t="s">
        <v>27</v>
      </c>
      <c r="I208" s="131">
        <v>1</v>
      </c>
      <c r="J208" s="131"/>
      <c r="K208" s="157"/>
      <c r="L208" s="157"/>
      <c r="M208" s="157"/>
      <c r="N208" s="158"/>
      <c r="O208" s="158"/>
      <c r="P208" s="158">
        <v>1</v>
      </c>
      <c r="Q208" s="131"/>
    </row>
    <row r="209" spans="1:18" ht="19.5" x14ac:dyDescent="0.25">
      <c r="A209" s="104"/>
      <c r="B209" s="127">
        <v>208</v>
      </c>
      <c r="C209" s="155" t="s">
        <v>776</v>
      </c>
      <c r="D209" s="155" t="s">
        <v>2684</v>
      </c>
      <c r="E209" s="155">
        <v>40</v>
      </c>
      <c r="F209" s="155">
        <v>116</v>
      </c>
      <c r="G209" s="155">
        <v>21</v>
      </c>
      <c r="H209" s="131" t="s">
        <v>27</v>
      </c>
      <c r="I209" s="155">
        <v>1</v>
      </c>
      <c r="J209" s="155">
        <v>0</v>
      </c>
      <c r="K209" s="172"/>
      <c r="L209" s="172"/>
      <c r="M209" s="172"/>
      <c r="N209" s="173"/>
      <c r="O209" s="173"/>
      <c r="P209" s="173">
        <v>0</v>
      </c>
      <c r="Q209" s="155"/>
    </row>
    <row r="210" spans="1:18" ht="19.5" x14ac:dyDescent="0.25">
      <c r="A210" s="171"/>
      <c r="B210" s="131"/>
      <c r="C210" s="131"/>
      <c r="D210" s="131"/>
      <c r="E210" s="131"/>
      <c r="F210" s="131"/>
      <c r="G210" s="131"/>
      <c r="H210" s="131"/>
      <c r="I210" s="131">
        <f t="shared" ref="I210:P210" si="0">SUM(I2:I209)</f>
        <v>133</v>
      </c>
      <c r="J210" s="131">
        <f t="shared" si="0"/>
        <v>75</v>
      </c>
      <c r="K210" s="172">
        <f t="shared" si="0"/>
        <v>0</v>
      </c>
      <c r="L210" s="172">
        <f t="shared" si="0"/>
        <v>0</v>
      </c>
      <c r="M210" s="172">
        <f t="shared" si="0"/>
        <v>30</v>
      </c>
      <c r="N210" s="173">
        <f t="shared" si="0"/>
        <v>7</v>
      </c>
      <c r="O210" s="173">
        <f t="shared" si="0"/>
        <v>2</v>
      </c>
      <c r="P210" s="173">
        <f t="shared" si="0"/>
        <v>81</v>
      </c>
      <c r="Q210" s="131"/>
      <c r="R210" s="174"/>
    </row>
    <row r="211" spans="1:18" ht="249" customHeight="1" x14ac:dyDescent="0.25">
      <c r="K211" s="60"/>
      <c r="L211" s="60"/>
      <c r="M211" s="60"/>
      <c r="N211" s="60"/>
      <c r="O211" s="60"/>
      <c r="P211" s="60"/>
    </row>
    <row r="212" spans="1:18" thickBot="1" x14ac:dyDescent="0.3">
      <c r="K212" s="58"/>
      <c r="L212" s="58"/>
      <c r="M212" s="58"/>
      <c r="N212" s="59"/>
      <c r="O212" s="59"/>
      <c r="P212" s="59"/>
    </row>
    <row r="214" spans="1:18" ht="19.5" x14ac:dyDescent="0.25"/>
    <row r="215" spans="1:18" ht="19.5" x14ac:dyDescent="0.25"/>
    <row r="216" spans="1:18" ht="19.5" x14ac:dyDescent="0.25"/>
    <row r="217" spans="1:18" ht="19.5" x14ac:dyDescent="0.25"/>
    <row r="218" spans="1:18" ht="19.5" x14ac:dyDescent="0.25"/>
    <row r="219" spans="1:18" ht="19.5" x14ac:dyDescent="0.25"/>
    <row r="220" spans="1:18" ht="19.5" x14ac:dyDescent="0.25"/>
    <row r="221" spans="1:18" ht="19.5" x14ac:dyDescent="0.25"/>
    <row r="222" spans="1:18" ht="19.5" x14ac:dyDescent="0.25"/>
    <row r="223" spans="1:18" ht="19.5" x14ac:dyDescent="0.25"/>
    <row r="224" spans="1:18" ht="19.5" x14ac:dyDescent="0.25"/>
    <row r="225" ht="19.5" x14ac:dyDescent="0.25"/>
    <row r="226" ht="19.5" x14ac:dyDescent="0.25"/>
    <row r="227" ht="19.5" x14ac:dyDescent="0.25"/>
    <row r="228" ht="19.5" x14ac:dyDescent="0.25"/>
    <row r="229" ht="19.5" x14ac:dyDescent="0.25"/>
    <row r="230" ht="19.5" x14ac:dyDescent="0.25"/>
    <row r="231" ht="19.5" x14ac:dyDescent="0.25"/>
    <row r="232" ht="19.5" x14ac:dyDescent="0.25"/>
    <row r="233" ht="19.5" x14ac:dyDescent="0.25"/>
    <row r="234" ht="19.5" x14ac:dyDescent="0.25"/>
    <row r="235" ht="19.5" x14ac:dyDescent="0.25"/>
    <row r="236" ht="19.5" x14ac:dyDescent="0.25"/>
    <row r="237" ht="19.5" x14ac:dyDescent="0.25"/>
    <row r="238" ht="19.5" x14ac:dyDescent="0.25"/>
    <row r="239" ht="19.5" x14ac:dyDescent="0.25"/>
    <row r="240" ht="19.5" x14ac:dyDescent="0.25"/>
    <row r="241" ht="19.5" x14ac:dyDescent="0.25"/>
    <row r="242" ht="19.5" x14ac:dyDescent="0.25"/>
    <row r="243" ht="19.5" x14ac:dyDescent="0.25"/>
    <row r="244" ht="19.5" x14ac:dyDescent="0.25"/>
    <row r="245" ht="19.5" x14ac:dyDescent="0.25"/>
    <row r="246" ht="19.5" x14ac:dyDescent="0.25"/>
    <row r="247" ht="19.5" x14ac:dyDescent="0.25"/>
    <row r="248" ht="19.5" x14ac:dyDescent="0.25"/>
    <row r="249" ht="19.5" x14ac:dyDescent="0.25"/>
    <row r="250" ht="19.5" x14ac:dyDescent="0.25"/>
    <row r="251" ht="19.5" x14ac:dyDescent="0.25"/>
    <row r="252" ht="19.5" x14ac:dyDescent="0.25"/>
    <row r="253" ht="19.5" x14ac:dyDescent="0.25"/>
    <row r="254" ht="19.5" x14ac:dyDescent="0.25"/>
    <row r="255" ht="19.5" x14ac:dyDescent="0.25"/>
    <row r="256" ht="19.5" x14ac:dyDescent="0.25"/>
    <row r="257" ht="19.5" x14ac:dyDescent="0.25"/>
    <row r="258" ht="19.5" x14ac:dyDescent="0.25"/>
    <row r="259" ht="19.5" x14ac:dyDescent="0.25"/>
    <row r="260" ht="19.5" x14ac:dyDescent="0.25"/>
    <row r="261" ht="19.5" x14ac:dyDescent="0.25"/>
    <row r="262" ht="19.5" x14ac:dyDescent="0.25"/>
    <row r="263" ht="19.5" x14ac:dyDescent="0.25"/>
    <row r="264" ht="19.5" x14ac:dyDescent="0.25"/>
    <row r="265" ht="19.5" x14ac:dyDescent="0.25"/>
    <row r="266" ht="19.5" x14ac:dyDescent="0.25"/>
    <row r="267" ht="19.5" x14ac:dyDescent="0.25"/>
    <row r="268" ht="19.5" x14ac:dyDescent="0.25"/>
    <row r="269" ht="19.5" x14ac:dyDescent="0.25"/>
    <row r="270" ht="19.5" x14ac:dyDescent="0.25"/>
    <row r="271" ht="19.5" x14ac:dyDescent="0.25"/>
    <row r="272" ht="19.5" x14ac:dyDescent="0.25"/>
    <row r="273" ht="19.5" x14ac:dyDescent="0.25"/>
    <row r="274" ht="19.5" x14ac:dyDescent="0.25"/>
    <row r="275" ht="19.5" x14ac:dyDescent="0.25"/>
    <row r="276" ht="19.5" x14ac:dyDescent="0.25"/>
    <row r="277" ht="19.5" x14ac:dyDescent="0.25"/>
    <row r="278" ht="19.5" x14ac:dyDescent="0.25"/>
    <row r="279" ht="19.5" x14ac:dyDescent="0.25"/>
    <row r="280" ht="19.5" x14ac:dyDescent="0.25"/>
    <row r="281" ht="19.5" x14ac:dyDescent="0.25"/>
    <row r="282" ht="19.5" x14ac:dyDescent="0.25"/>
    <row r="283" ht="19.5" x14ac:dyDescent="0.25"/>
    <row r="284" ht="19.5" x14ac:dyDescent="0.25"/>
    <row r="285" ht="19.5" x14ac:dyDescent="0.25"/>
    <row r="286" ht="19.5" x14ac:dyDescent="0.25"/>
    <row r="287" ht="19.5" x14ac:dyDescent="0.25"/>
    <row r="288" ht="19.5" x14ac:dyDescent="0.25"/>
    <row r="289" ht="19.5" x14ac:dyDescent="0.25"/>
    <row r="290" ht="19.5" x14ac:dyDescent="0.25"/>
    <row r="291" ht="19.5" x14ac:dyDescent="0.25"/>
    <row r="292" ht="19.5" x14ac:dyDescent="0.25"/>
    <row r="293" ht="19.5" x14ac:dyDescent="0.25"/>
    <row r="294" ht="19.5" x14ac:dyDescent="0.25"/>
    <row r="295" ht="19.5" x14ac:dyDescent="0.25"/>
    <row r="296" ht="19.5" x14ac:dyDescent="0.25"/>
    <row r="297" ht="19.5" x14ac:dyDescent="0.25"/>
    <row r="298" ht="19.5" x14ac:dyDescent="0.25"/>
    <row r="299" ht="19.5" x14ac:dyDescent="0.25"/>
    <row r="300" ht="19.5" x14ac:dyDescent="0.25"/>
    <row r="301" ht="19.5" x14ac:dyDescent="0.25"/>
    <row r="302" ht="19.5" x14ac:dyDescent="0.25"/>
    <row r="303" ht="19.5" x14ac:dyDescent="0.25"/>
    <row r="304" ht="19.5" x14ac:dyDescent="0.25"/>
    <row r="305" ht="19.5" x14ac:dyDescent="0.25"/>
    <row r="306" ht="19.5" x14ac:dyDescent="0.25"/>
    <row r="307" ht="19.5" x14ac:dyDescent="0.25"/>
    <row r="308" ht="19.5" x14ac:dyDescent="0.25"/>
    <row r="309" ht="19.5" x14ac:dyDescent="0.25"/>
    <row r="310" ht="19.5" x14ac:dyDescent="0.25"/>
    <row r="311" ht="19.5" x14ac:dyDescent="0.25"/>
    <row r="312" ht="19.5" x14ac:dyDescent="0.25"/>
    <row r="313" ht="19.5" x14ac:dyDescent="0.25"/>
    <row r="314" ht="19.5" x14ac:dyDescent="0.25"/>
    <row r="315" ht="19.5" x14ac:dyDescent="0.25"/>
    <row r="316" ht="19.5" x14ac:dyDescent="0.25"/>
    <row r="317" ht="19.5" x14ac:dyDescent="0.25"/>
    <row r="318" ht="19.5" x14ac:dyDescent="0.25"/>
    <row r="319" ht="19.5" x14ac:dyDescent="0.25"/>
    <row r="320" ht="19.5" x14ac:dyDescent="0.25"/>
    <row r="321" ht="19.5" x14ac:dyDescent="0.25"/>
    <row r="322" ht="19.5" x14ac:dyDescent="0.25"/>
    <row r="323" ht="19.5" x14ac:dyDescent="0.25"/>
    <row r="324" ht="19.5" x14ac:dyDescent="0.25"/>
    <row r="325" ht="19.5" x14ac:dyDescent="0.25"/>
    <row r="326" ht="19.5" x14ac:dyDescent="0.25"/>
    <row r="327" ht="19.5" x14ac:dyDescent="0.25"/>
    <row r="328" ht="19.5" x14ac:dyDescent="0.25"/>
    <row r="329" ht="19.5" x14ac:dyDescent="0.25"/>
    <row r="330" ht="19.5" x14ac:dyDescent="0.25"/>
    <row r="331" ht="19.5" x14ac:dyDescent="0.25"/>
    <row r="332" ht="19.5" x14ac:dyDescent="0.25"/>
    <row r="333" ht="19.5" x14ac:dyDescent="0.25"/>
    <row r="334" ht="19.5" x14ac:dyDescent="0.25"/>
    <row r="335" ht="19.5" x14ac:dyDescent="0.25"/>
    <row r="336" ht="19.5" x14ac:dyDescent="0.25"/>
    <row r="337" ht="19.5" x14ac:dyDescent="0.25"/>
    <row r="338" ht="19.5" x14ac:dyDescent="0.25"/>
    <row r="339" ht="19.5" x14ac:dyDescent="0.25"/>
    <row r="340" ht="19.5" x14ac:dyDescent="0.25"/>
    <row r="341" ht="19.5" x14ac:dyDescent="0.25"/>
    <row r="342" ht="19.5" x14ac:dyDescent="0.25"/>
    <row r="343" ht="19.5" x14ac:dyDescent="0.25"/>
    <row r="344" ht="19.5" x14ac:dyDescent="0.25"/>
    <row r="345" ht="19.5" x14ac:dyDescent="0.25"/>
    <row r="346" ht="19.5" x14ac:dyDescent="0.25"/>
    <row r="347" ht="19.5" x14ac:dyDescent="0.25"/>
    <row r="348" ht="19.5" x14ac:dyDescent="0.25"/>
    <row r="349" ht="19.5" x14ac:dyDescent="0.25"/>
    <row r="350" ht="19.5" x14ac:dyDescent="0.25"/>
    <row r="351" ht="19.5" x14ac:dyDescent="0.25"/>
    <row r="352" ht="19.5" x14ac:dyDescent="0.25"/>
    <row r="353" ht="19.5" x14ac:dyDescent="0.25"/>
    <row r="354" ht="19.5" x14ac:dyDescent="0.25"/>
    <row r="355" ht="19.5" x14ac:dyDescent="0.25"/>
    <row r="356" ht="19.5" x14ac:dyDescent="0.25"/>
    <row r="357" ht="19.5" x14ac:dyDescent="0.25"/>
    <row r="358" ht="19.5" x14ac:dyDescent="0.25"/>
    <row r="359" ht="19.5" x14ac:dyDescent="0.25"/>
    <row r="360" ht="19.5" x14ac:dyDescent="0.25"/>
    <row r="361" ht="19.5" x14ac:dyDescent="0.25"/>
    <row r="362" ht="19.5" x14ac:dyDescent="0.25"/>
    <row r="363" ht="19.5" x14ac:dyDescent="0.25"/>
    <row r="364" ht="19.5" x14ac:dyDescent="0.25"/>
    <row r="365" ht="19.5" x14ac:dyDescent="0.25"/>
    <row r="366" ht="19.5" x14ac:dyDescent="0.25"/>
    <row r="367" ht="19.5" x14ac:dyDescent="0.25"/>
    <row r="368" ht="19.5" x14ac:dyDescent="0.25"/>
    <row r="369" ht="19.5" x14ac:dyDescent="0.25"/>
    <row r="370" ht="19.5" x14ac:dyDescent="0.25"/>
    <row r="371" ht="19.5" x14ac:dyDescent="0.25"/>
    <row r="372" ht="19.5" x14ac:dyDescent="0.25"/>
    <row r="373" ht="19.5" x14ac:dyDescent="0.25"/>
    <row r="374" ht="19.5" x14ac:dyDescent="0.25"/>
    <row r="375" ht="19.5" x14ac:dyDescent="0.25"/>
    <row r="376" ht="19.5" x14ac:dyDescent="0.25"/>
    <row r="377" ht="19.5" x14ac:dyDescent="0.25"/>
    <row r="378" ht="19.5" x14ac:dyDescent="0.25"/>
    <row r="379" ht="19.5" x14ac:dyDescent="0.25"/>
    <row r="380" ht="19.5" x14ac:dyDescent="0.25"/>
    <row r="381" ht="19.5" x14ac:dyDescent="0.25"/>
    <row r="382" ht="19.5" x14ac:dyDescent="0.25"/>
    <row r="383" ht="19.5" x14ac:dyDescent="0.25"/>
    <row r="384" ht="19.5" x14ac:dyDescent="0.25"/>
    <row r="385" ht="19.5" x14ac:dyDescent="0.25"/>
    <row r="386" ht="19.5" x14ac:dyDescent="0.25"/>
    <row r="387" ht="19.5" x14ac:dyDescent="0.25"/>
    <row r="388" ht="19.5" x14ac:dyDescent="0.25"/>
    <row r="389" ht="19.5" x14ac:dyDescent="0.25"/>
    <row r="390" ht="19.5" x14ac:dyDescent="0.25"/>
    <row r="391" ht="19.5" x14ac:dyDescent="0.25"/>
    <row r="392" ht="19.5" x14ac:dyDescent="0.25"/>
    <row r="393" ht="19.5" x14ac:dyDescent="0.25"/>
    <row r="394" ht="19.5" x14ac:dyDescent="0.25"/>
    <row r="395" ht="19.5" x14ac:dyDescent="0.25"/>
    <row r="396" ht="19.5" x14ac:dyDescent="0.25"/>
    <row r="397" ht="19.5" x14ac:dyDescent="0.25"/>
    <row r="398" ht="19.5" x14ac:dyDescent="0.25"/>
    <row r="399" ht="19.5" x14ac:dyDescent="0.25"/>
    <row r="400" ht="19.5" x14ac:dyDescent="0.25"/>
    <row r="401" ht="19.5" x14ac:dyDescent="0.25"/>
    <row r="402" ht="19.5" x14ac:dyDescent="0.25"/>
    <row r="403" ht="19.5" x14ac:dyDescent="0.25"/>
    <row r="404" ht="19.5" x14ac:dyDescent="0.25"/>
    <row r="405" ht="19.5" x14ac:dyDescent="0.25"/>
    <row r="406" ht="19.5" x14ac:dyDescent="0.25"/>
    <row r="407" ht="19.5" x14ac:dyDescent="0.25"/>
    <row r="408" ht="19.5" x14ac:dyDescent="0.25"/>
    <row r="409" ht="19.5" x14ac:dyDescent="0.25"/>
    <row r="410" ht="19.5" x14ac:dyDescent="0.25"/>
    <row r="411" ht="19.5" x14ac:dyDescent="0.25"/>
    <row r="412" ht="19.5" x14ac:dyDescent="0.25"/>
    <row r="413" ht="19.5" x14ac:dyDescent="0.25"/>
    <row r="414" ht="19.5" x14ac:dyDescent="0.25"/>
    <row r="415" ht="19.5" x14ac:dyDescent="0.25"/>
    <row r="416" ht="19.5" x14ac:dyDescent="0.25"/>
    <row r="417" ht="19.5" x14ac:dyDescent="0.25"/>
    <row r="418" ht="19.5" x14ac:dyDescent="0.25"/>
    <row r="419" ht="19.5" x14ac:dyDescent="0.25"/>
    <row r="420" ht="19.5" x14ac:dyDescent="0.25"/>
    <row r="421" ht="19.5" x14ac:dyDescent="0.25"/>
    <row r="422" ht="19.5" x14ac:dyDescent="0.25"/>
    <row r="423" ht="19.5" x14ac:dyDescent="0.25"/>
    <row r="424" ht="19.5" x14ac:dyDescent="0.25"/>
    <row r="425" ht="19.5" x14ac:dyDescent="0.25"/>
    <row r="426" ht="19.5" x14ac:dyDescent="0.25"/>
    <row r="427" ht="19.5" x14ac:dyDescent="0.25"/>
    <row r="428" ht="19.5" x14ac:dyDescent="0.25"/>
    <row r="429" ht="19.5" x14ac:dyDescent="0.25"/>
    <row r="430" ht="19.5" x14ac:dyDescent="0.25"/>
    <row r="431" ht="19.5" x14ac:dyDescent="0.25"/>
    <row r="432" ht="19.5" x14ac:dyDescent="0.25"/>
    <row r="433" ht="19.5" x14ac:dyDescent="0.25"/>
    <row r="434" ht="19.5" x14ac:dyDescent="0.25"/>
    <row r="435" ht="19.5" x14ac:dyDescent="0.25"/>
    <row r="436" ht="19.5" x14ac:dyDescent="0.25"/>
    <row r="437" ht="19.5" x14ac:dyDescent="0.25"/>
    <row r="438" ht="19.5" x14ac:dyDescent="0.25"/>
    <row r="439" ht="19.5" x14ac:dyDescent="0.25"/>
    <row r="440" ht="19.5" x14ac:dyDescent="0.25"/>
    <row r="441" ht="19.5" x14ac:dyDescent="0.25"/>
    <row r="442" ht="19.5" x14ac:dyDescent="0.25"/>
    <row r="443" ht="19.5" x14ac:dyDescent="0.25"/>
    <row r="444" ht="19.5" x14ac:dyDescent="0.25"/>
    <row r="445" ht="19.5" x14ac:dyDescent="0.25"/>
    <row r="446" ht="19.5" x14ac:dyDescent="0.25"/>
    <row r="447" ht="19.5" x14ac:dyDescent="0.25"/>
    <row r="448" ht="19.5" x14ac:dyDescent="0.25"/>
    <row r="449" ht="19.5" x14ac:dyDescent="0.25"/>
    <row r="450" ht="19.5" x14ac:dyDescent="0.25"/>
    <row r="451" ht="19.5" x14ac:dyDescent="0.25"/>
    <row r="452" ht="19.5" x14ac:dyDescent="0.25"/>
    <row r="453" ht="19.5" x14ac:dyDescent="0.25"/>
    <row r="454" ht="19.5" x14ac:dyDescent="0.25"/>
    <row r="455" ht="19.5" x14ac:dyDescent="0.25"/>
    <row r="456" ht="19.5" x14ac:dyDescent="0.25"/>
    <row r="457" ht="19.5" x14ac:dyDescent="0.25"/>
    <row r="458" ht="19.5" x14ac:dyDescent="0.25"/>
    <row r="459" ht="19.5" x14ac:dyDescent="0.25"/>
    <row r="460" ht="19.5" x14ac:dyDescent="0.25"/>
    <row r="461" ht="19.5" x14ac:dyDescent="0.25"/>
    <row r="462" ht="19.5" x14ac:dyDescent="0.25"/>
    <row r="463" ht="19.5" x14ac:dyDescent="0.25"/>
    <row r="464" ht="19.5" x14ac:dyDescent="0.25"/>
    <row r="465" ht="19.5" x14ac:dyDescent="0.25"/>
    <row r="466" ht="19.5" x14ac:dyDescent="0.25"/>
    <row r="467" ht="19.5" x14ac:dyDescent="0.25"/>
    <row r="468" ht="19.5" x14ac:dyDescent="0.25"/>
    <row r="469" ht="19.5" x14ac:dyDescent="0.25"/>
    <row r="470" ht="19.5" x14ac:dyDescent="0.25"/>
    <row r="471" ht="19.5" x14ac:dyDescent="0.25"/>
    <row r="472" ht="19.5" x14ac:dyDescent="0.25"/>
    <row r="473" ht="19.5" x14ac:dyDescent="0.25"/>
    <row r="474" ht="19.5" x14ac:dyDescent="0.25"/>
    <row r="475" ht="19.5" x14ac:dyDescent="0.25"/>
    <row r="476" ht="19.5" x14ac:dyDescent="0.25"/>
    <row r="477" ht="19.5" x14ac:dyDescent="0.25"/>
    <row r="478" ht="19.5" x14ac:dyDescent="0.25"/>
    <row r="479" ht="19.5" x14ac:dyDescent="0.25"/>
    <row r="480" ht="19.5" x14ac:dyDescent="0.25"/>
    <row r="481" ht="19.5" x14ac:dyDescent="0.25"/>
    <row r="482" ht="19.5" x14ac:dyDescent="0.25"/>
    <row r="483" ht="19.5" x14ac:dyDescent="0.25"/>
    <row r="484" ht="19.5" x14ac:dyDescent="0.25"/>
    <row r="485" ht="19.5" x14ac:dyDescent="0.25"/>
    <row r="486" ht="19.5" x14ac:dyDescent="0.25"/>
    <row r="487" ht="19.5" x14ac:dyDescent="0.25"/>
    <row r="488" ht="19.5" x14ac:dyDescent="0.25"/>
    <row r="489" ht="19.5" x14ac:dyDescent="0.25"/>
    <row r="490" ht="19.5" x14ac:dyDescent="0.25"/>
    <row r="491" ht="19.5" x14ac:dyDescent="0.25"/>
    <row r="492" ht="19.5" x14ac:dyDescent="0.25"/>
    <row r="493" ht="19.5" x14ac:dyDescent="0.25"/>
    <row r="494" ht="19.5" x14ac:dyDescent="0.25"/>
    <row r="495" ht="19.5" x14ac:dyDescent="0.25"/>
    <row r="496" ht="19.5" x14ac:dyDescent="0.25"/>
    <row r="497" ht="19.5" x14ac:dyDescent="0.25"/>
    <row r="498" ht="19.5" x14ac:dyDescent="0.25"/>
    <row r="499" ht="19.5" x14ac:dyDescent="0.25"/>
    <row r="500" ht="19.5" x14ac:dyDescent="0.25"/>
    <row r="501" ht="19.5" x14ac:dyDescent="0.25"/>
    <row r="502" ht="19.5" x14ac:dyDescent="0.25"/>
    <row r="503" ht="19.5" x14ac:dyDescent="0.25"/>
    <row r="504" ht="19.5" x14ac:dyDescent="0.25"/>
    <row r="505" ht="19.5" x14ac:dyDescent="0.25"/>
    <row r="506" ht="19.5" x14ac:dyDescent="0.25"/>
    <row r="507" ht="19.5" x14ac:dyDescent="0.25"/>
    <row r="508" ht="19.5" x14ac:dyDescent="0.25"/>
    <row r="509" ht="19.5" x14ac:dyDescent="0.25"/>
    <row r="510" ht="19.5" x14ac:dyDescent="0.25"/>
    <row r="511" ht="19.5" x14ac:dyDescent="0.25"/>
    <row r="512" ht="19.5" x14ac:dyDescent="0.25"/>
    <row r="513" ht="19.5" x14ac:dyDescent="0.25"/>
    <row r="514" ht="19.5" x14ac:dyDescent="0.25"/>
    <row r="515" ht="19.5" x14ac:dyDescent="0.25"/>
    <row r="516" ht="19.5" x14ac:dyDescent="0.25"/>
    <row r="517" ht="19.5" x14ac:dyDescent="0.25"/>
    <row r="518" ht="19.5" x14ac:dyDescent="0.25"/>
    <row r="519" ht="19.5" x14ac:dyDescent="0.25"/>
    <row r="520" ht="19.5" x14ac:dyDescent="0.25"/>
    <row r="521" ht="19.5" x14ac:dyDescent="0.25"/>
    <row r="522" ht="19.5" x14ac:dyDescent="0.25"/>
    <row r="523" ht="19.5" x14ac:dyDescent="0.25"/>
    <row r="524" ht="19.5" x14ac:dyDescent="0.25"/>
    <row r="525" ht="19.5" x14ac:dyDescent="0.25"/>
    <row r="526" ht="19.5" x14ac:dyDescent="0.25"/>
    <row r="527" ht="19.5" x14ac:dyDescent="0.25"/>
    <row r="528" ht="19.5" x14ac:dyDescent="0.25"/>
    <row r="529" ht="19.5" x14ac:dyDescent="0.25"/>
    <row r="530" ht="19.5" x14ac:dyDescent="0.25"/>
    <row r="531" ht="19.5" x14ac:dyDescent="0.25"/>
    <row r="532" ht="19.5" x14ac:dyDescent="0.25"/>
    <row r="533" ht="19.5" x14ac:dyDescent="0.25"/>
    <row r="534" ht="19.5" x14ac:dyDescent="0.25"/>
    <row r="535" ht="19.5" x14ac:dyDescent="0.25"/>
    <row r="536" ht="19.5" x14ac:dyDescent="0.25"/>
    <row r="537" ht="19.5" x14ac:dyDescent="0.25"/>
    <row r="538" ht="19.5" x14ac:dyDescent="0.25"/>
    <row r="539" ht="19.5" x14ac:dyDescent="0.25"/>
    <row r="540" ht="19.5" x14ac:dyDescent="0.25"/>
    <row r="541" ht="19.5" x14ac:dyDescent="0.25"/>
    <row r="542" ht="19.5" x14ac:dyDescent="0.25"/>
    <row r="543" ht="19.5" x14ac:dyDescent="0.25"/>
    <row r="544" ht="19.5" x14ac:dyDescent="0.25"/>
    <row r="545" ht="19.5" x14ac:dyDescent="0.25"/>
    <row r="546" ht="19.5" x14ac:dyDescent="0.25"/>
    <row r="547" ht="19.5" x14ac:dyDescent="0.25"/>
    <row r="548" ht="19.5" x14ac:dyDescent="0.25"/>
    <row r="549" ht="19.5" x14ac:dyDescent="0.25"/>
    <row r="550" ht="19.5" x14ac:dyDescent="0.25"/>
    <row r="551" ht="19.5" x14ac:dyDescent="0.25"/>
    <row r="552" ht="19.5" x14ac:dyDescent="0.25"/>
    <row r="553" ht="19.5" x14ac:dyDescent="0.25"/>
    <row r="554" ht="19.5" x14ac:dyDescent="0.25"/>
    <row r="555" ht="19.5" x14ac:dyDescent="0.25"/>
    <row r="556" ht="19.5" x14ac:dyDescent="0.25"/>
    <row r="557" ht="19.5" x14ac:dyDescent="0.25"/>
    <row r="558" ht="19.5" x14ac:dyDescent="0.25"/>
    <row r="559" ht="19.5" x14ac:dyDescent="0.25"/>
    <row r="560" ht="19.5" x14ac:dyDescent="0.25"/>
    <row r="561" ht="19.5" x14ac:dyDescent="0.25"/>
    <row r="562" ht="19.5" x14ac:dyDescent="0.25"/>
    <row r="563" ht="19.5" x14ac:dyDescent="0.25"/>
    <row r="564" ht="19.5" x14ac:dyDescent="0.25"/>
    <row r="565" ht="19.5" x14ac:dyDescent="0.25"/>
    <row r="566" ht="19.5" x14ac:dyDescent="0.25"/>
    <row r="567" ht="19.5" x14ac:dyDescent="0.25"/>
    <row r="568" ht="19.5" x14ac:dyDescent="0.25"/>
    <row r="569" ht="19.5" x14ac:dyDescent="0.25"/>
    <row r="570" ht="19.5" x14ac:dyDescent="0.25"/>
    <row r="571" ht="19.5" x14ac:dyDescent="0.25"/>
    <row r="572" ht="19.5" x14ac:dyDescent="0.25"/>
    <row r="573" ht="19.5" x14ac:dyDescent="0.25"/>
    <row r="574" ht="19.5" x14ac:dyDescent="0.25"/>
    <row r="575" ht="19.5" x14ac:dyDescent="0.25"/>
    <row r="576" ht="19.5" x14ac:dyDescent="0.25"/>
    <row r="577" ht="19.5" x14ac:dyDescent="0.25"/>
    <row r="578" ht="19.5" x14ac:dyDescent="0.25"/>
    <row r="579" ht="19.5" x14ac:dyDescent="0.25"/>
    <row r="580" ht="19.5" x14ac:dyDescent="0.25"/>
    <row r="581" ht="19.5" x14ac:dyDescent="0.25"/>
    <row r="582" ht="19.5" x14ac:dyDescent="0.25"/>
    <row r="583" ht="19.5" x14ac:dyDescent="0.25"/>
    <row r="584" ht="19.5" x14ac:dyDescent="0.25"/>
    <row r="585" ht="19.5" x14ac:dyDescent="0.25"/>
    <row r="586" ht="19.5" x14ac:dyDescent="0.25"/>
    <row r="587" ht="19.5" x14ac:dyDescent="0.25"/>
    <row r="588" ht="19.5" x14ac:dyDescent="0.25"/>
    <row r="589" ht="19.5" x14ac:dyDescent="0.25"/>
    <row r="590" ht="19.5" x14ac:dyDescent="0.25"/>
    <row r="591" ht="19.5" x14ac:dyDescent="0.25"/>
    <row r="592" ht="19.5" x14ac:dyDescent="0.25"/>
    <row r="593" ht="19.5" x14ac:dyDescent="0.25"/>
    <row r="594" ht="19.5" x14ac:dyDescent="0.25"/>
    <row r="595" ht="19.5" x14ac:dyDescent="0.25"/>
    <row r="596" ht="19.5" x14ac:dyDescent="0.25"/>
    <row r="597" ht="19.5" x14ac:dyDescent="0.25"/>
    <row r="598" ht="19.5" x14ac:dyDescent="0.25"/>
    <row r="599" ht="19.5" x14ac:dyDescent="0.25"/>
    <row r="600" ht="19.5" x14ac:dyDescent="0.25"/>
    <row r="601" ht="19.5" x14ac:dyDescent="0.25"/>
    <row r="602" ht="19.5" x14ac:dyDescent="0.25"/>
    <row r="603" ht="19.5" x14ac:dyDescent="0.25"/>
    <row r="604" ht="19.5" x14ac:dyDescent="0.25"/>
    <row r="605" ht="19.5" x14ac:dyDescent="0.25"/>
    <row r="606" ht="19.5" x14ac:dyDescent="0.25"/>
    <row r="607" ht="19.5" x14ac:dyDescent="0.25"/>
    <row r="608" ht="19.5" x14ac:dyDescent="0.25"/>
    <row r="609" ht="19.5" x14ac:dyDescent="0.25"/>
    <row r="610" ht="19.5" x14ac:dyDescent="0.25"/>
    <row r="611" ht="19.5" x14ac:dyDescent="0.25"/>
    <row r="612" ht="19.5" x14ac:dyDescent="0.25"/>
    <row r="613" ht="19.5" x14ac:dyDescent="0.25"/>
    <row r="614" ht="19.5" x14ac:dyDescent="0.25"/>
    <row r="615" ht="19.5" x14ac:dyDescent="0.25"/>
    <row r="616" ht="19.5" x14ac:dyDescent="0.25"/>
    <row r="617" ht="19.5" x14ac:dyDescent="0.25"/>
    <row r="618" ht="19.5" x14ac:dyDescent="0.25"/>
    <row r="619" ht="19.5" x14ac:dyDescent="0.25"/>
    <row r="620" ht="19.5" x14ac:dyDescent="0.25"/>
    <row r="621" ht="19.5" x14ac:dyDescent="0.25"/>
    <row r="622" ht="19.5" x14ac:dyDescent="0.25"/>
    <row r="623" ht="19.5" x14ac:dyDescent="0.25"/>
    <row r="624" ht="19.5" x14ac:dyDescent="0.25"/>
    <row r="625" ht="19.5" x14ac:dyDescent="0.25"/>
    <row r="626" ht="19.5" x14ac:dyDescent="0.25"/>
    <row r="627" ht="19.5" x14ac:dyDescent="0.25"/>
    <row r="628" ht="19.5" x14ac:dyDescent="0.25"/>
    <row r="629" ht="19.5" x14ac:dyDescent="0.25"/>
    <row r="630" ht="19.5" x14ac:dyDescent="0.25"/>
    <row r="631" ht="19.5" x14ac:dyDescent="0.25"/>
    <row r="632" ht="19.5" x14ac:dyDescent="0.25"/>
    <row r="633" ht="19.5" x14ac:dyDescent="0.25"/>
    <row r="634" ht="19.5" x14ac:dyDescent="0.25"/>
    <row r="635" ht="19.5" x14ac:dyDescent="0.25"/>
    <row r="636" ht="19.5" x14ac:dyDescent="0.25"/>
    <row r="637" ht="19.5" x14ac:dyDescent="0.25"/>
    <row r="638" ht="19.5" x14ac:dyDescent="0.25"/>
    <row r="639" ht="19.5" x14ac:dyDescent="0.25"/>
    <row r="640" ht="19.5" x14ac:dyDescent="0.25"/>
    <row r="641" ht="19.5" x14ac:dyDescent="0.25"/>
    <row r="642" ht="19.5" x14ac:dyDescent="0.25"/>
    <row r="643" ht="19.5" x14ac:dyDescent="0.25"/>
    <row r="644" ht="19.5" x14ac:dyDescent="0.25"/>
    <row r="645" ht="19.5" x14ac:dyDescent="0.25"/>
    <row r="646" ht="19.5" x14ac:dyDescent="0.25"/>
    <row r="647" ht="19.5" x14ac:dyDescent="0.25"/>
    <row r="648" ht="19.5" x14ac:dyDescent="0.25"/>
    <row r="649" ht="19.5" x14ac:dyDescent="0.25"/>
    <row r="650" ht="19.5" x14ac:dyDescent="0.25"/>
    <row r="651" ht="19.5" x14ac:dyDescent="0.25"/>
    <row r="652" ht="19.5" x14ac:dyDescent="0.25"/>
    <row r="653" ht="19.5" x14ac:dyDescent="0.25"/>
    <row r="654" ht="19.5" x14ac:dyDescent="0.25"/>
    <row r="655" ht="19.5" x14ac:dyDescent="0.25"/>
    <row r="656" ht="19.5" x14ac:dyDescent="0.25"/>
    <row r="657" ht="19.5" x14ac:dyDescent="0.25"/>
    <row r="658" ht="19.5" x14ac:dyDescent="0.25"/>
    <row r="659" ht="19.5" x14ac:dyDescent="0.25"/>
    <row r="660" ht="19.5" x14ac:dyDescent="0.25"/>
    <row r="661" ht="19.5" x14ac:dyDescent="0.25"/>
    <row r="662" ht="19.5" x14ac:dyDescent="0.25"/>
    <row r="663" ht="19.5" x14ac:dyDescent="0.25"/>
    <row r="664" ht="19.5" x14ac:dyDescent="0.25"/>
    <row r="665" ht="19.5" x14ac:dyDescent="0.25"/>
    <row r="666" ht="19.5" x14ac:dyDescent="0.25"/>
    <row r="667" ht="19.5" x14ac:dyDescent="0.25"/>
    <row r="668" ht="19.5" x14ac:dyDescent="0.25"/>
    <row r="669" ht="19.5" x14ac:dyDescent="0.25"/>
    <row r="670" ht="19.5" x14ac:dyDescent="0.25"/>
    <row r="671" ht="19.5" x14ac:dyDescent="0.25"/>
    <row r="672" ht="19.5" x14ac:dyDescent="0.25"/>
    <row r="673" ht="19.5" x14ac:dyDescent="0.25"/>
    <row r="674" ht="19.5" x14ac:dyDescent="0.25"/>
    <row r="675" ht="19.5" x14ac:dyDescent="0.25"/>
    <row r="676" ht="19.5" x14ac:dyDescent="0.25"/>
    <row r="677" ht="19.5" x14ac:dyDescent="0.25"/>
    <row r="678" ht="19.5" x14ac:dyDescent="0.25"/>
    <row r="679" ht="19.5" x14ac:dyDescent="0.25"/>
    <row r="680" ht="19.5" x14ac:dyDescent="0.25"/>
    <row r="681" ht="19.5" x14ac:dyDescent="0.25"/>
    <row r="682" ht="19.5" x14ac:dyDescent="0.25"/>
    <row r="683" ht="19.5" x14ac:dyDescent="0.25"/>
    <row r="684" ht="19.5" x14ac:dyDescent="0.25"/>
    <row r="685" ht="19.5" x14ac:dyDescent="0.25"/>
    <row r="686" ht="19.5" x14ac:dyDescent="0.25"/>
    <row r="687" ht="19.5" x14ac:dyDescent="0.25"/>
    <row r="688" ht="19.5" x14ac:dyDescent="0.25"/>
    <row r="689" ht="19.5" x14ac:dyDescent="0.25"/>
    <row r="690" ht="19.5" x14ac:dyDescent="0.25"/>
    <row r="691" ht="19.5" x14ac:dyDescent="0.25"/>
    <row r="692" ht="19.5" x14ac:dyDescent="0.25"/>
    <row r="693" ht="19.5" x14ac:dyDescent="0.25"/>
    <row r="694" ht="19.5" x14ac:dyDescent="0.25"/>
    <row r="695" ht="19.5" x14ac:dyDescent="0.25"/>
    <row r="696" ht="19.5" x14ac:dyDescent="0.25"/>
    <row r="697" ht="19.5" x14ac:dyDescent="0.25"/>
    <row r="698" ht="19.5" x14ac:dyDescent="0.25"/>
    <row r="699" ht="19.5" x14ac:dyDescent="0.25"/>
    <row r="700" ht="19.5" x14ac:dyDescent="0.25"/>
    <row r="701" ht="19.5" x14ac:dyDescent="0.25"/>
    <row r="702" ht="19.5" x14ac:dyDescent="0.25"/>
    <row r="703" ht="19.5" x14ac:dyDescent="0.25"/>
    <row r="704" ht="19.5" x14ac:dyDescent="0.25"/>
    <row r="705" ht="19.5" x14ac:dyDescent="0.25"/>
    <row r="706" ht="19.5" x14ac:dyDescent="0.25"/>
    <row r="707" ht="19.5" x14ac:dyDescent="0.25"/>
    <row r="708" ht="19.5" x14ac:dyDescent="0.25"/>
    <row r="709" ht="19.5" x14ac:dyDescent="0.25"/>
    <row r="710" ht="19.5" x14ac:dyDescent="0.25"/>
    <row r="711" ht="19.5" x14ac:dyDescent="0.25"/>
    <row r="712" ht="19.5" x14ac:dyDescent="0.25"/>
    <row r="713" ht="19.5" x14ac:dyDescent="0.25"/>
    <row r="714" ht="19.5" x14ac:dyDescent="0.25"/>
    <row r="715" ht="19.5" x14ac:dyDescent="0.25"/>
    <row r="716" ht="19.5" x14ac:dyDescent="0.25"/>
    <row r="717" ht="19.5" x14ac:dyDescent="0.25"/>
    <row r="718" ht="19.5" x14ac:dyDescent="0.25"/>
    <row r="719" ht="19.5" x14ac:dyDescent="0.25"/>
    <row r="720" ht="19.5" x14ac:dyDescent="0.25"/>
    <row r="721" ht="19.5" x14ac:dyDescent="0.25"/>
    <row r="722" ht="19.5" x14ac:dyDescent="0.25"/>
    <row r="723" ht="19.5" x14ac:dyDescent="0.25"/>
    <row r="724" ht="19.5" x14ac:dyDescent="0.25"/>
    <row r="725" ht="19.5" x14ac:dyDescent="0.25"/>
    <row r="726" ht="19.5" x14ac:dyDescent="0.25"/>
    <row r="727" ht="19.5" x14ac:dyDescent="0.25"/>
    <row r="728" ht="19.5" x14ac:dyDescent="0.25"/>
    <row r="729" ht="19.5" x14ac:dyDescent="0.25"/>
    <row r="730" ht="19.5" x14ac:dyDescent="0.25"/>
    <row r="731" ht="19.5" x14ac:dyDescent="0.25"/>
    <row r="732" ht="19.5" x14ac:dyDescent="0.25"/>
    <row r="733" ht="19.5" x14ac:dyDescent="0.25"/>
    <row r="734" ht="19.5" x14ac:dyDescent="0.25"/>
    <row r="735" ht="19.5" x14ac:dyDescent="0.25"/>
    <row r="736" ht="19.5" x14ac:dyDescent="0.25"/>
    <row r="737" ht="19.5" x14ac:dyDescent="0.25"/>
    <row r="738" ht="19.5" x14ac:dyDescent="0.25"/>
    <row r="739" ht="19.5" x14ac:dyDescent="0.25"/>
    <row r="740" ht="19.5" x14ac:dyDescent="0.25"/>
    <row r="741" ht="19.5" x14ac:dyDescent="0.25"/>
    <row r="742" ht="19.5" x14ac:dyDescent="0.25"/>
    <row r="743" ht="19.5" x14ac:dyDescent="0.25"/>
    <row r="744" ht="19.5" x14ac:dyDescent="0.25"/>
    <row r="745" ht="19.5" x14ac:dyDescent="0.25"/>
    <row r="746" ht="19.5" x14ac:dyDescent="0.25"/>
    <row r="747" ht="19.5" x14ac:dyDescent="0.25"/>
    <row r="748" ht="19.5" x14ac:dyDescent="0.25"/>
    <row r="749" ht="19.5" x14ac:dyDescent="0.25"/>
    <row r="750" ht="19.5" x14ac:dyDescent="0.25"/>
    <row r="751" ht="19.5" x14ac:dyDescent="0.25"/>
    <row r="752" ht="19.5" x14ac:dyDescent="0.25"/>
    <row r="753" ht="19.5" x14ac:dyDescent="0.25"/>
    <row r="754" ht="19.5" x14ac:dyDescent="0.25"/>
    <row r="755" ht="19.5" x14ac:dyDescent="0.25"/>
    <row r="756" ht="19.5" x14ac:dyDescent="0.25"/>
    <row r="757" ht="19.5" x14ac:dyDescent="0.25"/>
    <row r="758" ht="19.5" x14ac:dyDescent="0.25"/>
    <row r="759" ht="19.5" x14ac:dyDescent="0.25"/>
    <row r="760" ht="19.5" x14ac:dyDescent="0.25"/>
    <row r="761" ht="19.5" x14ac:dyDescent="0.25"/>
    <row r="762" ht="19.5" x14ac:dyDescent="0.25"/>
    <row r="763" ht="19.5" x14ac:dyDescent="0.25"/>
    <row r="764" ht="19.5" x14ac:dyDescent="0.25"/>
    <row r="765" ht="19.5" x14ac:dyDescent="0.25"/>
    <row r="766" ht="19.5" x14ac:dyDescent="0.25"/>
    <row r="767" ht="19.5" x14ac:dyDescent="0.25"/>
    <row r="768" ht="19.5" x14ac:dyDescent="0.25"/>
    <row r="769" ht="19.5" x14ac:dyDescent="0.25"/>
    <row r="770" ht="19.5" x14ac:dyDescent="0.25"/>
    <row r="771" ht="19.5" x14ac:dyDescent="0.25"/>
    <row r="772" ht="19.5" x14ac:dyDescent="0.25"/>
    <row r="773" ht="19.5" x14ac:dyDescent="0.25"/>
    <row r="774" ht="19.5" x14ac:dyDescent="0.25"/>
    <row r="775" ht="19.5" x14ac:dyDescent="0.25"/>
    <row r="776" ht="19.5" x14ac:dyDescent="0.25"/>
    <row r="777" ht="19.5" x14ac:dyDescent="0.25"/>
    <row r="778" ht="19.5" x14ac:dyDescent="0.25"/>
    <row r="779" ht="19.5" x14ac:dyDescent="0.25"/>
    <row r="780" ht="19.5" x14ac:dyDescent="0.25"/>
    <row r="781" ht="19.5" x14ac:dyDescent="0.25"/>
    <row r="782" ht="19.5" x14ac:dyDescent="0.25"/>
    <row r="783" ht="19.5" x14ac:dyDescent="0.25"/>
    <row r="784" ht="19.5" x14ac:dyDescent="0.25"/>
    <row r="785" ht="19.5" x14ac:dyDescent="0.25"/>
    <row r="786" ht="19.5" x14ac:dyDescent="0.25"/>
    <row r="787" ht="19.5" x14ac:dyDescent="0.25"/>
    <row r="788" ht="19.5" x14ac:dyDescent="0.25"/>
    <row r="789" ht="19.5" x14ac:dyDescent="0.25"/>
    <row r="790" ht="19.5" x14ac:dyDescent="0.25"/>
    <row r="791" ht="19.5" x14ac:dyDescent="0.25"/>
    <row r="792" ht="19.5" x14ac:dyDescent="0.25"/>
    <row r="793" ht="19.5" x14ac:dyDescent="0.25"/>
    <row r="794" ht="19.5" x14ac:dyDescent="0.25"/>
    <row r="795" ht="19.5" x14ac:dyDescent="0.25"/>
    <row r="796" ht="19.5" x14ac:dyDescent="0.25"/>
    <row r="797" ht="19.5" x14ac:dyDescent="0.25"/>
    <row r="798" ht="19.5" x14ac:dyDescent="0.25"/>
    <row r="799" ht="19.5" x14ac:dyDescent="0.25"/>
    <row r="800" ht="19.5" x14ac:dyDescent="0.25"/>
    <row r="801" ht="19.5" x14ac:dyDescent="0.25"/>
    <row r="802" ht="19.5" x14ac:dyDescent="0.25"/>
    <row r="803" ht="19.5" x14ac:dyDescent="0.25"/>
    <row r="804" ht="19.5" x14ac:dyDescent="0.25"/>
    <row r="805" ht="19.5" x14ac:dyDescent="0.25"/>
    <row r="806" ht="19.5" x14ac:dyDescent="0.25"/>
    <row r="807" ht="19.5" x14ac:dyDescent="0.25"/>
    <row r="808" ht="19.5" x14ac:dyDescent="0.25"/>
    <row r="809" ht="19.5" x14ac:dyDescent="0.25"/>
    <row r="810" ht="19.5" x14ac:dyDescent="0.25"/>
    <row r="811" ht="19.5" x14ac:dyDescent="0.25"/>
    <row r="812" ht="19.5" x14ac:dyDescent="0.25"/>
    <row r="813" ht="19.5" x14ac:dyDescent="0.25"/>
    <row r="814" ht="19.5" x14ac:dyDescent="0.25"/>
    <row r="815" ht="19.5" x14ac:dyDescent="0.25"/>
    <row r="816" ht="19.5" x14ac:dyDescent="0.25"/>
    <row r="817" ht="19.5" x14ac:dyDescent="0.25"/>
    <row r="818" ht="19.5" x14ac:dyDescent="0.25"/>
    <row r="819" ht="19.5" x14ac:dyDescent="0.25"/>
    <row r="820" ht="19.5" x14ac:dyDescent="0.25"/>
    <row r="821" ht="19.5" x14ac:dyDescent="0.25"/>
    <row r="822" ht="19.5" x14ac:dyDescent="0.25"/>
    <row r="823" ht="19.5" x14ac:dyDescent="0.25"/>
    <row r="824" ht="19.5" x14ac:dyDescent="0.25"/>
    <row r="825" ht="19.5" x14ac:dyDescent="0.25"/>
    <row r="826" ht="19.5" x14ac:dyDescent="0.25"/>
    <row r="827" ht="19.5" x14ac:dyDescent="0.25"/>
    <row r="828" ht="19.5" x14ac:dyDescent="0.25"/>
    <row r="829" ht="19.5" x14ac:dyDescent="0.25"/>
    <row r="830" ht="19.5" x14ac:dyDescent="0.25"/>
    <row r="831" ht="19.5" x14ac:dyDescent="0.25"/>
    <row r="832" ht="19.5" x14ac:dyDescent="0.25"/>
    <row r="833" ht="19.5" x14ac:dyDescent="0.25"/>
    <row r="834" ht="19.5" x14ac:dyDescent="0.25"/>
    <row r="835" ht="19.5" x14ac:dyDescent="0.25"/>
    <row r="836" ht="19.5" x14ac:dyDescent="0.25"/>
    <row r="837" ht="19.5" x14ac:dyDescent="0.25"/>
    <row r="838" ht="19.5" x14ac:dyDescent="0.25"/>
    <row r="839" ht="19.5" x14ac:dyDescent="0.25"/>
    <row r="840" ht="19.5" x14ac:dyDescent="0.25"/>
    <row r="841" ht="19.5" x14ac:dyDescent="0.25"/>
    <row r="842" ht="19.5" x14ac:dyDescent="0.25"/>
    <row r="843" ht="19.5" x14ac:dyDescent="0.25"/>
    <row r="844" ht="19.5" x14ac:dyDescent="0.25"/>
    <row r="845" ht="19.5" x14ac:dyDescent="0.25"/>
    <row r="846" ht="19.5" x14ac:dyDescent="0.25"/>
    <row r="847" ht="19.5" x14ac:dyDescent="0.25"/>
    <row r="848" ht="19.5" x14ac:dyDescent="0.25"/>
    <row r="849" ht="19.5" x14ac:dyDescent="0.25"/>
    <row r="850" ht="19.5" x14ac:dyDescent="0.25"/>
    <row r="851" ht="19.5" x14ac:dyDescent="0.25"/>
    <row r="852" ht="19.5" x14ac:dyDescent="0.25"/>
    <row r="853" ht="19.5" x14ac:dyDescent="0.25"/>
    <row r="854" ht="19.5" x14ac:dyDescent="0.25"/>
    <row r="855" ht="19.5" x14ac:dyDescent="0.25"/>
    <row r="856" ht="19.5" x14ac:dyDescent="0.25"/>
    <row r="857" ht="19.5" x14ac:dyDescent="0.25"/>
    <row r="858" ht="19.5" x14ac:dyDescent="0.25"/>
    <row r="859" ht="19.5" x14ac:dyDescent="0.25"/>
    <row r="860" ht="19.5" x14ac:dyDescent="0.25"/>
    <row r="861" ht="19.5" x14ac:dyDescent="0.25"/>
    <row r="862" ht="19.5" x14ac:dyDescent="0.25"/>
    <row r="863" ht="19.5" x14ac:dyDescent="0.25"/>
    <row r="864" ht="19.5" x14ac:dyDescent="0.25"/>
    <row r="865" ht="19.5" x14ac:dyDescent="0.25"/>
    <row r="866" ht="19.5" x14ac:dyDescent="0.25"/>
    <row r="867" ht="19.5" x14ac:dyDescent="0.25"/>
    <row r="868" ht="19.5" x14ac:dyDescent="0.25"/>
    <row r="869" ht="19.5" x14ac:dyDescent="0.25"/>
    <row r="870" ht="19.5" x14ac:dyDescent="0.25"/>
    <row r="871" ht="19.5" x14ac:dyDescent="0.25"/>
    <row r="872" ht="19.5" x14ac:dyDescent="0.25"/>
    <row r="873" ht="19.5" x14ac:dyDescent="0.25"/>
    <row r="874" ht="19.5" x14ac:dyDescent="0.25"/>
    <row r="875" ht="19.5" x14ac:dyDescent="0.25"/>
    <row r="876" ht="19.5" x14ac:dyDescent="0.25"/>
    <row r="877" ht="19.5" x14ac:dyDescent="0.25"/>
    <row r="878" ht="19.5" x14ac:dyDescent="0.25"/>
    <row r="879" ht="19.5" x14ac:dyDescent="0.25"/>
    <row r="880" ht="19.5" x14ac:dyDescent="0.25"/>
    <row r="881" ht="19.5" x14ac:dyDescent="0.25"/>
    <row r="882" ht="19.5" x14ac:dyDescent="0.25"/>
    <row r="883" ht="19.5" x14ac:dyDescent="0.25"/>
    <row r="884" ht="19.5" x14ac:dyDescent="0.25"/>
    <row r="885" ht="19.5" x14ac:dyDescent="0.25"/>
    <row r="886" ht="19.5" x14ac:dyDescent="0.25"/>
    <row r="887" ht="19.5" x14ac:dyDescent="0.25"/>
    <row r="888" ht="19.5" x14ac:dyDescent="0.25"/>
    <row r="889" ht="19.5" x14ac:dyDescent="0.25"/>
    <row r="890" ht="19.5" x14ac:dyDescent="0.25"/>
    <row r="891" ht="19.5" x14ac:dyDescent="0.25"/>
    <row r="892" ht="19.5" x14ac:dyDescent="0.25"/>
    <row r="893" ht="19.5" x14ac:dyDescent="0.25"/>
    <row r="894" ht="19.5" x14ac:dyDescent="0.25"/>
    <row r="895" ht="19.5" x14ac:dyDescent="0.25"/>
    <row r="896" ht="19.5" x14ac:dyDescent="0.25"/>
    <row r="897" ht="19.5" x14ac:dyDescent="0.25"/>
    <row r="898" ht="19.5" x14ac:dyDescent="0.25"/>
    <row r="899" ht="19.5" x14ac:dyDescent="0.25"/>
    <row r="900" ht="19.5" x14ac:dyDescent="0.25"/>
    <row r="901" ht="19.5" x14ac:dyDescent="0.25"/>
    <row r="902" ht="19.5" x14ac:dyDescent="0.25"/>
    <row r="903" ht="19.5" x14ac:dyDescent="0.25"/>
    <row r="904" ht="19.5" x14ac:dyDescent="0.25"/>
    <row r="905" ht="19.5" x14ac:dyDescent="0.25"/>
    <row r="906" ht="19.5" x14ac:dyDescent="0.25"/>
    <row r="907" ht="19.5" x14ac:dyDescent="0.25"/>
    <row r="908" ht="19.5" x14ac:dyDescent="0.25"/>
    <row r="909" ht="19.5" x14ac:dyDescent="0.25"/>
    <row r="910" ht="19.5" x14ac:dyDescent="0.25"/>
    <row r="911" ht="19.5" x14ac:dyDescent="0.25"/>
    <row r="912" ht="19.5" x14ac:dyDescent="0.25"/>
    <row r="913" ht="19.5" x14ac:dyDescent="0.25"/>
    <row r="914" ht="19.5" x14ac:dyDescent="0.25"/>
    <row r="915" ht="19.5" x14ac:dyDescent="0.25"/>
    <row r="916" ht="19.5" x14ac:dyDescent="0.25"/>
    <row r="917" ht="19.5" x14ac:dyDescent="0.25"/>
    <row r="918" ht="19.5" x14ac:dyDescent="0.25"/>
    <row r="919" ht="19.5" x14ac:dyDescent="0.25"/>
    <row r="920" ht="19.5" x14ac:dyDescent="0.25"/>
    <row r="921" ht="19.5" x14ac:dyDescent="0.25"/>
    <row r="922" ht="19.5" x14ac:dyDescent="0.25"/>
    <row r="923" ht="19.5" x14ac:dyDescent="0.25"/>
    <row r="924" ht="19.5" x14ac:dyDescent="0.25"/>
    <row r="925" ht="19.5" x14ac:dyDescent="0.25"/>
    <row r="926" ht="19.5" x14ac:dyDescent="0.25"/>
    <row r="927" ht="19.5" x14ac:dyDescent="0.25"/>
    <row r="928" ht="19.5" x14ac:dyDescent="0.25"/>
    <row r="929" ht="19.5" x14ac:dyDescent="0.25"/>
    <row r="930" ht="19.5" x14ac:dyDescent="0.25"/>
    <row r="931" ht="19.5" x14ac:dyDescent="0.25"/>
    <row r="932" ht="19.5" x14ac:dyDescent="0.25"/>
    <row r="933" ht="19.5" x14ac:dyDescent="0.25"/>
    <row r="934" ht="19.5" x14ac:dyDescent="0.25"/>
    <row r="935" ht="19.5" x14ac:dyDescent="0.25"/>
    <row r="936" ht="19.5" x14ac:dyDescent="0.25"/>
    <row r="937" ht="19.5" x14ac:dyDescent="0.25"/>
    <row r="938" ht="19.5" x14ac:dyDescent="0.25"/>
    <row r="939" ht="19.5" x14ac:dyDescent="0.25"/>
    <row r="940" ht="19.5" x14ac:dyDescent="0.25"/>
    <row r="941" ht="19.5" x14ac:dyDescent="0.25"/>
    <row r="942" ht="19.5" x14ac:dyDescent="0.25"/>
    <row r="943" ht="19.5" x14ac:dyDescent="0.25"/>
    <row r="944" ht="19.5" x14ac:dyDescent="0.25"/>
    <row r="945" ht="19.5" x14ac:dyDescent="0.25"/>
    <row r="946" ht="19.5" x14ac:dyDescent="0.25"/>
    <row r="947" ht="19.5" x14ac:dyDescent="0.25"/>
    <row r="948" ht="19.5" x14ac:dyDescent="0.25"/>
    <row r="949" ht="19.5" x14ac:dyDescent="0.25"/>
    <row r="950" ht="19.5" x14ac:dyDescent="0.25"/>
    <row r="951" ht="19.5" x14ac:dyDescent="0.25"/>
    <row r="952" ht="19.5" x14ac:dyDescent="0.25"/>
    <row r="953" ht="19.5" x14ac:dyDescent="0.25"/>
    <row r="954" ht="19.5" x14ac:dyDescent="0.25"/>
    <row r="955" ht="19.5" x14ac:dyDescent="0.25"/>
    <row r="956" ht="19.5" x14ac:dyDescent="0.25"/>
    <row r="957" ht="19.5" x14ac:dyDescent="0.25"/>
    <row r="958" ht="19.5" x14ac:dyDescent="0.25"/>
    <row r="959" ht="19.5" x14ac:dyDescent="0.25"/>
    <row r="960" ht="19.5" x14ac:dyDescent="0.25"/>
    <row r="961" ht="19.5" x14ac:dyDescent="0.25"/>
    <row r="962" ht="19.5" x14ac:dyDescent="0.25"/>
    <row r="963" ht="19.5" x14ac:dyDescent="0.25"/>
    <row r="964" ht="19.5" x14ac:dyDescent="0.25"/>
    <row r="965" ht="19.5" x14ac:dyDescent="0.25"/>
    <row r="966" ht="19.5" x14ac:dyDescent="0.25"/>
    <row r="967" ht="19.5" x14ac:dyDescent="0.25"/>
    <row r="968" ht="19.5" x14ac:dyDescent="0.25"/>
    <row r="969" ht="19.5" x14ac:dyDescent="0.25"/>
    <row r="970" ht="19.5" x14ac:dyDescent="0.25"/>
    <row r="971" ht="19.5" x14ac:dyDescent="0.25"/>
    <row r="972" ht="19.5" x14ac:dyDescent="0.25"/>
    <row r="973" ht="19.5" x14ac:dyDescent="0.25"/>
    <row r="974" ht="19.5" x14ac:dyDescent="0.25"/>
    <row r="975" ht="19.5" x14ac:dyDescent="0.25"/>
    <row r="976" ht="19.5" x14ac:dyDescent="0.25"/>
    <row r="977" ht="19.5" x14ac:dyDescent="0.25"/>
    <row r="978" ht="19.5" x14ac:dyDescent="0.25"/>
    <row r="979" ht="19.5" x14ac:dyDescent="0.25"/>
    <row r="980" ht="19.5" x14ac:dyDescent="0.25"/>
    <row r="981" ht="19.5" x14ac:dyDescent="0.25"/>
    <row r="982" ht="19.5" x14ac:dyDescent="0.25"/>
    <row r="983" ht="19.5" x14ac:dyDescent="0.25"/>
    <row r="984" ht="19.5" x14ac:dyDescent="0.25"/>
    <row r="985" ht="19.5" x14ac:dyDescent="0.25"/>
    <row r="986" ht="19.5" x14ac:dyDescent="0.25"/>
    <row r="987" ht="19.5" x14ac:dyDescent="0.25"/>
    <row r="988" ht="19.5" x14ac:dyDescent="0.25"/>
    <row r="989" ht="19.5" x14ac:dyDescent="0.25"/>
    <row r="990" ht="19.5" x14ac:dyDescent="0.25"/>
    <row r="991" ht="19.5" x14ac:dyDescent="0.25"/>
    <row r="992" ht="19.5" x14ac:dyDescent="0.25"/>
    <row r="993" ht="19.5" x14ac:dyDescent="0.25"/>
    <row r="994" ht="19.5" x14ac:dyDescent="0.25"/>
    <row r="995" ht="19.5" x14ac:dyDescent="0.25"/>
    <row r="996" ht="19.5" x14ac:dyDescent="0.25"/>
    <row r="997" ht="19.5" x14ac:dyDescent="0.25"/>
    <row r="998" ht="19.5" x14ac:dyDescent="0.25"/>
    <row r="999" ht="19.5" x14ac:dyDescent="0.25"/>
    <row r="1000" ht="19.5" x14ac:dyDescent="0.25"/>
    <row r="1001" ht="19.5" x14ac:dyDescent="0.25"/>
    <row r="1002" ht="19.5" x14ac:dyDescent="0.25"/>
    <row r="1003" ht="19.5" x14ac:dyDescent="0.25"/>
    <row r="1004" ht="19.5" x14ac:dyDescent="0.25"/>
    <row r="1005" ht="19.5" x14ac:dyDescent="0.25"/>
    <row r="1006" ht="19.5" x14ac:dyDescent="0.25"/>
    <row r="1007" ht="19.5" x14ac:dyDescent="0.25"/>
    <row r="1008" ht="19.5" x14ac:dyDescent="0.25"/>
    <row r="1009" ht="19.5" x14ac:dyDescent="0.25"/>
    <row r="1010" ht="19.5" x14ac:dyDescent="0.25"/>
    <row r="1011" ht="19.5" x14ac:dyDescent="0.25"/>
    <row r="1012" ht="19.5" x14ac:dyDescent="0.25"/>
    <row r="1013" ht="19.5" x14ac:dyDescent="0.25"/>
    <row r="1014" ht="19.5" x14ac:dyDescent="0.25"/>
    <row r="1015" ht="19.5" x14ac:dyDescent="0.25"/>
    <row r="1016" ht="19.5" x14ac:dyDescent="0.25"/>
    <row r="1017" ht="19.5" x14ac:dyDescent="0.25"/>
    <row r="1018" ht="19.5" x14ac:dyDescent="0.25"/>
    <row r="1019" ht="19.5" x14ac:dyDescent="0.25"/>
    <row r="1020" ht="19.5" x14ac:dyDescent="0.25"/>
    <row r="1021" ht="19.5" x14ac:dyDescent="0.25"/>
    <row r="1022" ht="19.5" x14ac:dyDescent="0.25"/>
    <row r="1023" ht="19.5" x14ac:dyDescent="0.25"/>
    <row r="1024" ht="19.5" x14ac:dyDescent="0.25"/>
    <row r="1025" ht="19.5" x14ac:dyDescent="0.25"/>
    <row r="1026" ht="19.5" x14ac:dyDescent="0.25"/>
    <row r="1027" ht="19.5" x14ac:dyDescent="0.25"/>
    <row r="1028" ht="19.5" x14ac:dyDescent="0.25"/>
    <row r="1029" ht="19.5" x14ac:dyDescent="0.25"/>
    <row r="1030" ht="19.5" x14ac:dyDescent="0.25"/>
    <row r="1031" ht="19.5" x14ac:dyDescent="0.25"/>
    <row r="1032" ht="19.5" x14ac:dyDescent="0.25"/>
    <row r="1033" ht="19.5" x14ac:dyDescent="0.25"/>
    <row r="1034" ht="19.5" x14ac:dyDescent="0.25"/>
    <row r="1035" ht="19.5" x14ac:dyDescent="0.25"/>
    <row r="1036" ht="19.5" x14ac:dyDescent="0.25"/>
    <row r="1037" ht="19.5" x14ac:dyDescent="0.25"/>
    <row r="1038" ht="19.5" x14ac:dyDescent="0.25"/>
    <row r="1039" ht="19.5" x14ac:dyDescent="0.25"/>
    <row r="1040" ht="19.5" x14ac:dyDescent="0.25"/>
    <row r="1041" ht="19.5" x14ac:dyDescent="0.25"/>
    <row r="1042" ht="19.5" x14ac:dyDescent="0.25"/>
    <row r="1043" ht="19.5" x14ac:dyDescent="0.25"/>
    <row r="1044" ht="19.5" x14ac:dyDescent="0.25"/>
    <row r="1045" ht="19.5" x14ac:dyDescent="0.25"/>
    <row r="1046" ht="19.5" x14ac:dyDescent="0.25"/>
    <row r="1047" ht="19.5" x14ac:dyDescent="0.25"/>
    <row r="1048" ht="19.5" x14ac:dyDescent="0.25"/>
    <row r="1049" ht="19.5" x14ac:dyDescent="0.25"/>
    <row r="1050" ht="19.5" x14ac:dyDescent="0.25"/>
    <row r="1051" ht="19.5" x14ac:dyDescent="0.25"/>
    <row r="1052" ht="19.5" x14ac:dyDescent="0.25"/>
    <row r="1053" ht="19.5" x14ac:dyDescent="0.25"/>
    <row r="1054" ht="19.5" x14ac:dyDescent="0.25"/>
    <row r="1055" ht="19.5" x14ac:dyDescent="0.25"/>
    <row r="1056" ht="19.5" x14ac:dyDescent="0.25"/>
    <row r="1057" ht="19.5" x14ac:dyDescent="0.25"/>
    <row r="1058" ht="19.5" x14ac:dyDescent="0.25"/>
    <row r="1059" ht="19.5" x14ac:dyDescent="0.25"/>
    <row r="1060" ht="19.5" x14ac:dyDescent="0.25"/>
    <row r="1061" ht="19.5" x14ac:dyDescent="0.25"/>
    <row r="1062" ht="19.5" x14ac:dyDescent="0.25"/>
    <row r="1063" ht="19.5" x14ac:dyDescent="0.25"/>
    <row r="1064" ht="19.5" x14ac:dyDescent="0.25"/>
    <row r="1065" ht="19.5" x14ac:dyDescent="0.25"/>
    <row r="1066" ht="19.5" x14ac:dyDescent="0.25"/>
    <row r="1067" ht="19.5" x14ac:dyDescent="0.25"/>
    <row r="1068" ht="19.5" x14ac:dyDescent="0.25"/>
    <row r="1069" ht="19.5" x14ac:dyDescent="0.25"/>
    <row r="1070" ht="19.5" x14ac:dyDescent="0.25"/>
    <row r="1071" ht="19.5" x14ac:dyDescent="0.25"/>
    <row r="1072" ht="19.5" x14ac:dyDescent="0.25"/>
    <row r="1073" ht="19.5" x14ac:dyDescent="0.25"/>
    <row r="1074" ht="19.5" x14ac:dyDescent="0.25"/>
    <row r="1075" ht="19.5" x14ac:dyDescent="0.25"/>
    <row r="1076" ht="19.5" x14ac:dyDescent="0.25"/>
    <row r="1077" ht="19.5" x14ac:dyDescent="0.25"/>
    <row r="1078" ht="19.5" x14ac:dyDescent="0.25"/>
    <row r="1079" ht="19.5" x14ac:dyDescent="0.25"/>
    <row r="1080" ht="19.5" x14ac:dyDescent="0.25"/>
    <row r="1081" ht="19.5" x14ac:dyDescent="0.25"/>
    <row r="1082" ht="19.5" x14ac:dyDescent="0.25"/>
    <row r="1083" ht="19.5" x14ac:dyDescent="0.25"/>
    <row r="1084" ht="19.5" x14ac:dyDescent="0.25"/>
    <row r="1085" ht="19.5" x14ac:dyDescent="0.25"/>
    <row r="1086" ht="19.5" x14ac:dyDescent="0.25"/>
    <row r="1087" ht="19.5" x14ac:dyDescent="0.25"/>
    <row r="1088" ht="19.5" x14ac:dyDescent="0.25"/>
    <row r="1089" ht="19.5" x14ac:dyDescent="0.25"/>
    <row r="1090" ht="19.5" x14ac:dyDescent="0.25"/>
    <row r="1091" ht="19.5" x14ac:dyDescent="0.25"/>
    <row r="1092" ht="19.5" x14ac:dyDescent="0.25"/>
    <row r="1093" ht="19.5" x14ac:dyDescent="0.25"/>
    <row r="1094" ht="19.5" x14ac:dyDescent="0.25"/>
    <row r="1095" ht="19.5" x14ac:dyDescent="0.25"/>
    <row r="1096" ht="19.5" x14ac:dyDescent="0.25"/>
    <row r="1097" ht="19.5" x14ac:dyDescent="0.25"/>
    <row r="1098" ht="19.5" x14ac:dyDescent="0.25"/>
    <row r="1099" ht="19.5" x14ac:dyDescent="0.25"/>
    <row r="1100" ht="19.5" x14ac:dyDescent="0.25"/>
    <row r="1101" ht="19.5" x14ac:dyDescent="0.25"/>
    <row r="1102" ht="19.5" x14ac:dyDescent="0.25"/>
    <row r="1103" ht="19.5" x14ac:dyDescent="0.25"/>
    <row r="1104" ht="19.5" x14ac:dyDescent="0.25"/>
    <row r="1105" ht="19.5" x14ac:dyDescent="0.25"/>
    <row r="1106" ht="19.5" x14ac:dyDescent="0.25"/>
    <row r="1107" ht="19.5" x14ac:dyDescent="0.25"/>
    <row r="1108" ht="19.5" x14ac:dyDescent="0.25"/>
    <row r="1109" ht="19.5" x14ac:dyDescent="0.25"/>
    <row r="1110" ht="19.5" x14ac:dyDescent="0.25"/>
    <row r="1111" ht="19.5" x14ac:dyDescent="0.25"/>
    <row r="1112" ht="19.5" x14ac:dyDescent="0.25"/>
    <row r="1113" ht="19.5" x14ac:dyDescent="0.25"/>
    <row r="1114" ht="19.5" x14ac:dyDescent="0.25"/>
    <row r="1115" ht="19.5" x14ac:dyDescent="0.25"/>
    <row r="1116" ht="19.5" x14ac:dyDescent="0.25"/>
    <row r="1117" ht="19.5" x14ac:dyDescent="0.25"/>
    <row r="1118" ht="19.5" x14ac:dyDescent="0.25"/>
    <row r="1119" ht="19.5" x14ac:dyDescent="0.25"/>
    <row r="1120" ht="19.5" x14ac:dyDescent="0.25"/>
    <row r="1121" ht="19.5" x14ac:dyDescent="0.25"/>
    <row r="1122" ht="19.5" x14ac:dyDescent="0.25"/>
    <row r="1123" ht="19.5" x14ac:dyDescent="0.25"/>
    <row r="1124" ht="19.5" x14ac:dyDescent="0.25"/>
    <row r="1125" ht="19.5" x14ac:dyDescent="0.25"/>
    <row r="1126" ht="19.5" x14ac:dyDescent="0.25"/>
    <row r="1127" ht="19.5" x14ac:dyDescent="0.25"/>
    <row r="1128" ht="19.5" x14ac:dyDescent="0.25"/>
    <row r="1129" ht="19.5" x14ac:dyDescent="0.25"/>
    <row r="1130" ht="19.5" x14ac:dyDescent="0.25"/>
    <row r="1131" ht="19.5" x14ac:dyDescent="0.25"/>
    <row r="1132" ht="19.5" x14ac:dyDescent="0.25"/>
    <row r="1133" ht="19.5" x14ac:dyDescent="0.25"/>
    <row r="1134" ht="19.5" x14ac:dyDescent="0.25"/>
    <row r="1135" ht="19.5" x14ac:dyDescent="0.25"/>
    <row r="1136" ht="19.5" x14ac:dyDescent="0.25"/>
    <row r="1137" ht="19.5" x14ac:dyDescent="0.25"/>
    <row r="1138" ht="19.5" x14ac:dyDescent="0.25"/>
    <row r="1139" ht="19.5" x14ac:dyDescent="0.25"/>
    <row r="1140" ht="19.5" x14ac:dyDescent="0.25"/>
  </sheetData>
  <autoFilter ref="B1:Q210" xr:uid="{0201CC3D-3E32-43CE-948C-C237F2B52CFE}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702D47-07D2-4604-9B9B-77C4FC6521D0}">
  <dimension ref="A1:S581"/>
  <sheetViews>
    <sheetView rightToLeft="1" zoomScale="140" zoomScaleNormal="140" workbookViewId="0">
      <pane ySplit="1" topLeftCell="A551" activePane="bottomLeft" state="frozen"/>
      <selection pane="bottomLeft" activeCell="F556" sqref="F556"/>
    </sheetView>
  </sheetViews>
  <sheetFormatPr defaultRowHeight="20.25" thickBottom="1" x14ac:dyDescent="0.3"/>
  <cols>
    <col min="1" max="1" width="7.5703125" style="42" customWidth="1"/>
    <col min="2" max="2" width="6" style="52" customWidth="1"/>
    <col min="3" max="3" width="14.28515625" style="52" customWidth="1"/>
    <col min="4" max="4" width="13.42578125" style="42" customWidth="1"/>
    <col min="5" max="5" width="6.42578125" style="42" customWidth="1"/>
    <col min="6" max="6" width="6.7109375" style="42" customWidth="1"/>
    <col min="7" max="7" width="7.7109375" style="42" customWidth="1"/>
    <col min="8" max="8" width="8.7109375" style="42" customWidth="1"/>
    <col min="9" max="9" width="7" style="42" customWidth="1"/>
    <col min="10" max="10" width="6.42578125" style="42" customWidth="1"/>
    <col min="11" max="11" width="10.140625" style="40" customWidth="1"/>
    <col min="12" max="12" width="8.5703125" style="40" customWidth="1"/>
    <col min="13" max="13" width="8.7109375" style="40" customWidth="1"/>
    <col min="14" max="14" width="9.5703125" style="41" customWidth="1"/>
    <col min="15" max="16" width="9.85546875" style="41" customWidth="1"/>
    <col min="17" max="17" width="41.42578125" style="42" customWidth="1"/>
    <col min="18" max="18" width="9.140625" style="42"/>
    <col min="19" max="19" width="26.42578125" style="42" bestFit="1" customWidth="1"/>
    <col min="20" max="16384" width="9.140625" style="42"/>
  </cols>
  <sheetData>
    <row r="1" spans="2:17" ht="57" customHeight="1" thickBot="1" x14ac:dyDescent="0.3">
      <c r="B1" s="177" t="s">
        <v>0</v>
      </c>
      <c r="C1" s="178" t="s">
        <v>420</v>
      </c>
      <c r="D1" s="38" t="s">
        <v>162</v>
      </c>
      <c r="E1" s="25" t="s">
        <v>1</v>
      </c>
      <c r="F1" s="25" t="s">
        <v>0</v>
      </c>
      <c r="G1" s="25" t="s">
        <v>2</v>
      </c>
      <c r="H1" s="25" t="s">
        <v>4</v>
      </c>
      <c r="I1" s="39" t="s">
        <v>27</v>
      </c>
      <c r="J1" s="39" t="s">
        <v>435</v>
      </c>
      <c r="K1" s="40" t="s">
        <v>438</v>
      </c>
      <c r="L1" s="40" t="s">
        <v>439</v>
      </c>
      <c r="M1" s="40" t="s">
        <v>440</v>
      </c>
      <c r="N1" s="41" t="s">
        <v>437</v>
      </c>
      <c r="O1" s="41" t="s">
        <v>436</v>
      </c>
      <c r="P1" s="41" t="s">
        <v>443</v>
      </c>
      <c r="Q1" s="26" t="s">
        <v>5</v>
      </c>
    </row>
    <row r="2" spans="2:17" thickBot="1" x14ac:dyDescent="0.3">
      <c r="B2" s="179">
        <v>1</v>
      </c>
      <c r="C2" s="180" t="s">
        <v>677</v>
      </c>
      <c r="D2" s="43" t="s">
        <v>1959</v>
      </c>
      <c r="E2" s="44">
        <v>53</v>
      </c>
      <c r="F2" s="44">
        <v>153</v>
      </c>
      <c r="G2" s="44">
        <v>1</v>
      </c>
      <c r="H2" s="44" t="s">
        <v>27</v>
      </c>
      <c r="I2" s="44">
        <v>1</v>
      </c>
      <c r="J2" s="44"/>
      <c r="P2" s="41">
        <v>1</v>
      </c>
      <c r="Q2" s="44" t="s">
        <v>111</v>
      </c>
    </row>
    <row r="3" spans="2:17" thickBot="1" x14ac:dyDescent="0.3">
      <c r="B3" s="179">
        <v>2</v>
      </c>
      <c r="C3" s="181" t="s">
        <v>136</v>
      </c>
      <c r="D3" s="45" t="s">
        <v>1958</v>
      </c>
      <c r="E3" s="46">
        <v>53</v>
      </c>
      <c r="F3" s="46">
        <v>156</v>
      </c>
      <c r="G3" s="46">
        <v>2</v>
      </c>
      <c r="H3" s="46" t="s">
        <v>27</v>
      </c>
      <c r="I3" s="44">
        <v>1</v>
      </c>
      <c r="J3" s="46"/>
      <c r="P3" s="41">
        <v>1</v>
      </c>
      <c r="Q3" s="46" t="s">
        <v>111</v>
      </c>
    </row>
    <row r="4" spans="2:17" thickBot="1" x14ac:dyDescent="0.3">
      <c r="B4" s="179">
        <v>3</v>
      </c>
      <c r="C4" s="181" t="s">
        <v>137</v>
      </c>
      <c r="D4" s="45" t="s">
        <v>1957</v>
      </c>
      <c r="E4" s="46">
        <v>53</v>
      </c>
      <c r="F4" s="46">
        <v>172</v>
      </c>
      <c r="G4" s="46">
        <v>2</v>
      </c>
      <c r="H4" s="46" t="s">
        <v>27</v>
      </c>
      <c r="I4" s="44">
        <v>1</v>
      </c>
      <c r="J4" s="46"/>
      <c r="P4" s="41">
        <v>1</v>
      </c>
      <c r="Q4" s="46" t="s">
        <v>111</v>
      </c>
    </row>
    <row r="5" spans="2:17" thickBot="1" x14ac:dyDescent="0.3">
      <c r="B5" s="179">
        <v>4</v>
      </c>
      <c r="C5" s="181" t="s">
        <v>682</v>
      </c>
      <c r="D5" s="45" t="s">
        <v>3041</v>
      </c>
      <c r="E5" s="46">
        <v>53</v>
      </c>
      <c r="F5" s="46">
        <v>176</v>
      </c>
      <c r="G5" s="46">
        <v>2</v>
      </c>
      <c r="H5" s="46" t="s">
        <v>26</v>
      </c>
      <c r="I5" s="46"/>
      <c r="J5" s="46">
        <v>1</v>
      </c>
      <c r="Q5" s="46"/>
    </row>
    <row r="6" spans="2:17" thickBot="1" x14ac:dyDescent="0.3">
      <c r="B6" s="179">
        <v>5</v>
      </c>
      <c r="C6" s="181" t="s">
        <v>1105</v>
      </c>
      <c r="D6" s="45" t="s">
        <v>1956</v>
      </c>
      <c r="E6" s="46">
        <v>53</v>
      </c>
      <c r="F6" s="46">
        <v>178</v>
      </c>
      <c r="G6" s="46">
        <v>2</v>
      </c>
      <c r="H6" s="46" t="s">
        <v>27</v>
      </c>
      <c r="I6" s="44">
        <v>1</v>
      </c>
      <c r="J6" s="46"/>
      <c r="P6" s="41">
        <v>1</v>
      </c>
      <c r="Q6" s="46" t="s">
        <v>111</v>
      </c>
    </row>
    <row r="7" spans="2:17" thickBot="1" x14ac:dyDescent="0.3">
      <c r="B7" s="179">
        <v>6</v>
      </c>
      <c r="C7" s="181" t="s">
        <v>1955</v>
      </c>
      <c r="D7" s="45" t="s">
        <v>1954</v>
      </c>
      <c r="E7" s="46">
        <v>53</v>
      </c>
      <c r="F7" s="46">
        <v>158</v>
      </c>
      <c r="G7" s="46">
        <v>4</v>
      </c>
      <c r="H7" s="46" t="s">
        <v>27</v>
      </c>
      <c r="I7" s="44">
        <v>1</v>
      </c>
      <c r="J7" s="46"/>
      <c r="P7" s="41">
        <v>1</v>
      </c>
      <c r="Q7" s="46"/>
    </row>
    <row r="8" spans="2:17" thickBot="1" x14ac:dyDescent="0.3">
      <c r="B8" s="179">
        <v>7</v>
      </c>
      <c r="C8" s="181" t="s">
        <v>143</v>
      </c>
      <c r="D8" s="45" t="s">
        <v>1953</v>
      </c>
      <c r="E8" s="46">
        <v>53</v>
      </c>
      <c r="F8" s="46">
        <v>165</v>
      </c>
      <c r="G8" s="46">
        <v>4</v>
      </c>
      <c r="H8" s="46" t="s">
        <v>27</v>
      </c>
      <c r="I8" s="44">
        <v>1</v>
      </c>
      <c r="J8" s="46"/>
      <c r="P8" s="41">
        <v>1</v>
      </c>
      <c r="Q8" s="46"/>
    </row>
    <row r="9" spans="2:17" thickBot="1" x14ac:dyDescent="0.3">
      <c r="B9" s="179">
        <v>8</v>
      </c>
      <c r="C9" s="181" t="s">
        <v>135</v>
      </c>
      <c r="D9" s="45" t="s">
        <v>1952</v>
      </c>
      <c r="E9" s="46">
        <v>53</v>
      </c>
      <c r="F9" s="46">
        <v>59</v>
      </c>
      <c r="G9" s="46">
        <v>5</v>
      </c>
      <c r="H9" s="46" t="s">
        <v>27</v>
      </c>
      <c r="I9" s="44">
        <v>1</v>
      </c>
      <c r="J9" s="46"/>
      <c r="P9" s="41">
        <v>1</v>
      </c>
      <c r="Q9" s="46"/>
    </row>
    <row r="10" spans="2:17" thickBot="1" x14ac:dyDescent="0.3">
      <c r="B10" s="179">
        <v>9</v>
      </c>
      <c r="C10" s="181" t="s">
        <v>1951</v>
      </c>
      <c r="D10" s="185" t="s">
        <v>1950</v>
      </c>
      <c r="E10" s="46">
        <v>53</v>
      </c>
      <c r="F10" s="46">
        <v>168</v>
      </c>
      <c r="G10" s="46">
        <v>4</v>
      </c>
      <c r="H10" s="46" t="s">
        <v>27</v>
      </c>
      <c r="I10" s="44">
        <v>1</v>
      </c>
      <c r="J10" s="46"/>
      <c r="P10" s="41">
        <v>1</v>
      </c>
      <c r="Q10" s="46"/>
    </row>
    <row r="11" spans="2:17" thickBot="1" x14ac:dyDescent="0.3">
      <c r="B11" s="179">
        <v>10</v>
      </c>
      <c r="C11" s="181" t="s">
        <v>402</v>
      </c>
      <c r="D11" s="45" t="s">
        <v>837</v>
      </c>
      <c r="E11" s="46">
        <v>53</v>
      </c>
      <c r="F11" s="46">
        <v>73</v>
      </c>
      <c r="G11" s="46">
        <v>4</v>
      </c>
      <c r="H11" s="46" t="s">
        <v>27</v>
      </c>
      <c r="I11" s="44">
        <v>1</v>
      </c>
      <c r="J11" s="46"/>
      <c r="P11" s="41">
        <v>1</v>
      </c>
      <c r="Q11" s="46"/>
    </row>
    <row r="12" spans="2:17" thickBot="1" x14ac:dyDescent="0.3">
      <c r="B12" s="179">
        <v>11</v>
      </c>
      <c r="C12" s="181" t="s">
        <v>1949</v>
      </c>
      <c r="D12" s="45" t="s">
        <v>1948</v>
      </c>
      <c r="E12" s="46">
        <v>53</v>
      </c>
      <c r="F12" s="46">
        <v>172</v>
      </c>
      <c r="G12" s="46">
        <v>4</v>
      </c>
      <c r="H12" s="46" t="s">
        <v>27</v>
      </c>
      <c r="I12" s="44">
        <v>1</v>
      </c>
      <c r="J12" s="46"/>
      <c r="P12" s="41">
        <v>1</v>
      </c>
      <c r="Q12" s="46"/>
    </row>
    <row r="13" spans="2:17" thickBot="1" x14ac:dyDescent="0.3">
      <c r="B13" s="179">
        <v>12</v>
      </c>
      <c r="C13" s="181" t="s">
        <v>143</v>
      </c>
      <c r="D13" s="45" t="s">
        <v>1947</v>
      </c>
      <c r="E13" s="46">
        <v>53</v>
      </c>
      <c r="F13" s="46">
        <v>180</v>
      </c>
      <c r="G13" s="46">
        <v>4</v>
      </c>
      <c r="H13" s="46" t="s">
        <v>27</v>
      </c>
      <c r="I13" s="44">
        <v>1</v>
      </c>
      <c r="J13" s="46"/>
      <c r="P13" s="41">
        <v>1</v>
      </c>
      <c r="Q13" s="46"/>
    </row>
    <row r="14" spans="2:17" thickBot="1" x14ac:dyDescent="0.3">
      <c r="B14" s="179">
        <v>13</v>
      </c>
      <c r="C14" s="181" t="s">
        <v>135</v>
      </c>
      <c r="D14" s="185" t="s">
        <v>1946</v>
      </c>
      <c r="E14" s="46">
        <v>53</v>
      </c>
      <c r="F14" s="46">
        <v>164</v>
      </c>
      <c r="G14" s="46">
        <v>5</v>
      </c>
      <c r="H14" s="46" t="s">
        <v>27</v>
      </c>
      <c r="I14" s="44">
        <v>1</v>
      </c>
      <c r="J14" s="46"/>
      <c r="P14" s="41">
        <v>1</v>
      </c>
      <c r="Q14" s="46"/>
    </row>
    <row r="15" spans="2:17" thickBot="1" x14ac:dyDescent="0.3">
      <c r="B15" s="179">
        <v>14</v>
      </c>
      <c r="C15" s="181" t="s">
        <v>1945</v>
      </c>
      <c r="D15" s="185" t="s">
        <v>1944</v>
      </c>
      <c r="E15" s="46">
        <v>53</v>
      </c>
      <c r="F15" s="46">
        <v>157</v>
      </c>
      <c r="G15" s="46">
        <v>5</v>
      </c>
      <c r="H15" s="46" t="s">
        <v>27</v>
      </c>
      <c r="I15" s="44">
        <v>1</v>
      </c>
      <c r="J15" s="46"/>
      <c r="P15" s="41">
        <v>1</v>
      </c>
      <c r="Q15" s="46"/>
    </row>
    <row r="16" spans="2:17" thickBot="1" x14ac:dyDescent="0.3">
      <c r="B16" s="179">
        <v>15</v>
      </c>
      <c r="C16" s="181" t="s">
        <v>138</v>
      </c>
      <c r="D16" s="185" t="s">
        <v>910</v>
      </c>
      <c r="E16" s="46">
        <v>53</v>
      </c>
      <c r="F16" s="48">
        <v>155</v>
      </c>
      <c r="G16" s="46">
        <v>6</v>
      </c>
      <c r="H16" s="46" t="s">
        <v>27</v>
      </c>
      <c r="I16" s="44">
        <v>1</v>
      </c>
      <c r="J16" s="46"/>
      <c r="P16" s="41">
        <v>1</v>
      </c>
      <c r="Q16" s="46"/>
    </row>
    <row r="17" spans="2:17" thickBot="1" x14ac:dyDescent="0.3">
      <c r="B17" s="179">
        <v>16</v>
      </c>
      <c r="C17" s="181" t="s">
        <v>296</v>
      </c>
      <c r="D17" s="45" t="s">
        <v>1141</v>
      </c>
      <c r="E17" s="46">
        <v>53</v>
      </c>
      <c r="F17" s="46">
        <v>177</v>
      </c>
      <c r="G17" s="46">
        <v>7</v>
      </c>
      <c r="H17" s="46" t="s">
        <v>27</v>
      </c>
      <c r="I17" s="44">
        <v>1</v>
      </c>
      <c r="J17" s="46"/>
      <c r="P17" s="41">
        <v>1</v>
      </c>
      <c r="Q17" s="46" t="s">
        <v>111</v>
      </c>
    </row>
    <row r="18" spans="2:17" thickBot="1" x14ac:dyDescent="0.3">
      <c r="B18" s="179">
        <v>17</v>
      </c>
      <c r="C18" s="181" t="s">
        <v>108</v>
      </c>
      <c r="D18" s="45" t="s">
        <v>1943</v>
      </c>
      <c r="E18" s="46">
        <v>53</v>
      </c>
      <c r="F18" s="46">
        <v>154</v>
      </c>
      <c r="G18" s="46">
        <v>8</v>
      </c>
      <c r="H18" s="46" t="s">
        <v>27</v>
      </c>
      <c r="I18" s="44">
        <v>1</v>
      </c>
      <c r="J18" s="46"/>
      <c r="P18" s="41">
        <v>1</v>
      </c>
      <c r="Q18" s="46" t="s">
        <v>111</v>
      </c>
    </row>
    <row r="19" spans="2:17" thickBot="1" x14ac:dyDescent="0.3">
      <c r="B19" s="179">
        <v>18</v>
      </c>
      <c r="C19" s="181" t="s">
        <v>138</v>
      </c>
      <c r="D19" s="185" t="s">
        <v>1942</v>
      </c>
      <c r="E19" s="46">
        <v>53</v>
      </c>
      <c r="F19" s="46">
        <v>170</v>
      </c>
      <c r="G19" s="46">
        <v>8</v>
      </c>
      <c r="H19" s="46" t="s">
        <v>27</v>
      </c>
      <c r="I19" s="44">
        <v>1</v>
      </c>
      <c r="J19" s="46"/>
      <c r="P19" s="41">
        <v>1</v>
      </c>
      <c r="Q19" s="46"/>
    </row>
    <row r="20" spans="2:17" thickBot="1" x14ac:dyDescent="0.3">
      <c r="B20" s="179">
        <v>19</v>
      </c>
      <c r="C20" s="181" t="s">
        <v>362</v>
      </c>
      <c r="D20" s="45" t="s">
        <v>1941</v>
      </c>
      <c r="E20" s="46">
        <v>53</v>
      </c>
      <c r="F20" s="46">
        <v>175</v>
      </c>
      <c r="G20" s="46">
        <v>9</v>
      </c>
      <c r="H20" s="46" t="s">
        <v>27</v>
      </c>
      <c r="I20" s="44">
        <v>1</v>
      </c>
      <c r="J20" s="46"/>
      <c r="P20" s="41">
        <v>1</v>
      </c>
      <c r="Q20" s="46" t="s">
        <v>111</v>
      </c>
    </row>
    <row r="21" spans="2:17" thickBot="1" x14ac:dyDescent="0.3">
      <c r="B21" s="179">
        <v>20</v>
      </c>
      <c r="C21" s="181" t="s">
        <v>138</v>
      </c>
      <c r="D21" s="45" t="s">
        <v>1940</v>
      </c>
      <c r="E21" s="46">
        <v>53</v>
      </c>
      <c r="F21" s="46">
        <v>153</v>
      </c>
      <c r="G21" s="46">
        <v>9</v>
      </c>
      <c r="H21" s="46" t="s">
        <v>27</v>
      </c>
      <c r="I21" s="44">
        <v>1</v>
      </c>
      <c r="J21" s="46"/>
      <c r="P21" s="41">
        <v>1</v>
      </c>
      <c r="Q21" s="46" t="s">
        <v>111</v>
      </c>
    </row>
    <row r="22" spans="2:17" thickBot="1" x14ac:dyDescent="0.3">
      <c r="B22" s="179">
        <v>21</v>
      </c>
      <c r="C22" s="181" t="s">
        <v>1272</v>
      </c>
      <c r="D22" s="45" t="s">
        <v>1939</v>
      </c>
      <c r="E22" s="46">
        <v>53</v>
      </c>
      <c r="F22" s="46">
        <v>152</v>
      </c>
      <c r="G22" s="46">
        <v>10</v>
      </c>
      <c r="H22" s="46" t="s">
        <v>27</v>
      </c>
      <c r="I22" s="44">
        <v>1</v>
      </c>
      <c r="J22" s="46"/>
      <c r="P22" s="41">
        <v>1</v>
      </c>
      <c r="Q22" s="46"/>
    </row>
    <row r="23" spans="2:17" thickBot="1" x14ac:dyDescent="0.3">
      <c r="B23" s="179">
        <v>22</v>
      </c>
      <c r="C23" s="181" t="s">
        <v>937</v>
      </c>
      <c r="D23" s="45" t="s">
        <v>864</v>
      </c>
      <c r="E23" s="46">
        <v>53</v>
      </c>
      <c r="F23" s="46">
        <v>166</v>
      </c>
      <c r="G23" s="46">
        <v>11</v>
      </c>
      <c r="H23" s="46" t="s">
        <v>27</v>
      </c>
      <c r="I23" s="44">
        <v>1</v>
      </c>
      <c r="J23" s="46"/>
      <c r="P23" s="41">
        <v>1</v>
      </c>
      <c r="Q23" s="46" t="s">
        <v>111</v>
      </c>
    </row>
    <row r="24" spans="2:17" thickBot="1" x14ac:dyDescent="0.3">
      <c r="B24" s="179">
        <v>23</v>
      </c>
      <c r="C24" s="181" t="s">
        <v>1244</v>
      </c>
      <c r="D24" s="45" t="s">
        <v>1938</v>
      </c>
      <c r="E24" s="46">
        <v>53</v>
      </c>
      <c r="F24" s="46">
        <v>156</v>
      </c>
      <c r="G24" s="46">
        <v>11</v>
      </c>
      <c r="H24" s="46" t="s">
        <v>27</v>
      </c>
      <c r="I24" s="44">
        <v>1</v>
      </c>
      <c r="J24" s="46"/>
      <c r="P24" s="41">
        <v>1</v>
      </c>
      <c r="Q24" s="46" t="s">
        <v>111</v>
      </c>
    </row>
    <row r="25" spans="2:17" thickBot="1" x14ac:dyDescent="0.3">
      <c r="B25" s="179">
        <v>24</v>
      </c>
      <c r="C25" s="181" t="s">
        <v>1272</v>
      </c>
      <c r="D25" s="45" t="s">
        <v>1937</v>
      </c>
      <c r="E25" s="46">
        <v>53</v>
      </c>
      <c r="F25" s="46">
        <v>155</v>
      </c>
      <c r="G25" s="46">
        <v>11</v>
      </c>
      <c r="H25" s="46" t="s">
        <v>27</v>
      </c>
      <c r="I25" s="44">
        <v>1</v>
      </c>
      <c r="J25" s="46"/>
      <c r="P25" s="41">
        <v>1</v>
      </c>
      <c r="Q25" s="46"/>
    </row>
    <row r="26" spans="2:17" thickBot="1" x14ac:dyDescent="0.3">
      <c r="B26" s="179">
        <v>25</v>
      </c>
      <c r="C26" s="181" t="s">
        <v>1859</v>
      </c>
      <c r="D26" s="45" t="s">
        <v>1936</v>
      </c>
      <c r="E26" s="46">
        <v>53</v>
      </c>
      <c r="F26" s="46">
        <v>163</v>
      </c>
      <c r="G26" s="46">
        <v>12</v>
      </c>
      <c r="H26" s="46" t="s">
        <v>27</v>
      </c>
      <c r="I26" s="44">
        <v>1</v>
      </c>
      <c r="J26" s="46"/>
      <c r="P26" s="41">
        <v>1</v>
      </c>
      <c r="Q26" s="46" t="s">
        <v>111</v>
      </c>
    </row>
    <row r="27" spans="2:17" thickBot="1" x14ac:dyDescent="0.3">
      <c r="B27" s="179">
        <v>26</v>
      </c>
      <c r="C27" s="181" t="s">
        <v>1935</v>
      </c>
      <c r="D27" s="185" t="s">
        <v>1934</v>
      </c>
      <c r="E27" s="46">
        <v>53</v>
      </c>
      <c r="F27" s="46">
        <v>167</v>
      </c>
      <c r="G27" s="46">
        <v>12</v>
      </c>
      <c r="H27" s="46" t="s">
        <v>27</v>
      </c>
      <c r="I27" s="44">
        <v>1</v>
      </c>
      <c r="J27" s="46"/>
      <c r="P27" s="41">
        <v>1</v>
      </c>
      <c r="Q27" s="46"/>
    </row>
    <row r="28" spans="2:17" thickBot="1" x14ac:dyDescent="0.3">
      <c r="B28" s="179">
        <v>27</v>
      </c>
      <c r="C28" s="181" t="s">
        <v>852</v>
      </c>
      <c r="D28" s="45" t="s">
        <v>1933</v>
      </c>
      <c r="E28" s="46">
        <v>53</v>
      </c>
      <c r="F28" s="46">
        <v>156</v>
      </c>
      <c r="G28" s="46">
        <v>13</v>
      </c>
      <c r="H28" s="46" t="s">
        <v>27</v>
      </c>
      <c r="I28" s="44">
        <v>1</v>
      </c>
      <c r="J28" s="46"/>
      <c r="P28" s="41">
        <v>1</v>
      </c>
      <c r="Q28" s="46"/>
    </row>
    <row r="29" spans="2:17" thickBot="1" x14ac:dyDescent="0.3">
      <c r="B29" s="179">
        <v>28</v>
      </c>
      <c r="C29" s="181" t="s">
        <v>1932</v>
      </c>
      <c r="D29" s="45" t="s">
        <v>523</v>
      </c>
      <c r="E29" s="46">
        <v>53</v>
      </c>
      <c r="F29" s="46">
        <v>155</v>
      </c>
      <c r="G29" s="46">
        <v>13</v>
      </c>
      <c r="H29" s="46" t="s">
        <v>27</v>
      </c>
      <c r="I29" s="44">
        <v>1</v>
      </c>
      <c r="J29" s="46"/>
      <c r="P29" s="41">
        <v>1</v>
      </c>
      <c r="Q29" s="46"/>
    </row>
    <row r="30" spans="2:17" thickBot="1" x14ac:dyDescent="0.3">
      <c r="B30" s="179">
        <v>29</v>
      </c>
      <c r="C30" s="181" t="s">
        <v>1931</v>
      </c>
      <c r="D30" s="45" t="s">
        <v>1930</v>
      </c>
      <c r="E30" s="46">
        <v>53</v>
      </c>
      <c r="F30" s="46">
        <v>168</v>
      </c>
      <c r="G30" s="46">
        <v>14</v>
      </c>
      <c r="H30" s="46" t="s">
        <v>27</v>
      </c>
      <c r="I30" s="44">
        <v>1</v>
      </c>
      <c r="J30" s="46"/>
      <c r="P30" s="41">
        <v>1</v>
      </c>
      <c r="Q30" s="46" t="s">
        <v>111</v>
      </c>
    </row>
    <row r="31" spans="2:17" ht="36.75" thickBot="1" x14ac:dyDescent="0.3">
      <c r="B31" s="179">
        <v>30</v>
      </c>
      <c r="C31" s="181" t="s">
        <v>280</v>
      </c>
      <c r="D31" s="45" t="s">
        <v>3044</v>
      </c>
      <c r="E31" s="46">
        <v>53</v>
      </c>
      <c r="F31" s="46">
        <v>179</v>
      </c>
      <c r="G31" s="46">
        <v>3</v>
      </c>
      <c r="H31" s="46" t="s">
        <v>27</v>
      </c>
      <c r="I31" s="46">
        <v>1</v>
      </c>
      <c r="J31" s="46">
        <v>0</v>
      </c>
      <c r="P31" s="41">
        <v>1</v>
      </c>
      <c r="Q31" s="46"/>
    </row>
    <row r="32" spans="2:17" thickBot="1" x14ac:dyDescent="0.3">
      <c r="B32" s="179">
        <v>31</v>
      </c>
      <c r="C32" s="181" t="s">
        <v>136</v>
      </c>
      <c r="D32" s="45" t="s">
        <v>1929</v>
      </c>
      <c r="E32" s="46">
        <v>53</v>
      </c>
      <c r="F32" s="46">
        <v>172</v>
      </c>
      <c r="G32" s="46">
        <v>3</v>
      </c>
      <c r="H32" s="46" t="s">
        <v>26</v>
      </c>
      <c r="I32" s="46"/>
      <c r="J32" s="46">
        <v>1</v>
      </c>
      <c r="Q32" s="46"/>
    </row>
    <row r="33" spans="2:17" thickBot="1" x14ac:dyDescent="0.3">
      <c r="B33" s="179">
        <v>32</v>
      </c>
      <c r="C33" s="181" t="s">
        <v>918</v>
      </c>
      <c r="D33" s="185" t="s">
        <v>1928</v>
      </c>
      <c r="E33" s="46">
        <v>53</v>
      </c>
      <c r="F33" s="46">
        <v>162</v>
      </c>
      <c r="G33" s="46">
        <v>3</v>
      </c>
      <c r="H33" s="46" t="s">
        <v>31</v>
      </c>
      <c r="I33" s="44">
        <v>1</v>
      </c>
      <c r="J33" s="46"/>
      <c r="P33" s="41">
        <v>1</v>
      </c>
      <c r="Q33" s="46"/>
    </row>
    <row r="34" spans="2:17" thickBot="1" x14ac:dyDescent="0.3">
      <c r="B34" s="179">
        <v>33</v>
      </c>
      <c r="C34" s="181" t="s">
        <v>1100</v>
      </c>
      <c r="D34" s="185" t="s">
        <v>3045</v>
      </c>
      <c r="E34" s="46">
        <v>53</v>
      </c>
      <c r="F34" s="46">
        <v>162</v>
      </c>
      <c r="G34" s="46">
        <v>4</v>
      </c>
      <c r="H34" s="46" t="s">
        <v>27</v>
      </c>
      <c r="I34" s="46">
        <v>1</v>
      </c>
      <c r="J34" s="46">
        <v>0</v>
      </c>
      <c r="P34" s="41">
        <v>1</v>
      </c>
      <c r="Q34" s="46"/>
    </row>
    <row r="35" spans="2:17" thickBot="1" x14ac:dyDescent="0.3">
      <c r="B35" s="179">
        <v>34</v>
      </c>
      <c r="C35" s="181" t="s">
        <v>362</v>
      </c>
      <c r="D35" s="185" t="s">
        <v>1213</v>
      </c>
      <c r="E35" s="46">
        <v>53</v>
      </c>
      <c r="F35" s="46">
        <v>177</v>
      </c>
      <c r="G35" s="46">
        <v>4</v>
      </c>
      <c r="H35" s="46" t="s">
        <v>26</v>
      </c>
      <c r="I35" s="46"/>
      <c r="J35" s="46">
        <v>1</v>
      </c>
      <c r="Q35" s="46"/>
    </row>
    <row r="36" spans="2:17" thickBot="1" x14ac:dyDescent="0.3">
      <c r="B36" s="179">
        <v>35</v>
      </c>
      <c r="C36" s="181" t="s">
        <v>143</v>
      </c>
      <c r="D36" s="185" t="s">
        <v>3056</v>
      </c>
      <c r="E36" s="48">
        <v>53</v>
      </c>
      <c r="F36" s="48">
        <v>180</v>
      </c>
      <c r="G36" s="48">
        <v>5</v>
      </c>
      <c r="H36" s="48" t="s">
        <v>27</v>
      </c>
      <c r="I36" s="198">
        <v>1</v>
      </c>
      <c r="J36" s="48"/>
      <c r="P36" s="41">
        <v>1</v>
      </c>
      <c r="Q36" s="48"/>
    </row>
    <row r="37" spans="2:17" thickBot="1" x14ac:dyDescent="0.3">
      <c r="B37" s="179">
        <v>36</v>
      </c>
      <c r="C37" s="181" t="s">
        <v>123</v>
      </c>
      <c r="D37" s="45" t="s">
        <v>1927</v>
      </c>
      <c r="E37" s="46">
        <v>53</v>
      </c>
      <c r="F37" s="46">
        <v>179</v>
      </c>
      <c r="G37" s="46">
        <v>5</v>
      </c>
      <c r="H37" s="46" t="s">
        <v>27</v>
      </c>
      <c r="I37" s="44">
        <v>1</v>
      </c>
      <c r="J37" s="46"/>
      <c r="P37" s="41">
        <v>1</v>
      </c>
      <c r="Q37" s="46"/>
    </row>
    <row r="38" spans="2:17" thickBot="1" x14ac:dyDescent="0.3">
      <c r="B38" s="179">
        <v>37</v>
      </c>
      <c r="C38" s="181" t="s">
        <v>1150</v>
      </c>
      <c r="D38" s="185" t="s">
        <v>375</v>
      </c>
      <c r="E38" s="46">
        <v>53</v>
      </c>
      <c r="F38" s="46">
        <v>175</v>
      </c>
      <c r="G38" s="46">
        <v>5</v>
      </c>
      <c r="H38" s="46" t="s">
        <v>27</v>
      </c>
      <c r="I38" s="44">
        <v>1</v>
      </c>
      <c r="J38" s="46"/>
      <c r="P38" s="41">
        <v>1</v>
      </c>
      <c r="Q38" s="46"/>
    </row>
    <row r="39" spans="2:17" thickBot="1" x14ac:dyDescent="0.3">
      <c r="B39" s="179">
        <v>38</v>
      </c>
      <c r="C39" s="181" t="s">
        <v>137</v>
      </c>
      <c r="D39" s="45" t="s">
        <v>1551</v>
      </c>
      <c r="E39" s="46">
        <v>53</v>
      </c>
      <c r="F39" s="46">
        <v>172</v>
      </c>
      <c r="G39" s="46">
        <v>5</v>
      </c>
      <c r="H39" s="46" t="s">
        <v>27</v>
      </c>
      <c r="I39" s="44">
        <v>1</v>
      </c>
      <c r="J39" s="46"/>
      <c r="P39" s="41">
        <v>1</v>
      </c>
      <c r="Q39" s="46" t="s">
        <v>430</v>
      </c>
    </row>
    <row r="40" spans="2:17" thickBot="1" x14ac:dyDescent="0.3">
      <c r="B40" s="179">
        <v>39</v>
      </c>
      <c r="C40" s="181" t="s">
        <v>177</v>
      </c>
      <c r="D40" s="185" t="s">
        <v>1926</v>
      </c>
      <c r="E40" s="46">
        <v>53</v>
      </c>
      <c r="F40" s="46">
        <v>170</v>
      </c>
      <c r="G40" s="46">
        <v>5</v>
      </c>
      <c r="H40" s="46" t="s">
        <v>27</v>
      </c>
      <c r="I40" s="44">
        <v>1</v>
      </c>
      <c r="J40" s="46"/>
      <c r="P40" s="41">
        <v>1</v>
      </c>
      <c r="Q40" s="46"/>
    </row>
    <row r="41" spans="2:17" thickBot="1" x14ac:dyDescent="0.3">
      <c r="B41" s="179">
        <v>40</v>
      </c>
      <c r="C41" s="181" t="s">
        <v>362</v>
      </c>
      <c r="D41" s="45" t="s">
        <v>1003</v>
      </c>
      <c r="E41" s="46">
        <v>53</v>
      </c>
      <c r="F41" s="46">
        <v>166</v>
      </c>
      <c r="G41" s="46">
        <v>5</v>
      </c>
      <c r="H41" s="46" t="s">
        <v>27</v>
      </c>
      <c r="I41" s="44">
        <v>1</v>
      </c>
      <c r="J41" s="46"/>
      <c r="P41" s="41">
        <v>1</v>
      </c>
      <c r="Q41" s="46"/>
    </row>
    <row r="42" spans="2:17" thickBot="1" x14ac:dyDescent="0.3">
      <c r="B42" s="179">
        <v>41</v>
      </c>
      <c r="C42" s="181" t="s">
        <v>251</v>
      </c>
      <c r="D42" s="45" t="s">
        <v>3046</v>
      </c>
      <c r="E42" s="46">
        <v>53</v>
      </c>
      <c r="F42" s="46">
        <v>165</v>
      </c>
      <c r="G42" s="46">
        <v>5</v>
      </c>
      <c r="H42" s="46" t="s">
        <v>27</v>
      </c>
      <c r="I42" s="44">
        <v>1</v>
      </c>
      <c r="J42" s="46"/>
      <c r="P42" s="41">
        <v>1</v>
      </c>
      <c r="Q42" s="46"/>
    </row>
    <row r="43" spans="2:17" thickBot="1" x14ac:dyDescent="0.3">
      <c r="B43" s="179">
        <v>42</v>
      </c>
      <c r="C43" s="181" t="s">
        <v>712</v>
      </c>
      <c r="D43" s="45" t="s">
        <v>1988</v>
      </c>
      <c r="E43" s="46">
        <v>53</v>
      </c>
      <c r="F43" s="46">
        <v>153</v>
      </c>
      <c r="G43" s="46">
        <v>5</v>
      </c>
      <c r="H43" s="46" t="s">
        <v>27</v>
      </c>
      <c r="I43" s="44">
        <v>1</v>
      </c>
      <c r="J43" s="46"/>
      <c r="P43" s="41">
        <v>1</v>
      </c>
      <c r="Q43" s="46"/>
    </row>
    <row r="44" spans="2:17" thickBot="1" x14ac:dyDescent="0.3">
      <c r="B44" s="179">
        <v>43</v>
      </c>
      <c r="C44" s="181" t="s">
        <v>1244</v>
      </c>
      <c r="D44" s="45" t="s">
        <v>1987</v>
      </c>
      <c r="E44" s="46">
        <v>53</v>
      </c>
      <c r="F44" s="46">
        <v>166</v>
      </c>
      <c r="G44" s="46">
        <v>6</v>
      </c>
      <c r="H44" s="46" t="s">
        <v>26</v>
      </c>
      <c r="I44" s="46"/>
      <c r="J44" s="46">
        <v>1</v>
      </c>
      <c r="Q44" s="46"/>
    </row>
    <row r="45" spans="2:17" thickBot="1" x14ac:dyDescent="0.3">
      <c r="B45" s="179">
        <v>44</v>
      </c>
      <c r="C45" s="181" t="s">
        <v>143</v>
      </c>
      <c r="D45" s="45" t="s">
        <v>1986</v>
      </c>
      <c r="E45" s="46">
        <v>53</v>
      </c>
      <c r="F45" s="46">
        <v>171</v>
      </c>
      <c r="G45" s="46">
        <v>6</v>
      </c>
      <c r="H45" s="46" t="s">
        <v>26</v>
      </c>
      <c r="I45" s="46"/>
      <c r="J45" s="46">
        <v>1</v>
      </c>
      <c r="Q45" s="46"/>
    </row>
    <row r="46" spans="2:17" thickBot="1" x14ac:dyDescent="0.3">
      <c r="B46" s="179">
        <v>45</v>
      </c>
      <c r="C46" s="181" t="s">
        <v>677</v>
      </c>
      <c r="D46" s="45" t="s">
        <v>1616</v>
      </c>
      <c r="E46" s="46">
        <v>53</v>
      </c>
      <c r="F46" s="48">
        <v>173</v>
      </c>
      <c r="G46" s="48">
        <v>7</v>
      </c>
      <c r="H46" s="46" t="s">
        <v>26</v>
      </c>
      <c r="I46" s="46"/>
      <c r="J46" s="46">
        <v>1</v>
      </c>
      <c r="Q46" s="46"/>
    </row>
    <row r="47" spans="2:17" thickBot="1" x14ac:dyDescent="0.3">
      <c r="B47" s="179">
        <v>46</v>
      </c>
      <c r="C47" s="181" t="s">
        <v>712</v>
      </c>
      <c r="D47" s="45" t="s">
        <v>1985</v>
      </c>
      <c r="E47" s="46">
        <v>53</v>
      </c>
      <c r="F47" s="46">
        <v>171</v>
      </c>
      <c r="G47" s="46">
        <v>7</v>
      </c>
      <c r="H47" s="46" t="s">
        <v>26</v>
      </c>
      <c r="I47" s="46"/>
      <c r="J47" s="46">
        <v>1</v>
      </c>
      <c r="Q47" s="46"/>
    </row>
    <row r="48" spans="2:17" thickBot="1" x14ac:dyDescent="0.3">
      <c r="B48" s="179">
        <v>47</v>
      </c>
      <c r="C48" s="181" t="s">
        <v>296</v>
      </c>
      <c r="D48" s="45" t="s">
        <v>3048</v>
      </c>
      <c r="E48" s="46">
        <v>53</v>
      </c>
      <c r="F48" s="46">
        <v>166</v>
      </c>
      <c r="G48" s="46">
        <v>7</v>
      </c>
      <c r="H48" s="46" t="s">
        <v>26</v>
      </c>
      <c r="I48" s="46"/>
      <c r="J48" s="46">
        <v>1</v>
      </c>
      <c r="Q48" s="46"/>
    </row>
    <row r="49" spans="2:17" thickBot="1" x14ac:dyDescent="0.3">
      <c r="B49" s="179">
        <v>48</v>
      </c>
      <c r="C49" s="181" t="s">
        <v>284</v>
      </c>
      <c r="D49" s="45" t="s">
        <v>1984</v>
      </c>
      <c r="E49" s="46">
        <v>53</v>
      </c>
      <c r="F49" s="46">
        <v>157</v>
      </c>
      <c r="G49" s="46">
        <v>8</v>
      </c>
      <c r="H49" s="46" t="s">
        <v>27</v>
      </c>
      <c r="I49" s="44">
        <v>1</v>
      </c>
      <c r="J49" s="46"/>
      <c r="P49" s="41">
        <v>1</v>
      </c>
      <c r="Q49" s="46" t="s">
        <v>111</v>
      </c>
    </row>
    <row r="50" spans="2:17" thickBot="1" x14ac:dyDescent="0.3">
      <c r="B50" s="179">
        <v>49</v>
      </c>
      <c r="C50" s="181" t="s">
        <v>131</v>
      </c>
      <c r="D50" s="45" t="s">
        <v>1983</v>
      </c>
      <c r="E50" s="46">
        <v>53</v>
      </c>
      <c r="F50" s="46">
        <v>181</v>
      </c>
      <c r="G50" s="46">
        <v>8</v>
      </c>
      <c r="H50" s="46" t="s">
        <v>26</v>
      </c>
      <c r="I50" s="46"/>
      <c r="J50" s="46">
        <v>1</v>
      </c>
      <c r="Q50" s="46"/>
    </row>
    <row r="51" spans="2:17" thickBot="1" x14ac:dyDescent="0.3">
      <c r="B51" s="179">
        <v>50</v>
      </c>
      <c r="C51" s="181" t="s">
        <v>1461</v>
      </c>
      <c r="D51" s="45" t="s">
        <v>1754</v>
      </c>
      <c r="E51" s="46">
        <v>53</v>
      </c>
      <c r="F51" s="46">
        <v>181</v>
      </c>
      <c r="G51" s="46">
        <v>9</v>
      </c>
      <c r="H51" s="46" t="s">
        <v>27</v>
      </c>
      <c r="I51" s="44">
        <v>1</v>
      </c>
      <c r="J51" s="46"/>
      <c r="P51" s="41">
        <v>1</v>
      </c>
      <c r="Q51" s="46" t="s">
        <v>111</v>
      </c>
    </row>
    <row r="52" spans="2:17" thickBot="1" x14ac:dyDescent="0.3">
      <c r="B52" s="179">
        <v>51</v>
      </c>
      <c r="C52" s="181" t="s">
        <v>311</v>
      </c>
      <c r="D52" s="45" t="s">
        <v>765</v>
      </c>
      <c r="E52" s="46">
        <v>53</v>
      </c>
      <c r="F52" s="46">
        <v>178</v>
      </c>
      <c r="G52" s="46">
        <v>9</v>
      </c>
      <c r="H52" s="46" t="s">
        <v>26</v>
      </c>
      <c r="I52" s="46"/>
      <c r="J52" s="46">
        <v>1</v>
      </c>
      <c r="Q52" s="46"/>
    </row>
    <row r="53" spans="2:17" thickBot="1" x14ac:dyDescent="0.3">
      <c r="B53" s="179">
        <v>52</v>
      </c>
      <c r="C53" s="181" t="s">
        <v>1027</v>
      </c>
      <c r="D53" s="45" t="s">
        <v>1527</v>
      </c>
      <c r="E53" s="46">
        <v>53</v>
      </c>
      <c r="F53" s="46">
        <v>177</v>
      </c>
      <c r="G53" s="46">
        <v>9</v>
      </c>
      <c r="H53" s="46" t="s">
        <v>26</v>
      </c>
      <c r="I53" s="46"/>
      <c r="J53" s="46">
        <v>1</v>
      </c>
      <c r="Q53" s="46"/>
    </row>
    <row r="54" spans="2:17" thickBot="1" x14ac:dyDescent="0.3">
      <c r="B54" s="179">
        <v>53</v>
      </c>
      <c r="C54" s="181" t="s">
        <v>697</v>
      </c>
      <c r="D54" s="45" t="s">
        <v>1960</v>
      </c>
      <c r="E54" s="46">
        <v>53</v>
      </c>
      <c r="F54" s="46">
        <v>169</v>
      </c>
      <c r="G54" s="46">
        <v>9</v>
      </c>
      <c r="H54" s="46" t="s">
        <v>26</v>
      </c>
      <c r="I54" s="46"/>
      <c r="J54" s="46">
        <v>1</v>
      </c>
      <c r="Q54" s="46"/>
    </row>
    <row r="55" spans="2:17" thickBot="1" x14ac:dyDescent="0.3">
      <c r="B55" s="179">
        <v>54</v>
      </c>
      <c r="C55" s="181" t="s">
        <v>1982</v>
      </c>
      <c r="D55" s="45" t="s">
        <v>1104</v>
      </c>
      <c r="E55" s="46">
        <v>53</v>
      </c>
      <c r="F55" s="46">
        <v>157</v>
      </c>
      <c r="G55" s="46">
        <v>10</v>
      </c>
      <c r="H55" s="46" t="s">
        <v>26</v>
      </c>
      <c r="I55" s="46"/>
      <c r="J55" s="46">
        <v>1</v>
      </c>
      <c r="Q55" s="46"/>
    </row>
    <row r="56" spans="2:17" thickBot="1" x14ac:dyDescent="0.3">
      <c r="B56" s="179">
        <v>55</v>
      </c>
      <c r="C56" s="181" t="s">
        <v>1981</v>
      </c>
      <c r="D56" s="45" t="s">
        <v>1980</v>
      </c>
      <c r="E56" s="46">
        <v>53</v>
      </c>
      <c r="F56" s="46">
        <v>162</v>
      </c>
      <c r="G56" s="46">
        <v>10</v>
      </c>
      <c r="H56" s="46" t="s">
        <v>27</v>
      </c>
      <c r="I56" s="44">
        <v>1</v>
      </c>
      <c r="J56" s="46"/>
      <c r="P56" s="41">
        <v>1</v>
      </c>
      <c r="Q56" s="46" t="s">
        <v>111</v>
      </c>
    </row>
    <row r="57" spans="2:17" thickBot="1" x14ac:dyDescent="0.3">
      <c r="B57" s="179">
        <v>56</v>
      </c>
      <c r="C57" s="181" t="s">
        <v>1979</v>
      </c>
      <c r="D57" s="45" t="s">
        <v>1978</v>
      </c>
      <c r="E57" s="46">
        <v>53</v>
      </c>
      <c r="F57" s="46">
        <v>170</v>
      </c>
      <c r="G57" s="46">
        <v>10</v>
      </c>
      <c r="H57" s="46" t="s">
        <v>27</v>
      </c>
      <c r="I57" s="44">
        <v>1</v>
      </c>
      <c r="J57" s="46"/>
      <c r="P57" s="41">
        <v>1</v>
      </c>
      <c r="Q57" s="46" t="s">
        <v>111</v>
      </c>
    </row>
    <row r="58" spans="2:17" thickBot="1" x14ac:dyDescent="0.3">
      <c r="B58" s="179">
        <v>57</v>
      </c>
      <c r="C58" s="181" t="s">
        <v>1977</v>
      </c>
      <c r="D58" s="45" t="s">
        <v>857</v>
      </c>
      <c r="E58" s="46">
        <v>53</v>
      </c>
      <c r="F58" s="46">
        <v>171</v>
      </c>
      <c r="G58" s="46">
        <v>10</v>
      </c>
      <c r="H58" s="46" t="s">
        <v>27</v>
      </c>
      <c r="I58" s="44">
        <v>1</v>
      </c>
      <c r="J58" s="46"/>
      <c r="P58" s="41">
        <v>1</v>
      </c>
      <c r="Q58" s="46" t="s">
        <v>111</v>
      </c>
    </row>
    <row r="59" spans="2:17" thickBot="1" x14ac:dyDescent="0.3">
      <c r="B59" s="179">
        <v>58</v>
      </c>
      <c r="C59" s="181" t="s">
        <v>1855</v>
      </c>
      <c r="D59" s="45" t="s">
        <v>985</v>
      </c>
      <c r="E59" s="46">
        <v>53</v>
      </c>
      <c r="F59" s="46">
        <v>178</v>
      </c>
      <c r="G59" s="46">
        <v>10</v>
      </c>
      <c r="H59" s="46" t="s">
        <v>26</v>
      </c>
      <c r="I59" s="46"/>
      <c r="J59" s="46">
        <v>1</v>
      </c>
      <c r="Q59" s="46"/>
    </row>
    <row r="60" spans="2:17" thickBot="1" x14ac:dyDescent="0.3">
      <c r="B60" s="179">
        <v>59</v>
      </c>
      <c r="C60" s="181" t="s">
        <v>253</v>
      </c>
      <c r="D60" s="45" t="s">
        <v>1976</v>
      </c>
      <c r="E60" s="46">
        <v>53</v>
      </c>
      <c r="F60" s="46">
        <v>180</v>
      </c>
      <c r="G60" s="46">
        <v>10</v>
      </c>
      <c r="H60" s="46" t="s">
        <v>27</v>
      </c>
      <c r="I60" s="44">
        <v>1</v>
      </c>
      <c r="J60" s="46"/>
      <c r="P60" s="41">
        <v>1</v>
      </c>
      <c r="Q60" s="46" t="s">
        <v>111</v>
      </c>
    </row>
    <row r="61" spans="2:17" thickBot="1" x14ac:dyDescent="0.3">
      <c r="B61" s="179">
        <v>60</v>
      </c>
      <c r="C61" s="181" t="s">
        <v>138</v>
      </c>
      <c r="D61" s="45" t="s">
        <v>1975</v>
      </c>
      <c r="E61" s="46">
        <v>53</v>
      </c>
      <c r="F61" s="46">
        <v>181</v>
      </c>
      <c r="G61" s="46">
        <v>10</v>
      </c>
      <c r="H61" s="46" t="s">
        <v>27</v>
      </c>
      <c r="I61" s="44">
        <v>1</v>
      </c>
      <c r="J61" s="46"/>
      <c r="P61" s="41">
        <v>1</v>
      </c>
      <c r="Q61" s="46" t="s">
        <v>111</v>
      </c>
    </row>
    <row r="62" spans="2:17" thickBot="1" x14ac:dyDescent="0.3">
      <c r="B62" s="179">
        <v>61</v>
      </c>
      <c r="C62" s="181" t="s">
        <v>234</v>
      </c>
      <c r="D62" s="45" t="s">
        <v>3049</v>
      </c>
      <c r="E62" s="46">
        <v>53</v>
      </c>
      <c r="F62" s="46">
        <v>169</v>
      </c>
      <c r="G62" s="46">
        <v>11</v>
      </c>
      <c r="H62" s="46" t="s">
        <v>27</v>
      </c>
      <c r="I62" s="44">
        <v>1</v>
      </c>
      <c r="J62" s="46"/>
      <c r="P62" s="41">
        <v>1</v>
      </c>
      <c r="Q62" s="46"/>
    </row>
    <row r="63" spans="2:17" thickBot="1" x14ac:dyDescent="0.3">
      <c r="B63" s="179">
        <v>62</v>
      </c>
      <c r="C63" s="181" t="s">
        <v>712</v>
      </c>
      <c r="D63" s="45" t="s">
        <v>1331</v>
      </c>
      <c r="E63" s="46">
        <v>53</v>
      </c>
      <c r="F63" s="46">
        <v>157</v>
      </c>
      <c r="G63" s="46">
        <v>11</v>
      </c>
      <c r="H63" s="46" t="s">
        <v>27</v>
      </c>
      <c r="I63" s="44">
        <v>1</v>
      </c>
      <c r="J63" s="46"/>
      <c r="P63" s="41">
        <v>1</v>
      </c>
      <c r="Q63" s="46" t="s">
        <v>111</v>
      </c>
    </row>
    <row r="64" spans="2:17" thickBot="1" x14ac:dyDescent="0.3">
      <c r="B64" s="179">
        <v>63</v>
      </c>
      <c r="C64" s="181" t="s">
        <v>137</v>
      </c>
      <c r="D64" s="45" t="s">
        <v>1974</v>
      </c>
      <c r="E64" s="46">
        <v>53</v>
      </c>
      <c r="F64" s="46">
        <v>151</v>
      </c>
      <c r="G64" s="46">
        <v>12</v>
      </c>
      <c r="H64" s="46" t="s">
        <v>26</v>
      </c>
      <c r="I64" s="46"/>
      <c r="J64" s="46">
        <v>1</v>
      </c>
      <c r="Q64" s="46"/>
    </row>
    <row r="65" spans="2:17" thickBot="1" x14ac:dyDescent="0.3">
      <c r="B65" s="179">
        <v>64</v>
      </c>
      <c r="C65" s="181" t="s">
        <v>1637</v>
      </c>
      <c r="D65" s="45" t="s">
        <v>1973</v>
      </c>
      <c r="E65" s="46">
        <v>53</v>
      </c>
      <c r="F65" s="46">
        <v>159</v>
      </c>
      <c r="G65" s="46">
        <v>12</v>
      </c>
      <c r="H65" s="46" t="s">
        <v>26</v>
      </c>
      <c r="I65" s="46"/>
      <c r="J65" s="46">
        <v>1</v>
      </c>
      <c r="Q65" s="46"/>
    </row>
    <row r="66" spans="2:17" thickBot="1" x14ac:dyDescent="0.3">
      <c r="B66" s="179">
        <v>65</v>
      </c>
      <c r="C66" s="181" t="s">
        <v>1088</v>
      </c>
      <c r="D66" s="45" t="s">
        <v>1972</v>
      </c>
      <c r="E66" s="46">
        <v>53</v>
      </c>
      <c r="F66" s="46">
        <v>160</v>
      </c>
      <c r="G66" s="46">
        <v>12</v>
      </c>
      <c r="H66" s="46" t="s">
        <v>27</v>
      </c>
      <c r="I66" s="44">
        <v>1</v>
      </c>
      <c r="J66" s="46"/>
      <c r="P66" s="41">
        <v>1</v>
      </c>
      <c r="Q66" s="46" t="s">
        <v>111</v>
      </c>
    </row>
    <row r="67" spans="2:17" thickBot="1" x14ac:dyDescent="0.3">
      <c r="B67" s="179">
        <v>66</v>
      </c>
      <c r="C67" s="181" t="s">
        <v>270</v>
      </c>
      <c r="D67" s="45" t="s">
        <v>1971</v>
      </c>
      <c r="E67" s="46">
        <v>53</v>
      </c>
      <c r="F67" s="46">
        <v>172</v>
      </c>
      <c r="G67" s="46">
        <v>12</v>
      </c>
      <c r="H67" s="46" t="s">
        <v>27</v>
      </c>
      <c r="I67" s="44">
        <v>1</v>
      </c>
      <c r="J67" s="46"/>
      <c r="P67" s="41">
        <v>1</v>
      </c>
      <c r="Q67" s="46" t="s">
        <v>111</v>
      </c>
    </row>
    <row r="68" spans="2:17" thickBot="1" x14ac:dyDescent="0.3">
      <c r="B68" s="179">
        <v>67</v>
      </c>
      <c r="C68" s="181" t="s">
        <v>284</v>
      </c>
      <c r="D68" s="45" t="s">
        <v>1970</v>
      </c>
      <c r="E68" s="46">
        <v>53</v>
      </c>
      <c r="F68" s="46">
        <v>179</v>
      </c>
      <c r="G68" s="46">
        <v>12</v>
      </c>
      <c r="H68" s="46" t="s">
        <v>27</v>
      </c>
      <c r="I68" s="44">
        <v>1</v>
      </c>
      <c r="J68" s="46"/>
      <c r="P68" s="41">
        <v>1</v>
      </c>
      <c r="Q68" s="46" t="s">
        <v>111</v>
      </c>
    </row>
    <row r="69" spans="2:17" thickBot="1" x14ac:dyDescent="0.3">
      <c r="B69" s="179">
        <v>68</v>
      </c>
      <c r="C69" s="181" t="s">
        <v>640</v>
      </c>
      <c r="D69" s="45" t="s">
        <v>1969</v>
      </c>
      <c r="E69" s="46">
        <v>53</v>
      </c>
      <c r="F69" s="46">
        <v>177</v>
      </c>
      <c r="G69" s="46">
        <v>12</v>
      </c>
      <c r="H69" s="46" t="s">
        <v>27</v>
      </c>
      <c r="I69" s="44">
        <v>1</v>
      </c>
      <c r="J69" s="46"/>
      <c r="P69" s="41">
        <v>1</v>
      </c>
      <c r="Q69" s="46" t="s">
        <v>111</v>
      </c>
    </row>
    <row r="70" spans="2:17" thickBot="1" x14ac:dyDescent="0.3">
      <c r="B70" s="179">
        <v>69</v>
      </c>
      <c r="C70" s="181" t="s">
        <v>128</v>
      </c>
      <c r="D70" s="45" t="s">
        <v>1350</v>
      </c>
      <c r="E70" s="46">
        <v>53</v>
      </c>
      <c r="F70" s="46">
        <v>178</v>
      </c>
      <c r="G70" s="46">
        <v>12</v>
      </c>
      <c r="H70" s="46" t="s">
        <v>27</v>
      </c>
      <c r="I70" s="44">
        <v>1</v>
      </c>
      <c r="J70" s="46"/>
      <c r="P70" s="41">
        <v>1</v>
      </c>
      <c r="Q70" s="46" t="s">
        <v>111</v>
      </c>
    </row>
    <row r="71" spans="2:17" thickBot="1" x14ac:dyDescent="0.3">
      <c r="B71" s="179">
        <v>70</v>
      </c>
      <c r="C71" s="181" t="s">
        <v>135</v>
      </c>
      <c r="D71" s="45" t="s">
        <v>1968</v>
      </c>
      <c r="E71" s="46">
        <v>53</v>
      </c>
      <c r="F71" s="46">
        <v>180</v>
      </c>
      <c r="G71" s="46">
        <v>12</v>
      </c>
      <c r="H71" s="46" t="s">
        <v>26</v>
      </c>
      <c r="I71" s="44">
        <v>0</v>
      </c>
      <c r="J71" s="46">
        <v>1</v>
      </c>
      <c r="P71" s="41">
        <v>0</v>
      </c>
      <c r="Q71" s="46"/>
    </row>
    <row r="72" spans="2:17" thickBot="1" x14ac:dyDescent="0.3">
      <c r="B72" s="179">
        <v>71</v>
      </c>
      <c r="C72" s="181" t="s">
        <v>891</v>
      </c>
      <c r="D72" s="45" t="s">
        <v>1967</v>
      </c>
      <c r="E72" s="46">
        <v>53</v>
      </c>
      <c r="F72" s="46">
        <v>173</v>
      </c>
      <c r="G72" s="46">
        <v>13</v>
      </c>
      <c r="H72" s="46" t="s">
        <v>26</v>
      </c>
      <c r="I72" s="46"/>
      <c r="J72" s="46">
        <v>1</v>
      </c>
      <c r="Q72" s="46"/>
    </row>
    <row r="73" spans="2:17" ht="36.75" thickBot="1" x14ac:dyDescent="0.3">
      <c r="B73" s="179">
        <v>72</v>
      </c>
      <c r="C73" s="181" t="s">
        <v>125</v>
      </c>
      <c r="D73" s="45" t="s">
        <v>1966</v>
      </c>
      <c r="E73" s="46">
        <v>53</v>
      </c>
      <c r="F73" s="46">
        <v>163</v>
      </c>
      <c r="G73" s="46">
        <v>14</v>
      </c>
      <c r="H73" s="46" t="s">
        <v>27</v>
      </c>
      <c r="I73" s="44">
        <v>1</v>
      </c>
      <c r="J73" s="46"/>
      <c r="P73" s="41">
        <v>1</v>
      </c>
      <c r="Q73" s="46" t="s">
        <v>32</v>
      </c>
    </row>
    <row r="74" spans="2:17" thickBot="1" x14ac:dyDescent="0.3">
      <c r="B74" s="179">
        <v>73</v>
      </c>
      <c r="C74" s="181" t="s">
        <v>619</v>
      </c>
      <c r="D74" s="45" t="s">
        <v>1965</v>
      </c>
      <c r="E74" s="48">
        <v>53</v>
      </c>
      <c r="F74" s="48">
        <v>164</v>
      </c>
      <c r="G74" s="48">
        <v>14</v>
      </c>
      <c r="H74" s="46" t="s">
        <v>26</v>
      </c>
      <c r="I74" s="46"/>
      <c r="J74" s="46">
        <v>1</v>
      </c>
      <c r="Q74" s="46"/>
    </row>
    <row r="75" spans="2:17" thickBot="1" x14ac:dyDescent="0.3">
      <c r="B75" s="179">
        <v>74</v>
      </c>
      <c r="C75" s="181" t="s">
        <v>682</v>
      </c>
      <c r="D75" s="45" t="s">
        <v>1964</v>
      </c>
      <c r="E75" s="46">
        <v>53</v>
      </c>
      <c r="F75" s="46">
        <v>180</v>
      </c>
      <c r="G75" s="46">
        <v>14</v>
      </c>
      <c r="H75" s="46" t="s">
        <v>27</v>
      </c>
      <c r="I75" s="44">
        <v>1</v>
      </c>
      <c r="J75" s="46"/>
      <c r="P75" s="41">
        <v>1</v>
      </c>
      <c r="Q75" s="46"/>
    </row>
    <row r="76" spans="2:17" thickBot="1" x14ac:dyDescent="0.3">
      <c r="B76" s="179">
        <v>75</v>
      </c>
      <c r="C76" s="181" t="s">
        <v>362</v>
      </c>
      <c r="D76" s="185" t="s">
        <v>1779</v>
      </c>
      <c r="E76" s="46">
        <v>53</v>
      </c>
      <c r="F76" s="46">
        <v>133</v>
      </c>
      <c r="G76" s="46">
        <v>10</v>
      </c>
      <c r="H76" s="46" t="s">
        <v>27</v>
      </c>
      <c r="I76" s="44">
        <v>1</v>
      </c>
      <c r="J76" s="46"/>
      <c r="P76" s="41">
        <v>1</v>
      </c>
      <c r="Q76" s="46"/>
    </row>
    <row r="77" spans="2:17" thickBot="1" x14ac:dyDescent="0.3">
      <c r="B77" s="179">
        <v>76</v>
      </c>
      <c r="C77" s="181" t="s">
        <v>135</v>
      </c>
      <c r="D77" s="45" t="s">
        <v>1963</v>
      </c>
      <c r="E77" s="46">
        <v>53</v>
      </c>
      <c r="F77" s="46">
        <v>128</v>
      </c>
      <c r="G77" s="46">
        <v>11</v>
      </c>
      <c r="H77" s="46" t="s">
        <v>27</v>
      </c>
      <c r="I77" s="44">
        <v>1</v>
      </c>
      <c r="J77" s="46"/>
      <c r="P77" s="41">
        <v>1</v>
      </c>
      <c r="Q77" s="46"/>
    </row>
    <row r="78" spans="2:17" thickBot="1" x14ac:dyDescent="0.3">
      <c r="B78" s="179">
        <v>77</v>
      </c>
      <c r="C78" s="181" t="s">
        <v>123</v>
      </c>
      <c r="D78" s="45" t="s">
        <v>509</v>
      </c>
      <c r="E78" s="46">
        <v>53</v>
      </c>
      <c r="F78" s="46">
        <v>136</v>
      </c>
      <c r="G78" s="46">
        <v>11</v>
      </c>
      <c r="H78" s="46" t="s">
        <v>27</v>
      </c>
      <c r="I78" s="44">
        <v>1</v>
      </c>
      <c r="J78" s="46"/>
      <c r="P78" s="41">
        <v>1</v>
      </c>
      <c r="Q78" s="46"/>
    </row>
    <row r="79" spans="2:17" thickBot="1" x14ac:dyDescent="0.3">
      <c r="B79" s="179">
        <v>78</v>
      </c>
      <c r="C79" s="181" t="s">
        <v>362</v>
      </c>
      <c r="D79" s="45" t="s">
        <v>1962</v>
      </c>
      <c r="E79" s="48">
        <v>53</v>
      </c>
      <c r="F79" s="48">
        <v>144</v>
      </c>
      <c r="G79" s="48">
        <v>15</v>
      </c>
      <c r="H79" s="46" t="s">
        <v>27</v>
      </c>
      <c r="I79" s="44">
        <v>1</v>
      </c>
      <c r="J79" s="46"/>
      <c r="P79" s="41">
        <v>1</v>
      </c>
      <c r="Q79" s="46" t="s">
        <v>111</v>
      </c>
    </row>
    <row r="80" spans="2:17" thickBot="1" x14ac:dyDescent="0.3">
      <c r="B80" s="179">
        <v>79</v>
      </c>
      <c r="C80" s="181" t="s">
        <v>170</v>
      </c>
      <c r="D80" s="45" t="s">
        <v>1961</v>
      </c>
      <c r="E80" s="48">
        <v>53</v>
      </c>
      <c r="F80" s="48">
        <v>142</v>
      </c>
      <c r="G80" s="48">
        <v>15</v>
      </c>
      <c r="H80" s="46" t="s">
        <v>27</v>
      </c>
      <c r="I80" s="44">
        <v>1</v>
      </c>
      <c r="J80" s="46"/>
      <c r="P80" s="41">
        <v>1</v>
      </c>
      <c r="Q80" s="46" t="s">
        <v>111</v>
      </c>
    </row>
    <row r="81" spans="2:17" thickBot="1" x14ac:dyDescent="0.3">
      <c r="B81" s="179">
        <v>80</v>
      </c>
      <c r="C81" s="181" t="s">
        <v>132</v>
      </c>
      <c r="D81" s="185" t="s">
        <v>1960</v>
      </c>
      <c r="E81" s="48">
        <v>53</v>
      </c>
      <c r="F81" s="48">
        <v>127</v>
      </c>
      <c r="G81" s="48">
        <v>16</v>
      </c>
      <c r="H81" s="46" t="s">
        <v>27</v>
      </c>
      <c r="I81" s="44">
        <v>1</v>
      </c>
      <c r="J81" s="46"/>
      <c r="P81" s="41">
        <v>1</v>
      </c>
      <c r="Q81" s="46"/>
    </row>
    <row r="82" spans="2:17" thickBot="1" x14ac:dyDescent="0.3">
      <c r="B82" s="179">
        <v>81</v>
      </c>
      <c r="C82" s="181" t="s">
        <v>166</v>
      </c>
      <c r="D82" s="45" t="s">
        <v>2027</v>
      </c>
      <c r="E82" s="48">
        <v>53</v>
      </c>
      <c r="F82" s="48">
        <v>137</v>
      </c>
      <c r="G82" s="48">
        <v>11</v>
      </c>
      <c r="H82" s="46" t="s">
        <v>27</v>
      </c>
      <c r="I82" s="44">
        <v>1</v>
      </c>
      <c r="J82" s="46"/>
      <c r="P82" s="41">
        <v>1</v>
      </c>
      <c r="Q82" s="46" t="s">
        <v>111</v>
      </c>
    </row>
    <row r="83" spans="2:17" thickBot="1" x14ac:dyDescent="0.3">
      <c r="B83" s="179">
        <v>82</v>
      </c>
      <c r="C83" s="181" t="s">
        <v>128</v>
      </c>
      <c r="D83" s="45" t="s">
        <v>2026</v>
      </c>
      <c r="E83" s="48">
        <v>53</v>
      </c>
      <c r="F83" s="48">
        <v>139</v>
      </c>
      <c r="G83" s="48">
        <v>12</v>
      </c>
      <c r="H83" s="46" t="s">
        <v>26</v>
      </c>
      <c r="I83" s="46"/>
      <c r="J83" s="46">
        <v>1</v>
      </c>
      <c r="Q83" s="46"/>
    </row>
    <row r="84" spans="2:17" thickBot="1" x14ac:dyDescent="0.3">
      <c r="B84" s="179">
        <v>83</v>
      </c>
      <c r="C84" s="181" t="s">
        <v>135</v>
      </c>
      <c r="D84" s="45" t="s">
        <v>2025</v>
      </c>
      <c r="E84" s="46">
        <v>53</v>
      </c>
      <c r="F84" s="46">
        <v>141</v>
      </c>
      <c r="G84" s="46">
        <v>12</v>
      </c>
      <c r="H84" s="46" t="s">
        <v>26</v>
      </c>
      <c r="I84" s="46"/>
      <c r="J84" s="46">
        <v>1</v>
      </c>
      <c r="Q84" s="46"/>
    </row>
    <row r="85" spans="2:17" thickBot="1" x14ac:dyDescent="0.3">
      <c r="B85" s="179">
        <v>84</v>
      </c>
      <c r="C85" s="181" t="s">
        <v>125</v>
      </c>
      <c r="D85" s="45" t="s">
        <v>2024</v>
      </c>
      <c r="E85" s="48">
        <v>53</v>
      </c>
      <c r="F85" s="48">
        <v>157</v>
      </c>
      <c r="G85" s="48">
        <v>13</v>
      </c>
      <c r="H85" s="46" t="s">
        <v>26</v>
      </c>
      <c r="I85" s="46"/>
      <c r="J85" s="46">
        <v>1</v>
      </c>
      <c r="Q85" s="46"/>
    </row>
    <row r="86" spans="2:17" thickBot="1" x14ac:dyDescent="0.3">
      <c r="B86" s="179">
        <v>85</v>
      </c>
      <c r="C86" s="181" t="s">
        <v>125</v>
      </c>
      <c r="D86" s="45" t="s">
        <v>894</v>
      </c>
      <c r="E86" s="48">
        <v>53</v>
      </c>
      <c r="F86" s="48">
        <v>138</v>
      </c>
      <c r="G86" s="48">
        <v>14</v>
      </c>
      <c r="H86" s="46" t="s">
        <v>26</v>
      </c>
      <c r="I86" s="46"/>
      <c r="J86" s="46">
        <v>1</v>
      </c>
      <c r="Q86" s="46"/>
    </row>
    <row r="87" spans="2:17" thickBot="1" x14ac:dyDescent="0.3">
      <c r="B87" s="179">
        <v>86</v>
      </c>
      <c r="C87" s="181" t="s">
        <v>128</v>
      </c>
      <c r="D87" s="45" t="s">
        <v>2023</v>
      </c>
      <c r="E87" s="48">
        <v>53</v>
      </c>
      <c r="F87" s="48">
        <v>140</v>
      </c>
      <c r="G87" s="48">
        <v>14</v>
      </c>
      <c r="H87" s="46" t="s">
        <v>26</v>
      </c>
      <c r="I87" s="46"/>
      <c r="J87" s="46">
        <v>1</v>
      </c>
      <c r="Q87" s="46"/>
    </row>
    <row r="88" spans="2:17" thickBot="1" x14ac:dyDescent="0.3">
      <c r="B88" s="179">
        <v>87</v>
      </c>
      <c r="C88" s="181" t="s">
        <v>143</v>
      </c>
      <c r="D88" s="45" t="s">
        <v>2022</v>
      </c>
      <c r="E88" s="46">
        <v>53</v>
      </c>
      <c r="F88" s="46">
        <v>63</v>
      </c>
      <c r="G88" s="46">
        <v>7</v>
      </c>
      <c r="H88" s="46" t="s">
        <v>27</v>
      </c>
      <c r="I88" s="44">
        <v>1</v>
      </c>
      <c r="J88" s="46"/>
      <c r="P88" s="41">
        <v>1</v>
      </c>
      <c r="Q88" s="46"/>
    </row>
    <row r="89" spans="2:17" thickBot="1" x14ac:dyDescent="0.3">
      <c r="B89" s="179">
        <v>88</v>
      </c>
      <c r="C89" s="181" t="s">
        <v>2021</v>
      </c>
      <c r="D89" s="45" t="s">
        <v>2020</v>
      </c>
      <c r="E89" s="46">
        <v>53</v>
      </c>
      <c r="F89" s="46">
        <v>78</v>
      </c>
      <c r="G89" s="46">
        <v>8</v>
      </c>
      <c r="H89" s="46" t="s">
        <v>27</v>
      </c>
      <c r="I89" s="44">
        <v>1</v>
      </c>
      <c r="J89" s="46"/>
      <c r="P89" s="41">
        <v>1</v>
      </c>
      <c r="Q89" s="46"/>
    </row>
    <row r="90" spans="2:17" thickBot="1" x14ac:dyDescent="0.3">
      <c r="B90" s="179">
        <v>89</v>
      </c>
      <c r="C90" s="181" t="s">
        <v>125</v>
      </c>
      <c r="D90" s="45" t="s">
        <v>2019</v>
      </c>
      <c r="E90" s="46">
        <v>53</v>
      </c>
      <c r="F90" s="46">
        <v>83</v>
      </c>
      <c r="G90" s="46">
        <v>53</v>
      </c>
      <c r="H90" s="46" t="s">
        <v>27</v>
      </c>
      <c r="I90" s="44">
        <v>1</v>
      </c>
      <c r="J90" s="46"/>
      <c r="P90" s="41">
        <v>1</v>
      </c>
      <c r="Q90" s="46"/>
    </row>
    <row r="91" spans="2:17" thickBot="1" x14ac:dyDescent="0.3">
      <c r="B91" s="179">
        <v>90</v>
      </c>
      <c r="C91" s="181" t="s">
        <v>138</v>
      </c>
      <c r="D91" s="45" t="s">
        <v>2018</v>
      </c>
      <c r="E91" s="46">
        <v>53</v>
      </c>
      <c r="F91" s="46">
        <v>76</v>
      </c>
      <c r="G91" s="46">
        <v>7</v>
      </c>
      <c r="H91" s="46" t="s">
        <v>27</v>
      </c>
      <c r="I91" s="44">
        <v>1</v>
      </c>
      <c r="J91" s="46"/>
      <c r="P91" s="41">
        <v>1</v>
      </c>
      <c r="Q91" s="46"/>
    </row>
    <row r="92" spans="2:17" thickBot="1" x14ac:dyDescent="0.3">
      <c r="B92" s="179">
        <v>91</v>
      </c>
      <c r="C92" s="181" t="s">
        <v>138</v>
      </c>
      <c r="D92" s="45" t="s">
        <v>2017</v>
      </c>
      <c r="E92" s="46">
        <v>53</v>
      </c>
      <c r="F92" s="46">
        <v>66</v>
      </c>
      <c r="G92" s="46">
        <v>7</v>
      </c>
      <c r="H92" s="46" t="s">
        <v>27</v>
      </c>
      <c r="I92" s="44">
        <v>1</v>
      </c>
      <c r="J92" s="46"/>
      <c r="P92" s="41">
        <v>0</v>
      </c>
      <c r="Q92" s="46"/>
    </row>
    <row r="93" spans="2:17" thickBot="1" x14ac:dyDescent="0.3">
      <c r="B93" s="179">
        <v>92</v>
      </c>
      <c r="C93" s="181" t="s">
        <v>712</v>
      </c>
      <c r="D93" s="45" t="s">
        <v>1500</v>
      </c>
      <c r="E93" s="46">
        <v>53</v>
      </c>
      <c r="F93" s="46">
        <v>140</v>
      </c>
      <c r="G93" s="46">
        <v>15</v>
      </c>
      <c r="H93" s="46" t="s">
        <v>27</v>
      </c>
      <c r="I93" s="44">
        <v>1</v>
      </c>
      <c r="J93" s="46"/>
      <c r="P93" s="41">
        <v>1</v>
      </c>
      <c r="Q93" s="46"/>
    </row>
    <row r="94" spans="2:17" thickBot="1" x14ac:dyDescent="0.3">
      <c r="B94" s="179">
        <v>93</v>
      </c>
      <c r="C94" s="181" t="s">
        <v>296</v>
      </c>
      <c r="D94" s="45" t="s">
        <v>2016</v>
      </c>
      <c r="E94" s="48">
        <v>53</v>
      </c>
      <c r="F94" s="48">
        <v>134</v>
      </c>
      <c r="G94" s="48">
        <v>15</v>
      </c>
      <c r="H94" s="46" t="s">
        <v>26</v>
      </c>
      <c r="I94" s="46"/>
      <c r="J94" s="46">
        <v>1</v>
      </c>
      <c r="Q94" s="46"/>
    </row>
    <row r="95" spans="2:17" thickBot="1" x14ac:dyDescent="0.3">
      <c r="B95" s="179">
        <v>94</v>
      </c>
      <c r="C95" s="181" t="s">
        <v>409</v>
      </c>
      <c r="D95" s="45" t="s">
        <v>2015</v>
      </c>
      <c r="E95" s="48">
        <v>53</v>
      </c>
      <c r="F95" s="48">
        <v>175</v>
      </c>
      <c r="G95" s="48">
        <v>17</v>
      </c>
      <c r="H95" s="46" t="s">
        <v>26</v>
      </c>
      <c r="I95" s="46"/>
      <c r="J95" s="46">
        <v>1</v>
      </c>
      <c r="Q95" s="46"/>
    </row>
    <row r="96" spans="2:17" thickBot="1" x14ac:dyDescent="0.3">
      <c r="B96" s="179">
        <v>95</v>
      </c>
      <c r="C96" s="181" t="s">
        <v>891</v>
      </c>
      <c r="D96" s="45" t="s">
        <v>2014</v>
      </c>
      <c r="E96" s="46">
        <v>53</v>
      </c>
      <c r="F96" s="46">
        <v>77</v>
      </c>
      <c r="G96" s="46">
        <v>6</v>
      </c>
      <c r="H96" s="46" t="s">
        <v>27</v>
      </c>
      <c r="I96" s="44">
        <v>1</v>
      </c>
      <c r="J96" s="46"/>
      <c r="P96" s="41">
        <v>1</v>
      </c>
      <c r="Q96" s="46"/>
    </row>
    <row r="97" spans="1:17" thickBot="1" x14ac:dyDescent="0.3">
      <c r="B97" s="179">
        <v>96</v>
      </c>
      <c r="C97" s="181" t="s">
        <v>2013</v>
      </c>
      <c r="D97" s="45" t="s">
        <v>2012</v>
      </c>
      <c r="E97" s="46">
        <v>53</v>
      </c>
      <c r="F97" s="46">
        <v>70</v>
      </c>
      <c r="G97" s="46">
        <v>6</v>
      </c>
      <c r="H97" s="46" t="s">
        <v>27</v>
      </c>
      <c r="I97" s="44">
        <v>1</v>
      </c>
      <c r="J97" s="46"/>
      <c r="P97" s="41">
        <v>1</v>
      </c>
      <c r="Q97" s="46"/>
    </row>
    <row r="98" spans="1:17" thickBot="1" x14ac:dyDescent="0.3">
      <c r="B98" s="179">
        <v>97</v>
      </c>
      <c r="C98" s="181" t="s">
        <v>483</v>
      </c>
      <c r="D98" s="45" t="s">
        <v>831</v>
      </c>
      <c r="E98" s="46">
        <v>53</v>
      </c>
      <c r="F98" s="46">
        <v>62</v>
      </c>
      <c r="G98" s="46">
        <v>6</v>
      </c>
      <c r="H98" s="46" t="s">
        <v>27</v>
      </c>
      <c r="I98" s="44">
        <v>1</v>
      </c>
      <c r="J98" s="46"/>
      <c r="P98" s="41">
        <v>1</v>
      </c>
      <c r="Q98" s="46"/>
    </row>
    <row r="99" spans="1:17" thickBot="1" x14ac:dyDescent="0.3">
      <c r="B99" s="179">
        <v>98</v>
      </c>
      <c r="C99" s="181" t="s">
        <v>280</v>
      </c>
      <c r="D99" s="45" t="s">
        <v>2011</v>
      </c>
      <c r="E99" s="48">
        <v>53</v>
      </c>
      <c r="F99" s="48">
        <v>143</v>
      </c>
      <c r="G99" s="48">
        <v>18</v>
      </c>
      <c r="H99" s="46" t="s">
        <v>26</v>
      </c>
      <c r="I99" s="46"/>
      <c r="J99" s="46">
        <v>1</v>
      </c>
      <c r="Q99" s="46"/>
    </row>
    <row r="100" spans="1:17" thickBot="1" x14ac:dyDescent="0.3">
      <c r="B100" s="179">
        <v>99</v>
      </c>
      <c r="C100" s="181" t="s">
        <v>3034</v>
      </c>
      <c r="D100" s="45" t="s">
        <v>3033</v>
      </c>
      <c r="E100" s="48">
        <v>53</v>
      </c>
      <c r="F100" s="48">
        <v>141</v>
      </c>
      <c r="G100" s="48">
        <v>18</v>
      </c>
      <c r="H100" s="46" t="s">
        <v>26</v>
      </c>
      <c r="I100" s="46"/>
      <c r="J100" s="46">
        <v>1</v>
      </c>
      <c r="Q100" s="46"/>
    </row>
    <row r="101" spans="1:17" thickBot="1" x14ac:dyDescent="0.3">
      <c r="B101" s="179">
        <v>100</v>
      </c>
      <c r="C101" s="181" t="s">
        <v>123</v>
      </c>
      <c r="D101" s="45" t="s">
        <v>2010</v>
      </c>
      <c r="E101" s="48">
        <v>53</v>
      </c>
      <c r="F101" s="48">
        <v>132</v>
      </c>
      <c r="G101" s="48">
        <v>18</v>
      </c>
      <c r="H101" s="46" t="s">
        <v>26</v>
      </c>
      <c r="I101" s="46"/>
      <c r="J101" s="46">
        <v>1</v>
      </c>
      <c r="Q101" s="46"/>
    </row>
    <row r="102" spans="1:17" thickBot="1" x14ac:dyDescent="0.3">
      <c r="B102" s="179">
        <v>101</v>
      </c>
      <c r="C102" s="181" t="s">
        <v>2009</v>
      </c>
      <c r="D102" s="45" t="s">
        <v>1616</v>
      </c>
      <c r="E102" s="46">
        <v>53</v>
      </c>
      <c r="F102" s="46">
        <v>94</v>
      </c>
      <c r="G102" s="46">
        <v>18</v>
      </c>
      <c r="H102" s="46" t="s">
        <v>27</v>
      </c>
      <c r="I102" s="44">
        <v>1</v>
      </c>
      <c r="J102" s="46"/>
      <c r="P102" s="41">
        <v>1</v>
      </c>
      <c r="Q102" s="46" t="s">
        <v>111</v>
      </c>
    </row>
    <row r="103" spans="1:17" thickBot="1" x14ac:dyDescent="0.3">
      <c r="B103" s="179">
        <v>102</v>
      </c>
      <c r="C103" s="181" t="s">
        <v>152</v>
      </c>
      <c r="D103" s="45" t="s">
        <v>2008</v>
      </c>
      <c r="E103" s="46">
        <v>53</v>
      </c>
      <c r="F103" s="46">
        <v>124</v>
      </c>
      <c r="G103" s="46">
        <v>17</v>
      </c>
      <c r="H103" s="46" t="s">
        <v>26</v>
      </c>
      <c r="I103" s="44">
        <v>0</v>
      </c>
      <c r="J103" s="46">
        <v>1</v>
      </c>
      <c r="P103" s="41">
        <v>0</v>
      </c>
      <c r="Q103" s="46"/>
    </row>
    <row r="104" spans="1:17" thickBot="1" x14ac:dyDescent="0.3">
      <c r="B104" s="179">
        <v>103</v>
      </c>
      <c r="C104" s="181" t="s">
        <v>891</v>
      </c>
      <c r="D104" s="45" t="s">
        <v>2007</v>
      </c>
      <c r="E104" s="46">
        <v>53</v>
      </c>
      <c r="F104" s="46">
        <v>111</v>
      </c>
      <c r="G104" s="46">
        <v>16</v>
      </c>
      <c r="H104" s="46" t="s">
        <v>27</v>
      </c>
      <c r="I104" s="44">
        <v>1</v>
      </c>
      <c r="J104" s="46"/>
      <c r="P104" s="41">
        <v>1</v>
      </c>
      <c r="Q104" s="46" t="s">
        <v>111</v>
      </c>
    </row>
    <row r="105" spans="1:17" thickBot="1" x14ac:dyDescent="0.3">
      <c r="A105" s="196"/>
      <c r="B105" s="179">
        <v>104</v>
      </c>
      <c r="C105" s="181" t="s">
        <v>296</v>
      </c>
      <c r="D105" s="45" t="s">
        <v>3050</v>
      </c>
      <c r="E105" s="46">
        <v>53</v>
      </c>
      <c r="F105" s="48">
        <v>125</v>
      </c>
      <c r="G105" s="46">
        <v>16</v>
      </c>
      <c r="H105" s="46" t="s">
        <v>27</v>
      </c>
      <c r="I105" s="44">
        <v>1</v>
      </c>
      <c r="J105" s="46"/>
      <c r="P105" s="41">
        <v>1</v>
      </c>
      <c r="Q105" s="46" t="s">
        <v>111</v>
      </c>
    </row>
    <row r="106" spans="1:17" thickBot="1" x14ac:dyDescent="0.3">
      <c r="B106" s="179">
        <v>105</v>
      </c>
      <c r="C106" s="181" t="s">
        <v>1320</v>
      </c>
      <c r="D106" s="45" t="s">
        <v>2006</v>
      </c>
      <c r="E106" s="46">
        <v>53</v>
      </c>
      <c r="F106" s="46">
        <v>90</v>
      </c>
      <c r="G106" s="46">
        <v>16</v>
      </c>
      <c r="H106" s="46" t="s">
        <v>27</v>
      </c>
      <c r="I106" s="44">
        <v>1</v>
      </c>
      <c r="J106" s="46"/>
      <c r="Q106" s="46"/>
    </row>
    <row r="107" spans="1:17" thickBot="1" x14ac:dyDescent="0.3">
      <c r="B107" s="179">
        <v>106</v>
      </c>
      <c r="C107" s="181" t="s">
        <v>132</v>
      </c>
      <c r="D107" s="45" t="s">
        <v>2005</v>
      </c>
      <c r="E107" s="46">
        <v>53</v>
      </c>
      <c r="F107" s="46">
        <v>95</v>
      </c>
      <c r="G107" s="46">
        <v>13</v>
      </c>
      <c r="H107" s="46" t="s">
        <v>27</v>
      </c>
      <c r="I107" s="44">
        <v>1</v>
      </c>
      <c r="J107" s="46"/>
      <c r="P107" s="41">
        <v>1</v>
      </c>
      <c r="Q107" s="46"/>
    </row>
    <row r="108" spans="1:17" thickBot="1" x14ac:dyDescent="0.3">
      <c r="B108" s="179">
        <v>107</v>
      </c>
      <c r="C108" s="181" t="s">
        <v>2004</v>
      </c>
      <c r="D108" s="45" t="s">
        <v>2003</v>
      </c>
      <c r="E108" s="46">
        <v>53</v>
      </c>
      <c r="F108" s="46">
        <v>113</v>
      </c>
      <c r="G108" s="46">
        <v>12</v>
      </c>
      <c r="H108" s="46" t="s">
        <v>27</v>
      </c>
      <c r="I108" s="44">
        <v>1</v>
      </c>
      <c r="J108" s="46"/>
      <c r="P108" s="41">
        <v>0</v>
      </c>
      <c r="Q108" s="46"/>
    </row>
    <row r="109" spans="1:17" thickBot="1" x14ac:dyDescent="0.3">
      <c r="B109" s="179">
        <v>108</v>
      </c>
      <c r="C109" s="181" t="s">
        <v>2002</v>
      </c>
      <c r="D109" s="45" t="s">
        <v>2001</v>
      </c>
      <c r="E109" s="46">
        <v>53</v>
      </c>
      <c r="F109" s="46">
        <v>105</v>
      </c>
      <c r="G109" s="46">
        <v>11</v>
      </c>
      <c r="H109" s="46" t="s">
        <v>27</v>
      </c>
      <c r="I109" s="44">
        <v>1</v>
      </c>
      <c r="J109" s="46"/>
      <c r="P109" s="41">
        <v>1</v>
      </c>
      <c r="Q109" s="46"/>
    </row>
    <row r="110" spans="1:17" thickBot="1" x14ac:dyDescent="0.3">
      <c r="B110" s="179">
        <v>109</v>
      </c>
      <c r="C110" s="181" t="s">
        <v>131</v>
      </c>
      <c r="D110" s="45" t="s">
        <v>2000</v>
      </c>
      <c r="E110" s="46">
        <v>53</v>
      </c>
      <c r="F110" s="46">
        <v>103</v>
      </c>
      <c r="G110" s="46">
        <v>18</v>
      </c>
      <c r="H110" s="46" t="s">
        <v>26</v>
      </c>
      <c r="I110" s="46"/>
      <c r="J110" s="46">
        <v>1</v>
      </c>
      <c r="Q110" s="46" t="s">
        <v>111</v>
      </c>
    </row>
    <row r="111" spans="1:17" thickBot="1" x14ac:dyDescent="0.3">
      <c r="B111" s="179">
        <v>110</v>
      </c>
      <c r="C111" s="181" t="s">
        <v>891</v>
      </c>
      <c r="D111" s="45" t="s">
        <v>1999</v>
      </c>
      <c r="E111" s="46">
        <v>53</v>
      </c>
      <c r="F111" s="46">
        <v>87</v>
      </c>
      <c r="G111" s="46">
        <v>18</v>
      </c>
      <c r="H111" s="46" t="s">
        <v>27</v>
      </c>
      <c r="I111" s="46">
        <v>1</v>
      </c>
      <c r="J111" s="46">
        <v>0</v>
      </c>
      <c r="P111" s="41">
        <v>1</v>
      </c>
      <c r="Q111" s="46" t="s">
        <v>111</v>
      </c>
    </row>
    <row r="112" spans="1:17" thickBot="1" x14ac:dyDescent="0.3">
      <c r="B112" s="179">
        <v>111</v>
      </c>
      <c r="C112" s="181" t="s">
        <v>1088</v>
      </c>
      <c r="D112" s="45" t="s">
        <v>1998</v>
      </c>
      <c r="E112" s="46">
        <v>53</v>
      </c>
      <c r="F112" s="46">
        <v>90</v>
      </c>
      <c r="G112" s="46">
        <v>17</v>
      </c>
      <c r="H112" s="46" t="s">
        <v>27</v>
      </c>
      <c r="I112" s="46">
        <v>1</v>
      </c>
      <c r="J112" s="46">
        <v>0</v>
      </c>
      <c r="P112" s="41">
        <v>1</v>
      </c>
      <c r="Q112" s="46" t="s">
        <v>111</v>
      </c>
    </row>
    <row r="113" spans="2:17" thickBot="1" x14ac:dyDescent="0.3">
      <c r="B113" s="179">
        <v>112</v>
      </c>
      <c r="C113" s="181" t="s">
        <v>138</v>
      </c>
      <c r="D113" s="45" t="s">
        <v>1997</v>
      </c>
      <c r="E113" s="46">
        <v>53</v>
      </c>
      <c r="F113" s="46">
        <v>99</v>
      </c>
      <c r="G113" s="46">
        <v>17</v>
      </c>
      <c r="H113" s="46" t="s">
        <v>26</v>
      </c>
      <c r="I113" s="46"/>
      <c r="J113" s="46">
        <v>1</v>
      </c>
      <c r="Q113" s="46"/>
    </row>
    <row r="114" spans="2:17" thickBot="1" x14ac:dyDescent="0.3">
      <c r="B114" s="179">
        <v>113</v>
      </c>
      <c r="C114" s="181" t="s">
        <v>781</v>
      </c>
      <c r="D114" s="45" t="s">
        <v>1996</v>
      </c>
      <c r="E114" s="46">
        <v>53</v>
      </c>
      <c r="F114" s="46">
        <v>122</v>
      </c>
      <c r="G114" s="46">
        <v>17</v>
      </c>
      <c r="H114" s="46" t="s">
        <v>26</v>
      </c>
      <c r="I114" s="44">
        <v>0</v>
      </c>
      <c r="J114" s="46">
        <v>1</v>
      </c>
      <c r="P114" s="41">
        <v>0</v>
      </c>
      <c r="Q114" s="46"/>
    </row>
    <row r="115" spans="2:17" thickBot="1" x14ac:dyDescent="0.3">
      <c r="B115" s="179">
        <v>114</v>
      </c>
      <c r="C115" s="181" t="s">
        <v>131</v>
      </c>
      <c r="D115" s="45" t="s">
        <v>1995</v>
      </c>
      <c r="E115" s="48">
        <v>53</v>
      </c>
      <c r="F115" s="48">
        <v>99</v>
      </c>
      <c r="G115" s="48">
        <v>16</v>
      </c>
      <c r="H115" s="46" t="s">
        <v>27</v>
      </c>
      <c r="I115" s="44">
        <v>1</v>
      </c>
      <c r="J115" s="46"/>
      <c r="P115" s="41">
        <v>0</v>
      </c>
      <c r="Q115" s="46"/>
    </row>
    <row r="116" spans="2:17" thickBot="1" x14ac:dyDescent="0.3">
      <c r="B116" s="179">
        <v>115</v>
      </c>
      <c r="C116" s="181" t="s">
        <v>125</v>
      </c>
      <c r="D116" s="45" t="s">
        <v>1994</v>
      </c>
      <c r="E116" s="46">
        <v>53</v>
      </c>
      <c r="F116" s="46">
        <v>97</v>
      </c>
      <c r="G116" s="46">
        <v>16</v>
      </c>
      <c r="H116" s="46" t="s">
        <v>26</v>
      </c>
      <c r="I116" s="46"/>
      <c r="J116" s="46">
        <v>1</v>
      </c>
      <c r="Q116" s="46"/>
    </row>
    <row r="117" spans="2:17" thickBot="1" x14ac:dyDescent="0.3">
      <c r="B117" s="179">
        <v>116</v>
      </c>
      <c r="C117" s="181" t="s">
        <v>135</v>
      </c>
      <c r="D117" s="45" t="s">
        <v>1965</v>
      </c>
      <c r="E117" s="46">
        <v>53</v>
      </c>
      <c r="F117" s="46">
        <v>123</v>
      </c>
      <c r="G117" s="46">
        <v>15</v>
      </c>
      <c r="H117" s="46" t="s">
        <v>27</v>
      </c>
      <c r="I117" s="44">
        <v>1</v>
      </c>
      <c r="J117" s="46"/>
      <c r="P117" s="41">
        <v>1</v>
      </c>
      <c r="Q117" s="46"/>
    </row>
    <row r="118" spans="2:17" thickBot="1" x14ac:dyDescent="0.3">
      <c r="B118" s="179">
        <v>117</v>
      </c>
      <c r="C118" s="181" t="s">
        <v>1993</v>
      </c>
      <c r="D118" s="45" t="s">
        <v>1081</v>
      </c>
      <c r="E118" s="46">
        <v>53</v>
      </c>
      <c r="F118" s="46">
        <v>101</v>
      </c>
      <c r="G118" s="46">
        <v>15</v>
      </c>
      <c r="H118" s="46" t="s">
        <v>27</v>
      </c>
      <c r="I118" s="44">
        <v>1</v>
      </c>
      <c r="J118" s="46"/>
      <c r="P118" s="41">
        <v>0</v>
      </c>
      <c r="Q118" s="46"/>
    </row>
    <row r="119" spans="2:17" thickBot="1" x14ac:dyDescent="0.3">
      <c r="B119" s="179">
        <v>118</v>
      </c>
      <c r="C119" s="181" t="s">
        <v>187</v>
      </c>
      <c r="D119" s="45" t="s">
        <v>1992</v>
      </c>
      <c r="E119" s="46">
        <v>53</v>
      </c>
      <c r="F119" s="46">
        <v>98</v>
      </c>
      <c r="G119" s="46">
        <v>15</v>
      </c>
      <c r="H119" s="46" t="s">
        <v>27</v>
      </c>
      <c r="I119" s="44">
        <v>1</v>
      </c>
      <c r="J119" s="46"/>
      <c r="P119" s="41">
        <v>1</v>
      </c>
      <c r="Q119" s="46"/>
    </row>
    <row r="120" spans="2:17" thickBot="1" x14ac:dyDescent="0.3">
      <c r="B120" s="179">
        <v>119</v>
      </c>
      <c r="C120" s="181" t="s">
        <v>659</v>
      </c>
      <c r="D120" s="45" t="s">
        <v>1991</v>
      </c>
      <c r="E120" s="46">
        <v>53</v>
      </c>
      <c r="F120" s="46">
        <v>94</v>
      </c>
      <c r="G120" s="46">
        <v>14</v>
      </c>
      <c r="H120" s="46" t="s">
        <v>27</v>
      </c>
      <c r="I120" s="44">
        <v>1</v>
      </c>
      <c r="J120" s="46"/>
      <c r="P120" s="41">
        <v>1</v>
      </c>
      <c r="Q120" s="46"/>
    </row>
    <row r="121" spans="2:17" thickBot="1" x14ac:dyDescent="0.3">
      <c r="B121" s="179">
        <v>120</v>
      </c>
      <c r="C121" s="181" t="s">
        <v>738</v>
      </c>
      <c r="D121" s="45" t="s">
        <v>1991</v>
      </c>
      <c r="E121" s="46">
        <v>53</v>
      </c>
      <c r="F121" s="46">
        <v>95</v>
      </c>
      <c r="G121" s="46">
        <v>14</v>
      </c>
      <c r="H121" s="46" t="s">
        <v>27</v>
      </c>
      <c r="I121" s="44">
        <v>1</v>
      </c>
      <c r="J121" s="46"/>
      <c r="P121" s="41">
        <v>1</v>
      </c>
      <c r="Q121" s="46"/>
    </row>
    <row r="122" spans="2:17" thickBot="1" x14ac:dyDescent="0.3">
      <c r="B122" s="179">
        <v>121</v>
      </c>
      <c r="C122" s="181" t="s">
        <v>1990</v>
      </c>
      <c r="D122" s="45" t="s">
        <v>532</v>
      </c>
      <c r="E122" s="46">
        <v>53</v>
      </c>
      <c r="F122" s="46">
        <v>90</v>
      </c>
      <c r="G122" s="46">
        <v>14</v>
      </c>
      <c r="H122" s="46" t="s">
        <v>26</v>
      </c>
      <c r="I122" s="46"/>
      <c r="J122" s="46">
        <v>1</v>
      </c>
      <c r="Q122" s="46"/>
    </row>
    <row r="123" spans="2:17" thickBot="1" x14ac:dyDescent="0.3">
      <c r="B123" s="179">
        <v>122</v>
      </c>
      <c r="C123" s="181" t="s">
        <v>224</v>
      </c>
      <c r="D123" s="45" t="s">
        <v>1989</v>
      </c>
      <c r="E123" s="46">
        <v>53</v>
      </c>
      <c r="F123" s="46">
        <v>129</v>
      </c>
      <c r="G123" s="46">
        <v>14</v>
      </c>
      <c r="H123" s="46" t="s">
        <v>26</v>
      </c>
      <c r="I123" s="46"/>
      <c r="J123" s="46">
        <v>1</v>
      </c>
      <c r="Q123" s="46"/>
    </row>
    <row r="124" spans="2:17" thickBot="1" x14ac:dyDescent="0.3">
      <c r="B124" s="179">
        <v>123</v>
      </c>
      <c r="C124" s="181" t="s">
        <v>731</v>
      </c>
      <c r="D124" s="45" t="s">
        <v>3024</v>
      </c>
      <c r="E124" s="48">
        <v>53</v>
      </c>
      <c r="F124" s="48">
        <v>110</v>
      </c>
      <c r="G124" s="48">
        <v>13</v>
      </c>
      <c r="H124" s="46" t="s">
        <v>26</v>
      </c>
      <c r="I124" s="46"/>
      <c r="J124" s="46">
        <v>1</v>
      </c>
      <c r="Q124" s="46"/>
    </row>
    <row r="125" spans="2:17" thickBot="1" x14ac:dyDescent="0.3">
      <c r="B125" s="179">
        <v>124</v>
      </c>
      <c r="C125" s="181" t="s">
        <v>1194</v>
      </c>
      <c r="D125" s="45" t="s">
        <v>1534</v>
      </c>
      <c r="E125" s="48">
        <v>53</v>
      </c>
      <c r="F125" s="48">
        <v>101</v>
      </c>
      <c r="G125" s="48">
        <v>13</v>
      </c>
      <c r="H125" s="46" t="s">
        <v>26</v>
      </c>
      <c r="I125" s="46"/>
      <c r="J125" s="46">
        <v>1</v>
      </c>
      <c r="Q125" s="46"/>
    </row>
    <row r="126" spans="2:17" thickBot="1" x14ac:dyDescent="0.3">
      <c r="B126" s="179">
        <v>125</v>
      </c>
      <c r="C126" s="181" t="s">
        <v>139</v>
      </c>
      <c r="D126" s="45" t="s">
        <v>2056</v>
      </c>
      <c r="E126" s="46">
        <v>53</v>
      </c>
      <c r="F126" s="46">
        <v>100</v>
      </c>
      <c r="G126" s="46">
        <v>13</v>
      </c>
      <c r="H126" s="46" t="s">
        <v>26</v>
      </c>
      <c r="I126" s="46"/>
      <c r="J126" s="46">
        <v>1</v>
      </c>
      <c r="Q126" s="46"/>
    </row>
    <row r="127" spans="2:17" thickBot="1" x14ac:dyDescent="0.3">
      <c r="B127" s="179">
        <v>126</v>
      </c>
      <c r="C127" s="181" t="s">
        <v>224</v>
      </c>
      <c r="D127" s="45" t="s">
        <v>2055</v>
      </c>
      <c r="E127" s="46">
        <v>53</v>
      </c>
      <c r="F127" s="46">
        <v>101</v>
      </c>
      <c r="G127" s="46">
        <v>12</v>
      </c>
      <c r="H127" s="46" t="s">
        <v>26</v>
      </c>
      <c r="I127" s="44">
        <v>0</v>
      </c>
      <c r="J127" s="46">
        <v>1</v>
      </c>
      <c r="P127" s="41">
        <v>0</v>
      </c>
      <c r="Q127" s="46"/>
    </row>
    <row r="128" spans="2:17" thickBot="1" x14ac:dyDescent="0.3">
      <c r="B128" s="179">
        <v>127</v>
      </c>
      <c r="C128" s="181" t="s">
        <v>123</v>
      </c>
      <c r="D128" s="45" t="s">
        <v>2054</v>
      </c>
      <c r="E128" s="46">
        <v>53</v>
      </c>
      <c r="F128" s="46">
        <v>96</v>
      </c>
      <c r="G128" s="46">
        <v>12</v>
      </c>
      <c r="H128" s="46" t="s">
        <v>26</v>
      </c>
      <c r="I128" s="46"/>
      <c r="J128" s="46">
        <v>1</v>
      </c>
      <c r="Q128" s="46"/>
    </row>
    <row r="129" spans="2:17" thickBot="1" x14ac:dyDescent="0.3">
      <c r="B129" s="179">
        <v>128</v>
      </c>
      <c r="C129" s="181" t="s">
        <v>2053</v>
      </c>
      <c r="D129" s="45" t="s">
        <v>2052</v>
      </c>
      <c r="E129" s="46">
        <v>53</v>
      </c>
      <c r="F129" s="46">
        <v>106</v>
      </c>
      <c r="G129" s="46">
        <v>12</v>
      </c>
      <c r="H129" s="46" t="s">
        <v>26</v>
      </c>
      <c r="I129" s="46"/>
      <c r="J129" s="46">
        <v>1</v>
      </c>
      <c r="Q129" s="46"/>
    </row>
    <row r="130" spans="2:17" thickBot="1" x14ac:dyDescent="0.3">
      <c r="B130" s="179">
        <v>129</v>
      </c>
      <c r="C130" s="181" t="s">
        <v>138</v>
      </c>
      <c r="D130" s="45" t="s">
        <v>2050</v>
      </c>
      <c r="E130" s="46">
        <v>53</v>
      </c>
      <c r="F130" s="46">
        <v>108</v>
      </c>
      <c r="G130" s="46">
        <v>12</v>
      </c>
      <c r="H130" s="46" t="s">
        <v>27</v>
      </c>
      <c r="I130" s="44">
        <v>1</v>
      </c>
      <c r="J130" s="46"/>
      <c r="P130" s="41">
        <v>1</v>
      </c>
      <c r="Q130" s="46"/>
    </row>
    <row r="131" spans="2:17" thickBot="1" x14ac:dyDescent="0.3">
      <c r="B131" s="179">
        <v>130</v>
      </c>
      <c r="C131" s="181" t="s">
        <v>296</v>
      </c>
      <c r="D131" s="45" t="s">
        <v>2051</v>
      </c>
      <c r="E131" s="46">
        <v>53</v>
      </c>
      <c r="F131" s="46">
        <v>120</v>
      </c>
      <c r="G131" s="46">
        <v>12</v>
      </c>
      <c r="H131" s="46" t="s">
        <v>26</v>
      </c>
      <c r="I131" s="46"/>
      <c r="J131" s="46">
        <v>1</v>
      </c>
      <c r="Q131" s="46"/>
    </row>
    <row r="132" spans="2:17" thickBot="1" x14ac:dyDescent="0.3">
      <c r="B132" s="179">
        <v>131</v>
      </c>
      <c r="C132" s="181" t="s">
        <v>2049</v>
      </c>
      <c r="D132" s="45" t="s">
        <v>1009</v>
      </c>
      <c r="E132" s="46">
        <v>53</v>
      </c>
      <c r="F132" s="46">
        <v>117</v>
      </c>
      <c r="G132" s="46">
        <v>11</v>
      </c>
      <c r="H132" s="46" t="s">
        <v>26</v>
      </c>
      <c r="I132" s="46"/>
      <c r="J132" s="46">
        <v>1</v>
      </c>
      <c r="Q132" s="46"/>
    </row>
    <row r="133" spans="2:17" thickBot="1" x14ac:dyDescent="0.3">
      <c r="B133" s="179">
        <v>132</v>
      </c>
      <c r="C133" s="181" t="s">
        <v>166</v>
      </c>
      <c r="D133" s="45" t="s">
        <v>375</v>
      </c>
      <c r="E133" s="46">
        <v>53</v>
      </c>
      <c r="F133" s="46">
        <v>106</v>
      </c>
      <c r="G133" s="46">
        <v>10</v>
      </c>
      <c r="H133" s="46" t="s">
        <v>26</v>
      </c>
      <c r="I133" s="46"/>
      <c r="J133" s="46">
        <v>1</v>
      </c>
      <c r="Q133" s="46"/>
    </row>
    <row r="134" spans="2:17" thickBot="1" x14ac:dyDescent="0.3">
      <c r="B134" s="179">
        <v>133</v>
      </c>
      <c r="C134" s="181" t="s">
        <v>125</v>
      </c>
      <c r="D134" s="45" t="s">
        <v>2048</v>
      </c>
      <c r="E134" s="46">
        <v>53</v>
      </c>
      <c r="F134" s="46">
        <v>123</v>
      </c>
      <c r="G134" s="46">
        <v>5</v>
      </c>
      <c r="H134" s="46" t="s">
        <v>27</v>
      </c>
      <c r="I134" s="44">
        <v>1</v>
      </c>
      <c r="J134" s="46"/>
      <c r="P134" s="41">
        <v>1</v>
      </c>
      <c r="Q134" s="46"/>
    </row>
    <row r="135" spans="2:17" thickBot="1" x14ac:dyDescent="0.3">
      <c r="B135" s="179">
        <v>134</v>
      </c>
      <c r="C135" s="181" t="s">
        <v>2047</v>
      </c>
      <c r="D135" s="185" t="s">
        <v>392</v>
      </c>
      <c r="E135" s="46">
        <v>53</v>
      </c>
      <c r="F135" s="46">
        <v>133</v>
      </c>
      <c r="G135" s="46">
        <v>9</v>
      </c>
      <c r="H135" s="46" t="s">
        <v>27</v>
      </c>
      <c r="I135" s="44">
        <v>1</v>
      </c>
      <c r="J135" s="46"/>
      <c r="P135" s="41">
        <v>1</v>
      </c>
      <c r="Q135" s="46"/>
    </row>
    <row r="136" spans="2:17" thickBot="1" x14ac:dyDescent="0.3">
      <c r="B136" s="179">
        <v>135</v>
      </c>
      <c r="C136" s="181" t="s">
        <v>138</v>
      </c>
      <c r="D136" s="45" t="s">
        <v>2046</v>
      </c>
      <c r="E136" s="46">
        <v>53</v>
      </c>
      <c r="F136" s="46">
        <v>134</v>
      </c>
      <c r="G136" s="46">
        <v>9</v>
      </c>
      <c r="H136" s="46" t="s">
        <v>27</v>
      </c>
      <c r="I136" s="44">
        <v>1</v>
      </c>
      <c r="J136" s="46"/>
      <c r="P136" s="41">
        <v>1</v>
      </c>
      <c r="Q136" s="46"/>
    </row>
    <row r="137" spans="2:17" thickBot="1" x14ac:dyDescent="0.3">
      <c r="B137" s="179">
        <v>136</v>
      </c>
      <c r="C137" s="181" t="s">
        <v>131</v>
      </c>
      <c r="D137" s="45" t="s">
        <v>2045</v>
      </c>
      <c r="E137" s="46">
        <v>53</v>
      </c>
      <c r="F137" s="46">
        <v>131</v>
      </c>
      <c r="G137" s="46">
        <v>10</v>
      </c>
      <c r="H137" s="46" t="s">
        <v>27</v>
      </c>
      <c r="I137" s="44">
        <v>1</v>
      </c>
      <c r="J137" s="46"/>
      <c r="P137" s="41">
        <v>1</v>
      </c>
      <c r="Q137" s="46"/>
    </row>
    <row r="138" spans="2:17" thickBot="1" x14ac:dyDescent="0.3">
      <c r="B138" s="179">
        <v>137</v>
      </c>
      <c r="C138" s="181" t="s">
        <v>677</v>
      </c>
      <c r="D138" s="45" t="s">
        <v>2044</v>
      </c>
      <c r="E138" s="46">
        <v>53</v>
      </c>
      <c r="F138" s="46">
        <v>145</v>
      </c>
      <c r="G138" s="46">
        <v>11</v>
      </c>
      <c r="H138" s="46" t="s">
        <v>27</v>
      </c>
      <c r="I138" s="44">
        <v>1</v>
      </c>
      <c r="J138" s="46"/>
      <c r="P138" s="41">
        <v>1</v>
      </c>
      <c r="Q138" s="46"/>
    </row>
    <row r="139" spans="2:17" thickBot="1" x14ac:dyDescent="0.3">
      <c r="B139" s="179">
        <v>138</v>
      </c>
      <c r="C139" s="181" t="s">
        <v>128</v>
      </c>
      <c r="D139" s="45" t="s">
        <v>2043</v>
      </c>
      <c r="E139" s="48">
        <v>53</v>
      </c>
      <c r="F139" s="48">
        <v>119</v>
      </c>
      <c r="G139" s="48">
        <v>1</v>
      </c>
      <c r="H139" s="46" t="s">
        <v>27</v>
      </c>
      <c r="I139" s="46">
        <v>1</v>
      </c>
      <c r="J139" s="46">
        <v>0</v>
      </c>
      <c r="P139" s="41">
        <v>1</v>
      </c>
      <c r="Q139" s="46" t="s">
        <v>111</v>
      </c>
    </row>
    <row r="140" spans="2:17" thickBot="1" x14ac:dyDescent="0.3">
      <c r="B140" s="179">
        <v>139</v>
      </c>
      <c r="C140" s="181" t="s">
        <v>2042</v>
      </c>
      <c r="D140" s="45" t="s">
        <v>2041</v>
      </c>
      <c r="E140" s="46">
        <v>53</v>
      </c>
      <c r="F140" s="46">
        <v>123</v>
      </c>
      <c r="G140" s="46">
        <v>1</v>
      </c>
      <c r="H140" s="46" t="s">
        <v>26</v>
      </c>
      <c r="I140" s="46"/>
      <c r="J140" s="46">
        <v>1</v>
      </c>
      <c r="Q140" s="46"/>
    </row>
    <row r="141" spans="2:17" thickBot="1" x14ac:dyDescent="0.3">
      <c r="B141" s="179">
        <v>140</v>
      </c>
      <c r="C141" s="181" t="s">
        <v>712</v>
      </c>
      <c r="D141" s="45" t="s">
        <v>2040</v>
      </c>
      <c r="E141" s="48">
        <v>53</v>
      </c>
      <c r="F141" s="48">
        <v>121</v>
      </c>
      <c r="G141" s="48">
        <v>2</v>
      </c>
      <c r="H141" s="46" t="s">
        <v>27</v>
      </c>
      <c r="I141" s="44">
        <v>1</v>
      </c>
      <c r="J141" s="46"/>
      <c r="P141" s="41">
        <v>1</v>
      </c>
      <c r="Q141" s="46"/>
    </row>
    <row r="142" spans="2:17" thickBot="1" x14ac:dyDescent="0.3">
      <c r="B142" s="179">
        <v>141</v>
      </c>
      <c r="C142" s="181" t="s">
        <v>1150</v>
      </c>
      <c r="D142" s="185" t="s">
        <v>2039</v>
      </c>
      <c r="E142" s="46">
        <v>53</v>
      </c>
      <c r="F142" s="46">
        <v>121</v>
      </c>
      <c r="G142" s="46">
        <v>4</v>
      </c>
      <c r="H142" s="46" t="s">
        <v>27</v>
      </c>
      <c r="I142" s="44">
        <v>1</v>
      </c>
      <c r="J142" s="46"/>
      <c r="P142" s="41">
        <v>1</v>
      </c>
      <c r="Q142" s="46"/>
    </row>
    <row r="143" spans="2:17" thickBot="1" x14ac:dyDescent="0.3">
      <c r="B143" s="179">
        <v>142</v>
      </c>
      <c r="C143" s="181" t="s">
        <v>883</v>
      </c>
      <c r="D143" s="45" t="s">
        <v>938</v>
      </c>
      <c r="E143" s="48">
        <v>53</v>
      </c>
      <c r="F143" s="48">
        <v>133</v>
      </c>
      <c r="G143" s="48">
        <v>4</v>
      </c>
      <c r="H143" s="46" t="s">
        <v>27</v>
      </c>
      <c r="I143" s="44">
        <v>1</v>
      </c>
      <c r="J143" s="46"/>
      <c r="P143" s="41">
        <v>1</v>
      </c>
      <c r="Q143" s="46" t="s">
        <v>111</v>
      </c>
    </row>
    <row r="144" spans="2:17" thickBot="1" x14ac:dyDescent="0.3">
      <c r="B144" s="179">
        <v>143</v>
      </c>
      <c r="C144" s="181" t="s">
        <v>586</v>
      </c>
      <c r="D144" s="45" t="s">
        <v>784</v>
      </c>
      <c r="E144" s="48">
        <v>53</v>
      </c>
      <c r="F144" s="48">
        <v>143</v>
      </c>
      <c r="G144" s="48">
        <v>4</v>
      </c>
      <c r="H144" s="46" t="s">
        <v>26</v>
      </c>
      <c r="I144" s="46"/>
      <c r="J144" s="46">
        <v>1</v>
      </c>
      <c r="Q144" s="46"/>
    </row>
    <row r="145" spans="2:19" thickBot="1" x14ac:dyDescent="0.3">
      <c r="B145" s="179">
        <v>144</v>
      </c>
      <c r="C145" s="181" t="s">
        <v>143</v>
      </c>
      <c r="D145" s="45" t="s">
        <v>2038</v>
      </c>
      <c r="E145" s="48">
        <v>53</v>
      </c>
      <c r="F145" s="48">
        <v>134</v>
      </c>
      <c r="G145" s="48">
        <v>5</v>
      </c>
      <c r="H145" s="46" t="s">
        <v>26</v>
      </c>
      <c r="I145" s="46"/>
      <c r="J145" s="46">
        <v>1</v>
      </c>
      <c r="Q145" s="46"/>
    </row>
    <row r="146" spans="2:19" thickBot="1" x14ac:dyDescent="0.3">
      <c r="B146" s="179">
        <v>145</v>
      </c>
      <c r="C146" s="181" t="s">
        <v>138</v>
      </c>
      <c r="D146" s="45" t="s">
        <v>3028</v>
      </c>
      <c r="E146" s="48">
        <v>53</v>
      </c>
      <c r="F146" s="48">
        <v>124</v>
      </c>
      <c r="G146" s="48">
        <v>5</v>
      </c>
      <c r="H146" s="46" t="s">
        <v>26</v>
      </c>
      <c r="I146" s="46"/>
      <c r="J146" s="46">
        <v>1</v>
      </c>
      <c r="Q146" s="46"/>
    </row>
    <row r="147" spans="2:19" thickBot="1" x14ac:dyDescent="0.3">
      <c r="B147" s="179">
        <v>146</v>
      </c>
      <c r="C147" s="181" t="s">
        <v>123</v>
      </c>
      <c r="D147" s="45" t="s">
        <v>727</v>
      </c>
      <c r="E147" s="48">
        <v>53</v>
      </c>
      <c r="F147" s="48">
        <v>120</v>
      </c>
      <c r="G147" s="48">
        <v>6</v>
      </c>
      <c r="H147" s="46" t="s">
        <v>26</v>
      </c>
      <c r="I147" s="46"/>
      <c r="J147" s="46">
        <v>1</v>
      </c>
      <c r="Q147" s="46"/>
    </row>
    <row r="148" spans="2:19" thickBot="1" x14ac:dyDescent="0.3">
      <c r="B148" s="179">
        <v>147</v>
      </c>
      <c r="C148" s="181" t="s">
        <v>2037</v>
      </c>
      <c r="D148" s="45" t="s">
        <v>3029</v>
      </c>
      <c r="E148" s="48">
        <v>53</v>
      </c>
      <c r="F148" s="48">
        <v>132</v>
      </c>
      <c r="G148" s="48">
        <v>6</v>
      </c>
      <c r="H148" s="46" t="s">
        <v>26</v>
      </c>
      <c r="I148" s="46"/>
      <c r="J148" s="46">
        <v>1</v>
      </c>
      <c r="Q148" s="46"/>
    </row>
    <row r="149" spans="2:19" thickBot="1" x14ac:dyDescent="0.3">
      <c r="B149" s="179">
        <v>148</v>
      </c>
      <c r="C149" s="181" t="s">
        <v>253</v>
      </c>
      <c r="D149" s="45" t="s">
        <v>2036</v>
      </c>
      <c r="E149" s="46">
        <v>53</v>
      </c>
      <c r="F149" s="46">
        <v>63</v>
      </c>
      <c r="G149" s="46">
        <v>2</v>
      </c>
      <c r="H149" s="46" t="s">
        <v>27</v>
      </c>
      <c r="I149" s="44">
        <v>1</v>
      </c>
      <c r="J149" s="46"/>
      <c r="P149" s="41">
        <v>1</v>
      </c>
      <c r="Q149" s="46" t="s">
        <v>111</v>
      </c>
    </row>
    <row r="150" spans="2:19" thickBot="1" x14ac:dyDescent="0.3">
      <c r="B150" s="179">
        <v>149</v>
      </c>
      <c r="C150" s="181" t="s">
        <v>1389</v>
      </c>
      <c r="D150" s="45" t="s">
        <v>2035</v>
      </c>
      <c r="E150" s="48">
        <v>53</v>
      </c>
      <c r="F150" s="48">
        <v>138</v>
      </c>
      <c r="G150" s="48">
        <v>6</v>
      </c>
      <c r="H150" s="46" t="s">
        <v>26</v>
      </c>
      <c r="I150" s="46"/>
      <c r="J150" s="46">
        <v>1</v>
      </c>
      <c r="Q150" s="46"/>
    </row>
    <row r="151" spans="2:19" thickBot="1" x14ac:dyDescent="0.3">
      <c r="B151" s="179">
        <v>150</v>
      </c>
      <c r="C151" s="181" t="s">
        <v>284</v>
      </c>
      <c r="D151" s="45" t="s">
        <v>1470</v>
      </c>
      <c r="E151" s="48">
        <v>53</v>
      </c>
      <c r="F151" s="48">
        <v>144</v>
      </c>
      <c r="G151" s="48">
        <v>6</v>
      </c>
      <c r="H151" s="48" t="s">
        <v>27</v>
      </c>
      <c r="I151" s="44">
        <v>1</v>
      </c>
      <c r="J151" s="46"/>
      <c r="P151" s="41">
        <v>1</v>
      </c>
      <c r="Q151" s="46" t="s">
        <v>111</v>
      </c>
    </row>
    <row r="152" spans="2:19" thickBot="1" x14ac:dyDescent="0.3">
      <c r="B152" s="179">
        <v>151</v>
      </c>
      <c r="C152" s="181" t="s">
        <v>280</v>
      </c>
      <c r="D152" s="45" t="s">
        <v>2034</v>
      </c>
      <c r="E152" s="48">
        <v>53</v>
      </c>
      <c r="F152" s="48">
        <v>143</v>
      </c>
      <c r="G152" s="48">
        <v>7</v>
      </c>
      <c r="H152" s="48" t="s">
        <v>27</v>
      </c>
      <c r="I152" s="46">
        <v>1</v>
      </c>
      <c r="J152" s="46">
        <v>0</v>
      </c>
      <c r="P152" s="41">
        <v>1</v>
      </c>
      <c r="Q152" s="46"/>
    </row>
    <row r="153" spans="2:19" ht="36.75" thickBot="1" x14ac:dyDescent="0.3">
      <c r="B153" s="179">
        <v>152</v>
      </c>
      <c r="C153" s="181" t="s">
        <v>187</v>
      </c>
      <c r="D153" s="45" t="s">
        <v>2033</v>
      </c>
      <c r="E153" s="46">
        <v>53</v>
      </c>
      <c r="F153" s="46">
        <v>120</v>
      </c>
      <c r="G153" s="46">
        <v>7</v>
      </c>
      <c r="H153" s="46" t="s">
        <v>27</v>
      </c>
      <c r="I153" s="44">
        <v>1</v>
      </c>
      <c r="J153" s="46"/>
      <c r="P153" s="41">
        <v>1</v>
      </c>
      <c r="Q153" s="46" t="s">
        <v>32</v>
      </c>
    </row>
    <row r="154" spans="2:19" thickBot="1" x14ac:dyDescent="0.3">
      <c r="B154" s="179">
        <v>153</v>
      </c>
      <c r="C154" s="181" t="s">
        <v>137</v>
      </c>
      <c r="D154" s="45" t="s">
        <v>2032</v>
      </c>
      <c r="E154" s="46">
        <v>53</v>
      </c>
      <c r="F154" s="46">
        <v>135</v>
      </c>
      <c r="G154" s="46">
        <v>10</v>
      </c>
      <c r="H154" s="46" t="s">
        <v>27</v>
      </c>
      <c r="I154" s="44">
        <v>1</v>
      </c>
      <c r="J154" s="46"/>
      <c r="P154" s="41">
        <v>1</v>
      </c>
      <c r="Q154" s="46"/>
    </row>
    <row r="155" spans="2:19" thickBot="1" x14ac:dyDescent="0.3">
      <c r="B155" s="179">
        <v>154</v>
      </c>
      <c r="C155" s="181" t="s">
        <v>311</v>
      </c>
      <c r="D155" s="45" t="s">
        <v>2031</v>
      </c>
      <c r="E155" s="46">
        <v>53</v>
      </c>
      <c r="F155" s="46">
        <v>136</v>
      </c>
      <c r="G155" s="46">
        <v>10</v>
      </c>
      <c r="H155" s="46" t="s">
        <v>27</v>
      </c>
      <c r="I155" s="44">
        <v>1</v>
      </c>
      <c r="J155" s="46"/>
      <c r="P155" s="41">
        <v>1</v>
      </c>
      <c r="Q155" s="46"/>
    </row>
    <row r="156" spans="2:19" thickBot="1" x14ac:dyDescent="0.3">
      <c r="B156" s="179">
        <v>155</v>
      </c>
      <c r="C156" s="181" t="s">
        <v>296</v>
      </c>
      <c r="D156" s="45" t="s">
        <v>2030</v>
      </c>
      <c r="E156" s="46">
        <v>53</v>
      </c>
      <c r="F156" s="46">
        <v>108</v>
      </c>
      <c r="G156" s="46">
        <v>4</v>
      </c>
      <c r="H156" s="46" t="s">
        <v>27</v>
      </c>
      <c r="I156" s="44">
        <v>1</v>
      </c>
      <c r="J156" s="46"/>
      <c r="P156" s="41">
        <v>1</v>
      </c>
      <c r="Q156" s="46"/>
    </row>
    <row r="157" spans="2:19" thickBot="1" x14ac:dyDescent="0.3">
      <c r="B157" s="179">
        <v>156</v>
      </c>
      <c r="C157" s="181" t="s">
        <v>128</v>
      </c>
      <c r="D157" s="45" t="s">
        <v>1822</v>
      </c>
      <c r="E157" s="46">
        <v>53</v>
      </c>
      <c r="F157" s="46">
        <v>117</v>
      </c>
      <c r="G157" s="46">
        <v>5</v>
      </c>
      <c r="H157" s="46" t="s">
        <v>27</v>
      </c>
      <c r="I157" s="44">
        <v>1</v>
      </c>
      <c r="J157" s="46"/>
      <c r="P157" s="41">
        <v>1</v>
      </c>
      <c r="Q157" s="46"/>
    </row>
    <row r="158" spans="2:19" thickBot="1" x14ac:dyDescent="0.3">
      <c r="B158" s="179">
        <v>157</v>
      </c>
      <c r="C158" s="181" t="s">
        <v>1553</v>
      </c>
      <c r="D158" s="185" t="s">
        <v>985</v>
      </c>
      <c r="E158" s="46">
        <v>53</v>
      </c>
      <c r="F158" s="46">
        <v>100</v>
      </c>
      <c r="G158" s="46">
        <v>7</v>
      </c>
      <c r="H158" s="46" t="s">
        <v>27</v>
      </c>
      <c r="I158" s="44">
        <v>1</v>
      </c>
      <c r="J158" s="46"/>
      <c r="P158" s="41">
        <v>1</v>
      </c>
      <c r="Q158" s="46"/>
      <c r="S158" s="42" t="s">
        <v>425</v>
      </c>
    </row>
    <row r="159" spans="2:19" thickBot="1" x14ac:dyDescent="0.3">
      <c r="B159" s="179">
        <v>158</v>
      </c>
      <c r="C159" s="181" t="s">
        <v>137</v>
      </c>
      <c r="D159" s="45" t="s">
        <v>931</v>
      </c>
      <c r="E159" s="46">
        <v>53</v>
      </c>
      <c r="F159" s="46">
        <v>115</v>
      </c>
      <c r="G159" s="46">
        <v>1</v>
      </c>
      <c r="H159" s="46" t="s">
        <v>26</v>
      </c>
      <c r="I159" s="46"/>
      <c r="J159" s="46">
        <v>1</v>
      </c>
      <c r="Q159" s="46"/>
    </row>
    <row r="160" spans="2:19" thickBot="1" x14ac:dyDescent="0.3">
      <c r="B160" s="179">
        <v>159</v>
      </c>
      <c r="C160" s="181" t="s">
        <v>132</v>
      </c>
      <c r="D160" s="45" t="s">
        <v>711</v>
      </c>
      <c r="E160" s="46">
        <v>53</v>
      </c>
      <c r="F160" s="46">
        <v>95</v>
      </c>
      <c r="G160" s="46">
        <v>1</v>
      </c>
      <c r="H160" s="46" t="s">
        <v>26</v>
      </c>
      <c r="I160" s="46"/>
      <c r="J160" s="46">
        <v>1</v>
      </c>
      <c r="Q160" s="46"/>
    </row>
    <row r="161" spans="2:17" thickBot="1" x14ac:dyDescent="0.3">
      <c r="B161" s="179">
        <v>160</v>
      </c>
      <c r="C161" s="181" t="s">
        <v>166</v>
      </c>
      <c r="D161" s="45" t="s">
        <v>1312</v>
      </c>
      <c r="E161" s="46">
        <v>53</v>
      </c>
      <c r="F161" s="46">
        <v>56</v>
      </c>
      <c r="G161" s="46">
        <v>10</v>
      </c>
      <c r="H161" s="46" t="s">
        <v>26</v>
      </c>
      <c r="I161" s="46"/>
      <c r="J161" s="46">
        <v>1</v>
      </c>
      <c r="Q161" s="46"/>
    </row>
    <row r="162" spans="2:17" thickBot="1" x14ac:dyDescent="0.3">
      <c r="B162" s="179">
        <v>161</v>
      </c>
      <c r="C162" s="181" t="s">
        <v>128</v>
      </c>
      <c r="D162" s="45" t="s">
        <v>2029</v>
      </c>
      <c r="E162" s="46">
        <v>53</v>
      </c>
      <c r="F162" s="46">
        <v>4</v>
      </c>
      <c r="G162" s="46">
        <v>3</v>
      </c>
      <c r="H162" s="46" t="s">
        <v>26</v>
      </c>
      <c r="I162" s="46"/>
      <c r="J162" s="46">
        <v>1</v>
      </c>
      <c r="Q162" s="46" t="s">
        <v>111</v>
      </c>
    </row>
    <row r="163" spans="2:17" thickBot="1" x14ac:dyDescent="0.3">
      <c r="B163" s="179">
        <v>162</v>
      </c>
      <c r="C163" s="181" t="s">
        <v>677</v>
      </c>
      <c r="D163" s="45" t="s">
        <v>2028</v>
      </c>
      <c r="E163" s="46">
        <v>53</v>
      </c>
      <c r="F163" s="46">
        <v>94</v>
      </c>
      <c r="G163" s="46">
        <v>4</v>
      </c>
      <c r="H163" s="46" t="s">
        <v>26</v>
      </c>
      <c r="I163" s="46"/>
      <c r="J163" s="46">
        <v>1</v>
      </c>
      <c r="Q163" s="46"/>
    </row>
    <row r="164" spans="2:17" thickBot="1" x14ac:dyDescent="0.3">
      <c r="B164" s="179">
        <v>163</v>
      </c>
      <c r="C164" s="188" t="s">
        <v>1044</v>
      </c>
      <c r="D164" s="47" t="s">
        <v>312</v>
      </c>
      <c r="E164" s="189">
        <v>53</v>
      </c>
      <c r="F164" s="189">
        <v>97</v>
      </c>
      <c r="G164" s="189">
        <v>4</v>
      </c>
      <c r="H164" s="189" t="s">
        <v>27</v>
      </c>
      <c r="I164" s="190">
        <v>1</v>
      </c>
      <c r="J164" s="189"/>
      <c r="K164" s="191"/>
      <c r="L164" s="191"/>
      <c r="M164" s="191"/>
      <c r="N164" s="191"/>
      <c r="O164" s="191"/>
      <c r="P164" s="191"/>
      <c r="Q164" s="189" t="s">
        <v>3002</v>
      </c>
    </row>
    <row r="165" spans="2:17" thickBot="1" x14ac:dyDescent="0.3">
      <c r="B165" s="179">
        <v>164</v>
      </c>
      <c r="C165" s="181" t="s">
        <v>138</v>
      </c>
      <c r="D165" s="45" t="s">
        <v>3019</v>
      </c>
      <c r="E165" s="46">
        <v>53</v>
      </c>
      <c r="F165" s="46">
        <v>100</v>
      </c>
      <c r="G165" s="46">
        <v>4</v>
      </c>
      <c r="H165" s="46" t="s">
        <v>26</v>
      </c>
      <c r="I165" s="46"/>
      <c r="J165" s="46">
        <v>1</v>
      </c>
      <c r="Q165" s="46"/>
    </row>
    <row r="166" spans="2:17" thickBot="1" x14ac:dyDescent="0.3">
      <c r="B166" s="179">
        <v>165</v>
      </c>
      <c r="C166" s="181" t="s">
        <v>362</v>
      </c>
      <c r="D166" s="45" t="s">
        <v>2089</v>
      </c>
      <c r="E166" s="46">
        <v>53</v>
      </c>
      <c r="F166" s="46">
        <v>112</v>
      </c>
      <c r="G166" s="46">
        <v>5</v>
      </c>
      <c r="H166" s="46" t="s">
        <v>26</v>
      </c>
      <c r="I166" s="46"/>
      <c r="J166" s="46">
        <v>1</v>
      </c>
      <c r="Q166" s="46"/>
    </row>
    <row r="167" spans="2:17" thickBot="1" x14ac:dyDescent="0.3">
      <c r="B167" s="179">
        <v>166</v>
      </c>
      <c r="C167" s="181" t="s">
        <v>136</v>
      </c>
      <c r="D167" s="45" t="s">
        <v>1832</v>
      </c>
      <c r="E167" s="46">
        <v>53</v>
      </c>
      <c r="F167" s="46">
        <v>111</v>
      </c>
      <c r="G167" s="46">
        <v>4</v>
      </c>
      <c r="H167" s="46" t="s">
        <v>26</v>
      </c>
      <c r="I167" s="46"/>
      <c r="J167" s="46">
        <v>1</v>
      </c>
      <c r="Q167" s="46"/>
    </row>
    <row r="168" spans="2:17" thickBot="1" x14ac:dyDescent="0.3">
      <c r="B168" s="179">
        <v>167</v>
      </c>
      <c r="C168" s="181" t="s">
        <v>2088</v>
      </c>
      <c r="D168" s="45" t="s">
        <v>2087</v>
      </c>
      <c r="E168" s="46">
        <v>53</v>
      </c>
      <c r="F168" s="46">
        <v>110</v>
      </c>
      <c r="G168" s="46">
        <v>7</v>
      </c>
      <c r="H168" s="46" t="s">
        <v>26</v>
      </c>
      <c r="I168" s="46"/>
      <c r="J168" s="46">
        <v>1</v>
      </c>
      <c r="Q168" s="46"/>
    </row>
    <row r="169" spans="2:17" thickBot="1" x14ac:dyDescent="0.3">
      <c r="B169" s="179">
        <v>168</v>
      </c>
      <c r="C169" s="181" t="s">
        <v>812</v>
      </c>
      <c r="D169" s="45" t="s">
        <v>775</v>
      </c>
      <c r="E169" s="46">
        <v>53</v>
      </c>
      <c r="F169" s="46">
        <v>93</v>
      </c>
      <c r="G169" s="46">
        <v>8</v>
      </c>
      <c r="H169" s="46" t="s">
        <v>26</v>
      </c>
      <c r="I169" s="46"/>
      <c r="J169" s="46">
        <v>1</v>
      </c>
      <c r="Q169" s="46"/>
    </row>
    <row r="170" spans="2:17" thickBot="1" x14ac:dyDescent="0.3">
      <c r="B170" s="179">
        <v>169</v>
      </c>
      <c r="C170" s="181" t="s">
        <v>187</v>
      </c>
      <c r="D170" s="45" t="s">
        <v>3015</v>
      </c>
      <c r="E170" s="48">
        <v>53</v>
      </c>
      <c r="F170" s="48">
        <v>102</v>
      </c>
      <c r="G170" s="48">
        <v>8</v>
      </c>
      <c r="H170" s="46" t="s">
        <v>26</v>
      </c>
      <c r="I170" s="46"/>
      <c r="J170" s="46">
        <v>1</v>
      </c>
      <c r="Q170" s="46"/>
    </row>
    <row r="171" spans="2:17" thickBot="1" x14ac:dyDescent="0.3">
      <c r="B171" s="179">
        <v>170</v>
      </c>
      <c r="C171" s="181" t="s">
        <v>131</v>
      </c>
      <c r="D171" s="45" t="s">
        <v>1767</v>
      </c>
      <c r="E171" s="46">
        <v>53</v>
      </c>
      <c r="F171" s="46">
        <v>114</v>
      </c>
      <c r="G171" s="46">
        <v>9</v>
      </c>
      <c r="H171" s="46" t="s">
        <v>26</v>
      </c>
      <c r="I171" s="46"/>
      <c r="J171" s="46">
        <v>1</v>
      </c>
      <c r="Q171" s="46"/>
    </row>
    <row r="172" spans="2:17" thickBot="1" x14ac:dyDescent="0.3">
      <c r="B172" s="179">
        <v>171</v>
      </c>
      <c r="C172" s="181" t="s">
        <v>2086</v>
      </c>
      <c r="D172" s="45" t="s">
        <v>3014</v>
      </c>
      <c r="E172" s="46">
        <v>53</v>
      </c>
      <c r="F172" s="46">
        <v>108</v>
      </c>
      <c r="G172" s="46">
        <v>9</v>
      </c>
      <c r="H172" s="46" t="s">
        <v>26</v>
      </c>
      <c r="I172" s="46"/>
      <c r="J172" s="46">
        <v>1</v>
      </c>
      <c r="Q172" s="46"/>
    </row>
    <row r="173" spans="2:17" thickBot="1" x14ac:dyDescent="0.3">
      <c r="B173" s="179">
        <v>172</v>
      </c>
      <c r="C173" s="181" t="s">
        <v>362</v>
      </c>
      <c r="D173" s="45" t="s">
        <v>2085</v>
      </c>
      <c r="E173" s="46">
        <v>53</v>
      </c>
      <c r="F173" s="46">
        <v>43</v>
      </c>
      <c r="G173" s="46">
        <v>2</v>
      </c>
      <c r="H173" s="46" t="s">
        <v>27</v>
      </c>
      <c r="I173" s="44">
        <v>1</v>
      </c>
      <c r="J173" s="46"/>
      <c r="P173" s="41">
        <v>1</v>
      </c>
      <c r="Q173" s="46" t="s">
        <v>111</v>
      </c>
    </row>
    <row r="174" spans="2:17" thickBot="1" x14ac:dyDescent="0.3">
      <c r="B174" s="179">
        <v>173</v>
      </c>
      <c r="C174" s="181" t="s">
        <v>2084</v>
      </c>
      <c r="D174" s="185" t="s">
        <v>2083</v>
      </c>
      <c r="E174" s="46">
        <v>53</v>
      </c>
      <c r="F174" s="46">
        <v>44</v>
      </c>
      <c r="G174" s="46">
        <v>4</v>
      </c>
      <c r="H174" s="46" t="s">
        <v>27</v>
      </c>
      <c r="I174" s="44">
        <v>1</v>
      </c>
      <c r="J174" s="46"/>
      <c r="P174" s="41">
        <v>1</v>
      </c>
      <c r="Q174" s="46"/>
    </row>
    <row r="175" spans="2:17" thickBot="1" x14ac:dyDescent="0.3">
      <c r="B175" s="179">
        <v>174</v>
      </c>
      <c r="C175" s="181" t="s">
        <v>128</v>
      </c>
      <c r="D175" s="45" t="s">
        <v>742</v>
      </c>
      <c r="E175" s="46">
        <v>53</v>
      </c>
      <c r="F175" s="46">
        <v>46</v>
      </c>
      <c r="G175" s="46">
        <v>5</v>
      </c>
      <c r="H175" s="46" t="s">
        <v>27</v>
      </c>
      <c r="I175" s="44">
        <v>1</v>
      </c>
      <c r="J175" s="46"/>
      <c r="P175" s="41">
        <v>1</v>
      </c>
      <c r="Q175" s="46" t="s">
        <v>111</v>
      </c>
    </row>
    <row r="176" spans="2:17" thickBot="1" x14ac:dyDescent="0.3">
      <c r="B176" s="179">
        <v>175</v>
      </c>
      <c r="C176" s="181" t="s">
        <v>2081</v>
      </c>
      <c r="D176" s="45" t="s">
        <v>1753</v>
      </c>
      <c r="E176" s="46">
        <v>53</v>
      </c>
      <c r="F176" s="46">
        <v>31</v>
      </c>
      <c r="G176" s="46">
        <v>5</v>
      </c>
      <c r="H176" s="46" t="s">
        <v>27</v>
      </c>
      <c r="I176" s="44">
        <v>1</v>
      </c>
      <c r="J176" s="46"/>
      <c r="P176" s="41">
        <v>1</v>
      </c>
      <c r="Q176" s="46" t="s">
        <v>111</v>
      </c>
    </row>
    <row r="177" spans="2:17" thickBot="1" x14ac:dyDescent="0.3">
      <c r="B177" s="179">
        <v>176</v>
      </c>
      <c r="C177" s="181" t="s">
        <v>1088</v>
      </c>
      <c r="D177" s="45" t="s">
        <v>2080</v>
      </c>
      <c r="E177" s="46">
        <v>53</v>
      </c>
      <c r="F177" s="46">
        <v>54</v>
      </c>
      <c r="G177" s="46">
        <v>7</v>
      </c>
      <c r="H177" s="46" t="s">
        <v>27</v>
      </c>
      <c r="I177" s="44">
        <v>1</v>
      </c>
      <c r="J177" s="46"/>
      <c r="P177" s="41">
        <v>1</v>
      </c>
      <c r="Q177" s="46" t="s">
        <v>111</v>
      </c>
    </row>
    <row r="178" spans="2:17" thickBot="1" x14ac:dyDescent="0.3">
      <c r="B178" s="179">
        <v>177</v>
      </c>
      <c r="C178" s="181" t="s">
        <v>270</v>
      </c>
      <c r="D178" s="45" t="s">
        <v>1038</v>
      </c>
      <c r="E178" s="46">
        <v>53</v>
      </c>
      <c r="F178" s="46">
        <v>56</v>
      </c>
      <c r="G178" s="46">
        <v>1</v>
      </c>
      <c r="H178" s="46" t="s">
        <v>26</v>
      </c>
      <c r="I178" s="46"/>
      <c r="J178" s="46">
        <v>1</v>
      </c>
      <c r="Q178" s="46"/>
    </row>
    <row r="179" spans="2:17" thickBot="1" x14ac:dyDescent="0.3">
      <c r="B179" s="179">
        <v>178</v>
      </c>
      <c r="C179" s="181" t="s">
        <v>138</v>
      </c>
      <c r="D179" s="45" t="s">
        <v>2079</v>
      </c>
      <c r="E179" s="48">
        <v>53</v>
      </c>
      <c r="F179" s="48">
        <v>55</v>
      </c>
      <c r="G179" s="48">
        <v>1</v>
      </c>
      <c r="H179" s="46" t="s">
        <v>26</v>
      </c>
      <c r="I179" s="46"/>
      <c r="J179" s="46">
        <v>1</v>
      </c>
      <c r="Q179" s="46"/>
    </row>
    <row r="180" spans="2:17" thickBot="1" x14ac:dyDescent="0.3">
      <c r="B180" s="179">
        <v>179</v>
      </c>
      <c r="C180" s="181" t="s">
        <v>138</v>
      </c>
      <c r="D180" s="45" t="s">
        <v>1528</v>
      </c>
      <c r="E180" s="46">
        <v>53</v>
      </c>
      <c r="F180" s="46">
        <v>42</v>
      </c>
      <c r="G180" s="46">
        <v>1</v>
      </c>
      <c r="H180" s="46" t="s">
        <v>26</v>
      </c>
      <c r="I180" s="46"/>
      <c r="J180" s="46">
        <v>1</v>
      </c>
      <c r="Q180" s="46"/>
    </row>
    <row r="181" spans="2:17" thickBot="1" x14ac:dyDescent="0.3">
      <c r="B181" s="179">
        <v>180</v>
      </c>
      <c r="C181" s="181" t="s">
        <v>284</v>
      </c>
      <c r="D181" s="45" t="s">
        <v>930</v>
      </c>
      <c r="E181" s="48">
        <v>53</v>
      </c>
      <c r="F181" s="48">
        <v>35</v>
      </c>
      <c r="G181" s="48">
        <v>1</v>
      </c>
      <c r="H181" s="46" t="s">
        <v>26</v>
      </c>
      <c r="I181" s="46"/>
      <c r="J181" s="46">
        <v>1</v>
      </c>
      <c r="Q181" s="46"/>
    </row>
    <row r="182" spans="2:17" thickBot="1" x14ac:dyDescent="0.3">
      <c r="B182" s="179">
        <v>181</v>
      </c>
      <c r="C182" s="181" t="s">
        <v>2078</v>
      </c>
      <c r="D182" s="45" t="s">
        <v>2077</v>
      </c>
      <c r="E182" s="46">
        <v>53</v>
      </c>
      <c r="F182" s="46">
        <v>33</v>
      </c>
      <c r="G182" s="46">
        <v>1</v>
      </c>
      <c r="H182" s="46" t="s">
        <v>26</v>
      </c>
      <c r="I182" s="46"/>
      <c r="J182" s="46">
        <v>1</v>
      </c>
      <c r="Q182" s="46" t="s">
        <v>27</v>
      </c>
    </row>
    <row r="183" spans="2:17" thickBot="1" x14ac:dyDescent="0.3">
      <c r="B183" s="179">
        <v>182</v>
      </c>
      <c r="C183" s="181" t="s">
        <v>2076</v>
      </c>
      <c r="D183" s="45" t="s">
        <v>532</v>
      </c>
      <c r="E183" s="46">
        <v>53</v>
      </c>
      <c r="F183" s="46">
        <v>23</v>
      </c>
      <c r="G183" s="46">
        <v>2</v>
      </c>
      <c r="H183" s="46" t="s">
        <v>26</v>
      </c>
      <c r="I183" s="46"/>
      <c r="J183" s="46">
        <v>1</v>
      </c>
      <c r="Q183" s="46"/>
    </row>
    <row r="184" spans="2:17" thickBot="1" x14ac:dyDescent="0.3">
      <c r="B184" s="179">
        <v>183</v>
      </c>
      <c r="C184" s="181" t="s">
        <v>889</v>
      </c>
      <c r="D184" s="185" t="s">
        <v>2075</v>
      </c>
      <c r="E184" s="48">
        <v>53</v>
      </c>
      <c r="F184" s="48">
        <v>24</v>
      </c>
      <c r="G184" s="48">
        <v>4</v>
      </c>
      <c r="H184" s="48" t="s">
        <v>27</v>
      </c>
      <c r="I184" s="198">
        <v>1</v>
      </c>
      <c r="J184" s="48"/>
      <c r="P184" s="41">
        <v>1</v>
      </c>
      <c r="Q184" s="46" t="s">
        <v>428</v>
      </c>
    </row>
    <row r="185" spans="2:17" thickBot="1" x14ac:dyDescent="0.3">
      <c r="B185" s="179">
        <v>184</v>
      </c>
      <c r="C185" s="181" t="s">
        <v>224</v>
      </c>
      <c r="D185" s="45" t="s">
        <v>1257</v>
      </c>
      <c r="E185" s="46">
        <v>53</v>
      </c>
      <c r="F185" s="48">
        <v>34</v>
      </c>
      <c r="G185" s="48">
        <v>4</v>
      </c>
      <c r="H185" s="46" t="s">
        <v>26</v>
      </c>
      <c r="I185" s="46"/>
      <c r="J185" s="46">
        <v>1</v>
      </c>
      <c r="Q185" s="46"/>
    </row>
    <row r="186" spans="2:17" thickBot="1" x14ac:dyDescent="0.3">
      <c r="B186" s="179">
        <v>185</v>
      </c>
      <c r="C186" s="181" t="s">
        <v>123</v>
      </c>
      <c r="D186" s="45" t="s">
        <v>2074</v>
      </c>
      <c r="E186" s="46">
        <v>53</v>
      </c>
      <c r="F186" s="46">
        <v>51</v>
      </c>
      <c r="G186" s="46">
        <v>4</v>
      </c>
      <c r="H186" s="46" t="s">
        <v>26</v>
      </c>
      <c r="I186" s="46"/>
      <c r="J186" s="46">
        <v>1</v>
      </c>
      <c r="Q186" s="46"/>
    </row>
    <row r="187" spans="2:17" thickBot="1" x14ac:dyDescent="0.3">
      <c r="B187" s="179">
        <v>186</v>
      </c>
      <c r="C187" s="181" t="s">
        <v>138</v>
      </c>
      <c r="D187" s="45" t="s">
        <v>775</v>
      </c>
      <c r="E187" s="46">
        <v>53</v>
      </c>
      <c r="F187" s="46">
        <v>34</v>
      </c>
      <c r="G187" s="46">
        <v>6</v>
      </c>
      <c r="H187" s="46" t="s">
        <v>26</v>
      </c>
      <c r="I187" s="46"/>
      <c r="J187" s="46">
        <v>1</v>
      </c>
      <c r="Q187" s="46"/>
    </row>
    <row r="188" spans="2:17" thickBot="1" x14ac:dyDescent="0.3">
      <c r="B188" s="179">
        <v>187</v>
      </c>
      <c r="C188" s="181" t="s">
        <v>599</v>
      </c>
      <c r="D188" s="45" t="s">
        <v>2073</v>
      </c>
      <c r="E188" s="48">
        <v>53</v>
      </c>
      <c r="F188" s="48">
        <v>38</v>
      </c>
      <c r="G188" s="48">
        <v>6</v>
      </c>
      <c r="H188" s="46" t="s">
        <v>26</v>
      </c>
      <c r="I188" s="46"/>
      <c r="J188" s="46">
        <v>1</v>
      </c>
      <c r="Q188" s="46"/>
    </row>
    <row r="189" spans="2:17" ht="36.75" thickBot="1" x14ac:dyDescent="0.3">
      <c r="B189" s="179">
        <v>188</v>
      </c>
      <c r="C189" s="181" t="s">
        <v>2072</v>
      </c>
      <c r="D189" s="45" t="s">
        <v>2071</v>
      </c>
      <c r="E189" s="48">
        <v>53</v>
      </c>
      <c r="F189" s="48">
        <v>41</v>
      </c>
      <c r="G189" s="48">
        <v>6</v>
      </c>
      <c r="H189" s="46" t="s">
        <v>26</v>
      </c>
      <c r="I189" s="46"/>
      <c r="J189" s="46">
        <v>1</v>
      </c>
      <c r="Q189" s="46"/>
    </row>
    <row r="190" spans="2:17" thickBot="1" x14ac:dyDescent="0.3">
      <c r="B190" s="179">
        <v>189</v>
      </c>
      <c r="C190" s="181" t="s">
        <v>138</v>
      </c>
      <c r="D190" s="45" t="s">
        <v>2070</v>
      </c>
      <c r="E190" s="46">
        <v>53</v>
      </c>
      <c r="F190" s="46">
        <v>55</v>
      </c>
      <c r="G190" s="46">
        <v>6</v>
      </c>
      <c r="H190" s="46" t="s">
        <v>26</v>
      </c>
      <c r="I190" s="46"/>
      <c r="J190" s="46">
        <v>1</v>
      </c>
      <c r="Q190" s="46"/>
    </row>
    <row r="191" spans="2:17" thickBot="1" x14ac:dyDescent="0.3">
      <c r="B191" s="179">
        <v>190</v>
      </c>
      <c r="C191" s="181" t="s">
        <v>2069</v>
      </c>
      <c r="D191" s="45" t="s">
        <v>2068</v>
      </c>
      <c r="E191" s="46">
        <v>53</v>
      </c>
      <c r="F191" s="46">
        <v>56</v>
      </c>
      <c r="G191" s="46">
        <v>7</v>
      </c>
      <c r="H191" s="46" t="s">
        <v>26</v>
      </c>
      <c r="I191" s="46"/>
      <c r="J191" s="46">
        <v>1</v>
      </c>
      <c r="Q191" s="46"/>
    </row>
    <row r="192" spans="2:17" ht="36.75" thickBot="1" x14ac:dyDescent="0.3">
      <c r="B192" s="179">
        <v>191</v>
      </c>
      <c r="C192" s="181" t="s">
        <v>1955</v>
      </c>
      <c r="D192" s="45" t="s">
        <v>2980</v>
      </c>
      <c r="E192" s="46">
        <v>53</v>
      </c>
      <c r="F192" s="46">
        <v>52</v>
      </c>
      <c r="G192" s="46">
        <v>7</v>
      </c>
      <c r="H192" s="46" t="s">
        <v>26</v>
      </c>
      <c r="I192" s="46"/>
      <c r="J192" s="46">
        <v>1</v>
      </c>
      <c r="Q192" s="46"/>
    </row>
    <row r="193" spans="2:17" thickBot="1" x14ac:dyDescent="0.3">
      <c r="B193" s="179">
        <v>192</v>
      </c>
      <c r="C193" s="181" t="s">
        <v>135</v>
      </c>
      <c r="D193" s="45" t="s">
        <v>2067</v>
      </c>
      <c r="E193" s="48">
        <v>53</v>
      </c>
      <c r="F193" s="48">
        <v>46</v>
      </c>
      <c r="G193" s="48">
        <v>7</v>
      </c>
      <c r="H193" s="46" t="s">
        <v>26</v>
      </c>
      <c r="I193" s="46"/>
      <c r="J193" s="46">
        <v>1</v>
      </c>
      <c r="Q193" s="46"/>
    </row>
    <row r="194" spans="2:17" thickBot="1" x14ac:dyDescent="0.3">
      <c r="B194" s="179">
        <v>193</v>
      </c>
      <c r="C194" s="181" t="s">
        <v>815</v>
      </c>
      <c r="D194" s="45" t="s">
        <v>2066</v>
      </c>
      <c r="E194" s="48">
        <v>53</v>
      </c>
      <c r="F194" s="48">
        <v>37</v>
      </c>
      <c r="G194" s="48">
        <v>7</v>
      </c>
      <c r="H194" s="46" t="s">
        <v>26</v>
      </c>
      <c r="I194" s="46"/>
      <c r="J194" s="46">
        <v>1</v>
      </c>
      <c r="Q194" s="46"/>
    </row>
    <row r="195" spans="2:17" thickBot="1" x14ac:dyDescent="0.3">
      <c r="B195" s="179">
        <v>194</v>
      </c>
      <c r="C195" s="188" t="s">
        <v>280</v>
      </c>
      <c r="D195" s="47" t="s">
        <v>2065</v>
      </c>
      <c r="E195" s="189">
        <v>53</v>
      </c>
      <c r="F195" s="189">
        <v>55</v>
      </c>
      <c r="G195" s="189">
        <v>9</v>
      </c>
      <c r="H195" s="189" t="s">
        <v>27</v>
      </c>
      <c r="I195" s="190">
        <v>1</v>
      </c>
      <c r="J195" s="189"/>
      <c r="K195" s="191"/>
      <c r="L195" s="191"/>
      <c r="M195" s="191"/>
      <c r="N195" s="191"/>
      <c r="O195" s="191"/>
      <c r="P195" s="191">
        <v>1</v>
      </c>
      <c r="Q195" s="189" t="s">
        <v>3003</v>
      </c>
    </row>
    <row r="196" spans="2:17" thickBot="1" x14ac:dyDescent="0.3">
      <c r="B196" s="179">
        <v>195</v>
      </c>
      <c r="C196" s="181" t="s">
        <v>1414</v>
      </c>
      <c r="D196" s="45" t="s">
        <v>2064</v>
      </c>
      <c r="E196" s="46">
        <v>53</v>
      </c>
      <c r="F196" s="46">
        <v>48</v>
      </c>
      <c r="G196" s="46">
        <v>9</v>
      </c>
      <c r="H196" s="46" t="s">
        <v>26</v>
      </c>
      <c r="I196" s="46"/>
      <c r="J196" s="46">
        <v>1</v>
      </c>
      <c r="Q196" s="46"/>
    </row>
    <row r="197" spans="2:17" thickBot="1" x14ac:dyDescent="0.3">
      <c r="B197" s="179">
        <v>196</v>
      </c>
      <c r="C197" s="181" t="s">
        <v>2063</v>
      </c>
      <c r="D197" s="45" t="s">
        <v>2062</v>
      </c>
      <c r="E197" s="46">
        <v>53</v>
      </c>
      <c r="F197" s="46">
        <v>15</v>
      </c>
      <c r="G197" s="46">
        <v>3</v>
      </c>
      <c r="H197" s="46" t="s">
        <v>27</v>
      </c>
      <c r="I197" s="44">
        <v>1</v>
      </c>
      <c r="J197" s="46"/>
      <c r="P197" s="41">
        <v>1</v>
      </c>
      <c r="Q197" s="46" t="s">
        <v>111</v>
      </c>
    </row>
    <row r="198" spans="2:17" thickBot="1" x14ac:dyDescent="0.3">
      <c r="B198" s="179">
        <v>197</v>
      </c>
      <c r="C198" s="181" t="s">
        <v>166</v>
      </c>
      <c r="D198" s="45" t="s">
        <v>2061</v>
      </c>
      <c r="E198" s="46">
        <v>53</v>
      </c>
      <c r="F198" s="46">
        <v>12</v>
      </c>
      <c r="G198" s="46">
        <v>3</v>
      </c>
      <c r="H198" s="46" t="s">
        <v>27</v>
      </c>
      <c r="I198" s="44">
        <v>1</v>
      </c>
      <c r="J198" s="46"/>
      <c r="P198" s="41">
        <v>1</v>
      </c>
      <c r="Q198" s="46" t="s">
        <v>111</v>
      </c>
    </row>
    <row r="199" spans="2:17" thickBot="1" x14ac:dyDescent="0.3">
      <c r="B199" s="179">
        <v>198</v>
      </c>
      <c r="C199" s="181" t="s">
        <v>284</v>
      </c>
      <c r="D199" s="45" t="s">
        <v>2060</v>
      </c>
      <c r="E199" s="48">
        <v>53</v>
      </c>
      <c r="F199" s="48">
        <v>2</v>
      </c>
      <c r="G199" s="48">
        <v>4</v>
      </c>
      <c r="H199" s="46" t="s">
        <v>27</v>
      </c>
      <c r="I199" s="44">
        <v>1</v>
      </c>
      <c r="J199" s="46"/>
      <c r="P199" s="41">
        <v>1</v>
      </c>
      <c r="Q199" s="46"/>
    </row>
    <row r="200" spans="2:17" thickBot="1" x14ac:dyDescent="0.3">
      <c r="B200" s="179">
        <v>199</v>
      </c>
      <c r="C200" s="181" t="s">
        <v>883</v>
      </c>
      <c r="D200" s="185" t="s">
        <v>532</v>
      </c>
      <c r="E200" s="46">
        <v>53</v>
      </c>
      <c r="F200" s="46">
        <v>15</v>
      </c>
      <c r="G200" s="46">
        <v>4</v>
      </c>
      <c r="H200" s="46" t="s">
        <v>27</v>
      </c>
      <c r="I200" s="44">
        <v>1</v>
      </c>
      <c r="J200" s="46"/>
      <c r="P200" s="41">
        <v>1</v>
      </c>
      <c r="Q200" s="46"/>
    </row>
    <row r="201" spans="2:17" thickBot="1" x14ac:dyDescent="0.3">
      <c r="B201" s="179">
        <v>200</v>
      </c>
      <c r="C201" s="181" t="s">
        <v>166</v>
      </c>
      <c r="D201" s="45" t="s">
        <v>2059</v>
      </c>
      <c r="E201" s="46">
        <v>53</v>
      </c>
      <c r="F201" s="46">
        <v>27</v>
      </c>
      <c r="G201" s="46">
        <v>4</v>
      </c>
      <c r="H201" s="46" t="s">
        <v>27</v>
      </c>
      <c r="I201" s="44">
        <v>1</v>
      </c>
      <c r="J201" s="46"/>
      <c r="P201" s="41">
        <v>1</v>
      </c>
      <c r="Q201" s="46" t="s">
        <v>111</v>
      </c>
    </row>
    <row r="202" spans="2:17" thickBot="1" x14ac:dyDescent="0.3">
      <c r="B202" s="179">
        <v>201</v>
      </c>
      <c r="C202" s="181" t="s">
        <v>402</v>
      </c>
      <c r="D202" s="45" t="s">
        <v>2058</v>
      </c>
      <c r="E202" s="46">
        <v>53</v>
      </c>
      <c r="F202" s="46">
        <v>28</v>
      </c>
      <c r="G202" s="46">
        <v>5</v>
      </c>
      <c r="H202" s="46" t="s">
        <v>27</v>
      </c>
      <c r="I202" s="44">
        <v>1</v>
      </c>
      <c r="J202" s="46"/>
      <c r="P202" s="41">
        <v>1</v>
      </c>
      <c r="Q202" s="46" t="s">
        <v>111</v>
      </c>
    </row>
    <row r="203" spans="2:17" thickBot="1" x14ac:dyDescent="0.3">
      <c r="B203" s="179">
        <v>202</v>
      </c>
      <c r="C203" s="181" t="s">
        <v>891</v>
      </c>
      <c r="D203" s="45" t="s">
        <v>1978</v>
      </c>
      <c r="E203" s="46">
        <v>53</v>
      </c>
      <c r="F203" s="46">
        <v>20</v>
      </c>
      <c r="G203" s="46">
        <v>5</v>
      </c>
      <c r="H203" s="46" t="s">
        <v>27</v>
      </c>
      <c r="I203" s="44">
        <v>1</v>
      </c>
      <c r="J203" s="46"/>
      <c r="P203" s="41">
        <v>1</v>
      </c>
      <c r="Q203" s="46" t="s">
        <v>111</v>
      </c>
    </row>
    <row r="204" spans="2:17" thickBot="1" x14ac:dyDescent="0.3">
      <c r="B204" s="179">
        <v>203</v>
      </c>
      <c r="C204" s="181" t="s">
        <v>135</v>
      </c>
      <c r="D204" s="45" t="s">
        <v>2057</v>
      </c>
      <c r="E204" s="46">
        <v>53</v>
      </c>
      <c r="F204" s="46">
        <v>19</v>
      </c>
      <c r="G204" s="46">
        <v>5</v>
      </c>
      <c r="H204" s="46" t="s">
        <v>27</v>
      </c>
      <c r="I204" s="44">
        <v>1</v>
      </c>
      <c r="J204" s="46"/>
      <c r="P204" s="41">
        <v>1</v>
      </c>
      <c r="Q204" s="46" t="s">
        <v>111</v>
      </c>
    </row>
    <row r="205" spans="2:17" thickBot="1" x14ac:dyDescent="0.3">
      <c r="B205" s="179">
        <v>204</v>
      </c>
      <c r="C205" s="181" t="s">
        <v>362</v>
      </c>
      <c r="D205" s="45" t="s">
        <v>3051</v>
      </c>
      <c r="E205" s="48">
        <v>53</v>
      </c>
      <c r="F205" s="48" t="s">
        <v>22</v>
      </c>
      <c r="G205" s="48">
        <v>5</v>
      </c>
      <c r="H205" s="46" t="s">
        <v>27</v>
      </c>
      <c r="I205" s="44">
        <v>1</v>
      </c>
      <c r="J205" s="46"/>
      <c r="P205" s="41">
        <v>1</v>
      </c>
      <c r="Q205" s="46" t="s">
        <v>111</v>
      </c>
    </row>
    <row r="206" spans="2:17" thickBot="1" x14ac:dyDescent="0.3">
      <c r="B206" s="179">
        <v>205</v>
      </c>
      <c r="C206" s="181" t="s">
        <v>815</v>
      </c>
      <c r="D206" s="45" t="s">
        <v>2090</v>
      </c>
      <c r="E206" s="46">
        <v>53</v>
      </c>
      <c r="F206" s="46">
        <v>10</v>
      </c>
      <c r="G206" s="46">
        <v>6</v>
      </c>
      <c r="H206" s="46" t="s">
        <v>27</v>
      </c>
      <c r="I206" s="44">
        <v>1</v>
      </c>
      <c r="J206" s="46"/>
      <c r="P206" s="41">
        <v>1</v>
      </c>
      <c r="Q206" s="46" t="s">
        <v>111</v>
      </c>
    </row>
    <row r="207" spans="2:17" thickBot="1" x14ac:dyDescent="0.3">
      <c r="B207" s="179">
        <v>206</v>
      </c>
      <c r="C207" s="181" t="s">
        <v>135</v>
      </c>
      <c r="D207" s="45" t="s">
        <v>2091</v>
      </c>
      <c r="E207" s="46">
        <v>53</v>
      </c>
      <c r="F207" s="46">
        <v>6</v>
      </c>
      <c r="G207" s="46">
        <v>6</v>
      </c>
      <c r="H207" s="46" t="s">
        <v>27</v>
      </c>
      <c r="I207" s="44">
        <v>1</v>
      </c>
      <c r="J207" s="46"/>
      <c r="P207" s="41">
        <v>1</v>
      </c>
      <c r="Q207" s="46" t="s">
        <v>111</v>
      </c>
    </row>
    <row r="208" spans="2:17" thickBot="1" x14ac:dyDescent="0.3">
      <c r="B208" s="179">
        <v>207</v>
      </c>
      <c r="C208" s="181" t="s">
        <v>131</v>
      </c>
      <c r="D208" s="45" t="s">
        <v>1549</v>
      </c>
      <c r="E208" s="46">
        <v>53</v>
      </c>
      <c r="F208" s="46">
        <v>31</v>
      </c>
      <c r="G208" s="46">
        <v>6</v>
      </c>
      <c r="H208" s="46" t="s">
        <v>27</v>
      </c>
      <c r="I208" s="44">
        <v>1</v>
      </c>
      <c r="J208" s="46"/>
      <c r="P208" s="41">
        <v>1</v>
      </c>
      <c r="Q208" s="46" t="s">
        <v>111</v>
      </c>
    </row>
    <row r="209" spans="2:17" thickBot="1" x14ac:dyDescent="0.3">
      <c r="B209" s="179">
        <v>208</v>
      </c>
      <c r="C209" s="181" t="s">
        <v>2092</v>
      </c>
      <c r="D209" s="45" t="s">
        <v>836</v>
      </c>
      <c r="E209" s="46">
        <v>53</v>
      </c>
      <c r="F209" s="46">
        <v>4</v>
      </c>
      <c r="G209" s="46">
        <v>8</v>
      </c>
      <c r="H209" s="46" t="s">
        <v>27</v>
      </c>
      <c r="I209" s="44">
        <v>1</v>
      </c>
      <c r="J209" s="46"/>
      <c r="P209" s="41">
        <v>1</v>
      </c>
      <c r="Q209" s="46" t="s">
        <v>111</v>
      </c>
    </row>
    <row r="210" spans="2:17" thickBot="1" x14ac:dyDescent="0.3">
      <c r="B210" s="179">
        <v>209</v>
      </c>
      <c r="C210" s="181" t="s">
        <v>932</v>
      </c>
      <c r="D210" s="45" t="s">
        <v>546</v>
      </c>
      <c r="E210" s="46">
        <v>53</v>
      </c>
      <c r="F210" s="46">
        <v>31</v>
      </c>
      <c r="G210" s="46">
        <v>8</v>
      </c>
      <c r="H210" s="46" t="s">
        <v>27</v>
      </c>
      <c r="I210" s="44">
        <v>1</v>
      </c>
      <c r="J210" s="46"/>
      <c r="P210" s="41">
        <v>1</v>
      </c>
      <c r="Q210" s="46" t="s">
        <v>111</v>
      </c>
    </row>
    <row r="211" spans="2:17" thickBot="1" x14ac:dyDescent="0.3">
      <c r="B211" s="179">
        <v>210</v>
      </c>
      <c r="C211" s="181" t="s">
        <v>166</v>
      </c>
      <c r="D211" s="45" t="s">
        <v>2094</v>
      </c>
      <c r="E211" s="46">
        <v>53</v>
      </c>
      <c r="F211" s="46">
        <v>23</v>
      </c>
      <c r="G211" s="46">
        <v>9</v>
      </c>
      <c r="H211" s="46" t="s">
        <v>27</v>
      </c>
      <c r="I211" s="44">
        <v>1</v>
      </c>
      <c r="J211" s="46"/>
      <c r="P211" s="41">
        <v>1</v>
      </c>
      <c r="Q211" s="46" t="s">
        <v>115</v>
      </c>
    </row>
    <row r="212" spans="2:17" thickBot="1" x14ac:dyDescent="0.3">
      <c r="B212" s="179">
        <v>211</v>
      </c>
      <c r="C212" s="181" t="s">
        <v>2002</v>
      </c>
      <c r="D212" s="185" t="s">
        <v>2093</v>
      </c>
      <c r="E212" s="46">
        <v>53</v>
      </c>
      <c r="F212" s="46">
        <v>25</v>
      </c>
      <c r="G212" s="46">
        <v>10</v>
      </c>
      <c r="H212" s="46" t="s">
        <v>27</v>
      </c>
      <c r="I212" s="44">
        <v>1</v>
      </c>
      <c r="J212" s="46"/>
      <c r="P212" s="41">
        <v>1</v>
      </c>
      <c r="Q212" s="46"/>
    </row>
    <row r="213" spans="2:17" thickBot="1" x14ac:dyDescent="0.3">
      <c r="B213" s="179">
        <v>212</v>
      </c>
      <c r="C213" s="181" t="s">
        <v>187</v>
      </c>
      <c r="D213" s="185" t="s">
        <v>2095</v>
      </c>
      <c r="E213" s="48">
        <v>53</v>
      </c>
      <c r="F213" s="48">
        <v>11</v>
      </c>
      <c r="G213" s="48">
        <v>9</v>
      </c>
      <c r="H213" s="46" t="s">
        <v>27</v>
      </c>
      <c r="I213" s="44">
        <v>1</v>
      </c>
      <c r="J213" s="46"/>
      <c r="P213" s="41">
        <v>1</v>
      </c>
      <c r="Q213" s="46"/>
    </row>
    <row r="214" spans="2:17" thickBot="1" x14ac:dyDescent="0.3">
      <c r="B214" s="179">
        <v>214</v>
      </c>
      <c r="C214" s="181" t="s">
        <v>280</v>
      </c>
      <c r="D214" s="45" t="s">
        <v>775</v>
      </c>
      <c r="E214" s="48">
        <v>53</v>
      </c>
      <c r="F214" s="48">
        <v>168</v>
      </c>
      <c r="G214" s="48">
        <v>3</v>
      </c>
      <c r="H214" s="46" t="s">
        <v>27</v>
      </c>
      <c r="I214" s="44">
        <v>1</v>
      </c>
      <c r="J214" s="46"/>
      <c r="P214" s="41">
        <v>1</v>
      </c>
      <c r="Q214" s="46" t="s">
        <v>111</v>
      </c>
    </row>
    <row r="215" spans="2:17" thickBot="1" x14ac:dyDescent="0.3">
      <c r="B215" s="179">
        <v>215</v>
      </c>
      <c r="C215" s="181" t="s">
        <v>280</v>
      </c>
      <c r="D215" s="45" t="s">
        <v>2119</v>
      </c>
      <c r="E215" s="46">
        <v>53</v>
      </c>
      <c r="F215" s="46">
        <v>7</v>
      </c>
      <c r="G215" s="46">
        <v>10</v>
      </c>
      <c r="H215" s="46" t="s">
        <v>27</v>
      </c>
      <c r="I215" s="44">
        <v>1</v>
      </c>
      <c r="J215" s="46"/>
      <c r="P215" s="41">
        <v>1</v>
      </c>
      <c r="Q215" s="46" t="s">
        <v>111</v>
      </c>
    </row>
    <row r="216" spans="2:17" thickBot="1" x14ac:dyDescent="0.3">
      <c r="B216" s="179">
        <v>216</v>
      </c>
      <c r="C216" s="181" t="s">
        <v>135</v>
      </c>
      <c r="D216" s="45" t="s">
        <v>167</v>
      </c>
      <c r="E216" s="46">
        <v>53</v>
      </c>
      <c r="F216" s="46">
        <v>28</v>
      </c>
      <c r="G216" s="46">
        <v>11</v>
      </c>
      <c r="H216" s="46" t="s">
        <v>27</v>
      </c>
      <c r="I216" s="44">
        <v>1</v>
      </c>
      <c r="J216" s="46"/>
      <c r="P216" s="41">
        <v>1</v>
      </c>
      <c r="Q216" s="46"/>
    </row>
    <row r="217" spans="2:17" thickBot="1" x14ac:dyDescent="0.3">
      <c r="B217" s="179">
        <v>217</v>
      </c>
      <c r="C217" s="181" t="s">
        <v>136</v>
      </c>
      <c r="D217" s="45" t="s">
        <v>2118</v>
      </c>
      <c r="E217" s="46">
        <v>53</v>
      </c>
      <c r="F217" s="46">
        <v>5</v>
      </c>
      <c r="G217" s="46">
        <v>11</v>
      </c>
      <c r="H217" s="46" t="s">
        <v>27</v>
      </c>
      <c r="I217" s="44">
        <v>1</v>
      </c>
      <c r="J217" s="46"/>
      <c r="P217" s="41">
        <v>1</v>
      </c>
      <c r="Q217" s="46" t="s">
        <v>111</v>
      </c>
    </row>
    <row r="218" spans="2:17" thickBot="1" x14ac:dyDescent="0.3">
      <c r="B218" s="179">
        <v>218</v>
      </c>
      <c r="C218" s="181" t="s">
        <v>682</v>
      </c>
      <c r="D218" s="45" t="s">
        <v>2117</v>
      </c>
      <c r="E218" s="46">
        <v>53</v>
      </c>
      <c r="F218" s="46">
        <v>2</v>
      </c>
      <c r="G218" s="46">
        <v>11</v>
      </c>
      <c r="H218" s="46" t="s">
        <v>27</v>
      </c>
      <c r="I218" s="44">
        <v>1</v>
      </c>
      <c r="J218" s="46"/>
      <c r="P218" s="41">
        <v>1</v>
      </c>
      <c r="Q218" s="46"/>
    </row>
    <row r="219" spans="2:17" thickBot="1" x14ac:dyDescent="0.3">
      <c r="B219" s="179">
        <v>219</v>
      </c>
      <c r="C219" s="181" t="s">
        <v>135</v>
      </c>
      <c r="D219" s="45" t="s">
        <v>2116</v>
      </c>
      <c r="E219" s="46">
        <v>53</v>
      </c>
      <c r="F219" s="46">
        <v>9</v>
      </c>
      <c r="G219" s="46">
        <v>15</v>
      </c>
      <c r="H219" s="46" t="s">
        <v>27</v>
      </c>
      <c r="I219" s="44">
        <v>1</v>
      </c>
      <c r="J219" s="46"/>
      <c r="P219" s="41">
        <v>1</v>
      </c>
      <c r="Q219" s="46" t="s">
        <v>111</v>
      </c>
    </row>
    <row r="220" spans="2:17" thickBot="1" x14ac:dyDescent="0.3">
      <c r="B220" s="179">
        <v>220</v>
      </c>
      <c r="C220" s="181" t="s">
        <v>1255</v>
      </c>
      <c r="D220" s="45" t="s">
        <v>2115</v>
      </c>
      <c r="E220" s="46">
        <v>53</v>
      </c>
      <c r="F220" s="46">
        <v>28</v>
      </c>
      <c r="G220" s="46">
        <v>15</v>
      </c>
      <c r="H220" s="46" t="s">
        <v>27</v>
      </c>
      <c r="I220" s="44">
        <v>1</v>
      </c>
      <c r="J220" s="46"/>
      <c r="P220" s="41">
        <v>1</v>
      </c>
      <c r="Q220" s="46"/>
    </row>
    <row r="221" spans="2:17" thickBot="1" x14ac:dyDescent="0.3">
      <c r="B221" s="179">
        <v>221</v>
      </c>
      <c r="C221" s="181" t="s">
        <v>2114</v>
      </c>
      <c r="D221" s="45" t="s">
        <v>2113</v>
      </c>
      <c r="E221" s="46">
        <v>53</v>
      </c>
      <c r="F221" s="46">
        <v>23</v>
      </c>
      <c r="G221" s="46">
        <v>15</v>
      </c>
      <c r="H221" s="46" t="s">
        <v>27</v>
      </c>
      <c r="I221" s="44">
        <v>1</v>
      </c>
      <c r="J221" s="46"/>
      <c r="P221" s="41">
        <v>1</v>
      </c>
      <c r="Q221" s="46" t="s">
        <v>111</v>
      </c>
    </row>
    <row r="222" spans="2:17" thickBot="1" x14ac:dyDescent="0.3">
      <c r="B222" s="179">
        <v>222</v>
      </c>
      <c r="C222" s="181" t="s">
        <v>2042</v>
      </c>
      <c r="D222" s="45" t="s">
        <v>1350</v>
      </c>
      <c r="E222" s="46">
        <v>53</v>
      </c>
      <c r="F222" s="46">
        <v>12</v>
      </c>
      <c r="G222" s="46">
        <v>2</v>
      </c>
      <c r="H222" s="46" t="s">
        <v>26</v>
      </c>
      <c r="I222" s="46"/>
      <c r="J222" s="46">
        <v>1</v>
      </c>
      <c r="Q222" s="46"/>
    </row>
    <row r="223" spans="2:17" thickBot="1" x14ac:dyDescent="0.3">
      <c r="B223" s="179">
        <v>223</v>
      </c>
      <c r="C223" s="181" t="s">
        <v>402</v>
      </c>
      <c r="D223" s="45" t="s">
        <v>2112</v>
      </c>
      <c r="E223" s="46">
        <v>53</v>
      </c>
      <c r="F223" s="46">
        <v>19</v>
      </c>
      <c r="G223" s="46">
        <v>5</v>
      </c>
      <c r="H223" s="46" t="s">
        <v>27</v>
      </c>
      <c r="I223" s="46">
        <v>1</v>
      </c>
      <c r="J223" s="46">
        <v>0</v>
      </c>
      <c r="P223" s="41">
        <v>1</v>
      </c>
      <c r="Q223" s="46"/>
    </row>
    <row r="224" spans="2:17" thickBot="1" x14ac:dyDescent="0.3">
      <c r="B224" s="179">
        <v>224</v>
      </c>
      <c r="C224" s="181" t="s">
        <v>1088</v>
      </c>
      <c r="D224" s="45" t="s">
        <v>2111</v>
      </c>
      <c r="E224" s="46">
        <v>53</v>
      </c>
      <c r="F224" s="46">
        <v>1</v>
      </c>
      <c r="G224" s="46">
        <v>6</v>
      </c>
      <c r="H224" s="46" t="s">
        <v>26</v>
      </c>
      <c r="I224" s="46"/>
      <c r="J224" s="46">
        <v>1</v>
      </c>
      <c r="Q224" s="46"/>
    </row>
    <row r="225" spans="2:17" thickBot="1" x14ac:dyDescent="0.3">
      <c r="B225" s="179">
        <v>225</v>
      </c>
      <c r="C225" s="181" t="s">
        <v>135</v>
      </c>
      <c r="D225" s="45" t="s">
        <v>2110</v>
      </c>
      <c r="E225" s="46">
        <v>53</v>
      </c>
      <c r="F225" s="46">
        <v>17</v>
      </c>
      <c r="G225" s="46">
        <v>6</v>
      </c>
      <c r="H225" s="46" t="s">
        <v>27</v>
      </c>
      <c r="I225" s="44">
        <v>1</v>
      </c>
      <c r="J225" s="46"/>
      <c r="P225" s="41">
        <v>1</v>
      </c>
      <c r="Q225" s="46" t="s">
        <v>2973</v>
      </c>
    </row>
    <row r="226" spans="2:17" thickBot="1" x14ac:dyDescent="0.3">
      <c r="B226" s="179">
        <v>226</v>
      </c>
      <c r="C226" s="181" t="s">
        <v>362</v>
      </c>
      <c r="D226" s="45" t="s">
        <v>2109</v>
      </c>
      <c r="E226" s="46">
        <v>53</v>
      </c>
      <c r="F226" s="46">
        <v>25</v>
      </c>
      <c r="G226" s="46">
        <v>6</v>
      </c>
      <c r="H226" s="46" t="s">
        <v>27</v>
      </c>
      <c r="I226" s="44">
        <v>1</v>
      </c>
      <c r="J226" s="46"/>
      <c r="P226" s="41">
        <v>1</v>
      </c>
      <c r="Q226" s="46"/>
    </row>
    <row r="227" spans="2:17" thickBot="1" x14ac:dyDescent="0.3">
      <c r="B227" s="179">
        <v>227</v>
      </c>
      <c r="C227" s="181" t="s">
        <v>131</v>
      </c>
      <c r="D227" s="45" t="s">
        <v>1447</v>
      </c>
      <c r="E227" s="46">
        <v>53</v>
      </c>
      <c r="F227" s="46">
        <v>25</v>
      </c>
      <c r="G227" s="46">
        <v>7</v>
      </c>
      <c r="H227" s="46" t="s">
        <v>27</v>
      </c>
      <c r="I227" s="44">
        <v>1</v>
      </c>
      <c r="J227" s="46"/>
      <c r="P227" s="41">
        <v>1</v>
      </c>
      <c r="Q227" s="46"/>
    </row>
    <row r="228" spans="2:17" thickBot="1" x14ac:dyDescent="0.3">
      <c r="B228" s="179">
        <v>228</v>
      </c>
      <c r="C228" s="181" t="s">
        <v>284</v>
      </c>
      <c r="D228" s="45" t="s">
        <v>2108</v>
      </c>
      <c r="E228" s="46">
        <v>53</v>
      </c>
      <c r="F228" s="46">
        <v>17</v>
      </c>
      <c r="G228" s="46">
        <v>7</v>
      </c>
      <c r="H228" s="46" t="s">
        <v>27</v>
      </c>
      <c r="I228" s="44">
        <v>1</v>
      </c>
      <c r="J228" s="46"/>
      <c r="P228" s="41">
        <v>1</v>
      </c>
      <c r="Q228" s="46"/>
    </row>
    <row r="229" spans="2:17" thickBot="1" x14ac:dyDescent="0.3">
      <c r="B229" s="179">
        <v>229</v>
      </c>
      <c r="C229" s="181" t="s">
        <v>187</v>
      </c>
      <c r="D229" s="45" t="s">
        <v>2107</v>
      </c>
      <c r="E229" s="46">
        <v>53</v>
      </c>
      <c r="F229" s="46">
        <v>16</v>
      </c>
      <c r="G229" s="46">
        <v>7</v>
      </c>
      <c r="H229" s="46" t="s">
        <v>26</v>
      </c>
      <c r="I229" s="46"/>
      <c r="J229" s="46">
        <v>1</v>
      </c>
      <c r="Q229" s="46"/>
    </row>
    <row r="230" spans="2:17" thickBot="1" x14ac:dyDescent="0.3">
      <c r="B230" s="179">
        <v>230</v>
      </c>
      <c r="C230" s="181" t="s">
        <v>491</v>
      </c>
      <c r="D230" s="45" t="s">
        <v>2106</v>
      </c>
      <c r="E230" s="46">
        <v>53</v>
      </c>
      <c r="F230" s="46">
        <v>15</v>
      </c>
      <c r="G230" s="46">
        <v>7</v>
      </c>
      <c r="H230" s="46" t="s">
        <v>26</v>
      </c>
      <c r="I230" s="46"/>
      <c r="J230" s="46">
        <v>1</v>
      </c>
      <c r="Q230" s="46"/>
    </row>
    <row r="231" spans="2:17" thickBot="1" x14ac:dyDescent="0.3">
      <c r="B231" s="179">
        <v>231</v>
      </c>
      <c r="C231" s="181" t="s">
        <v>575</v>
      </c>
      <c r="D231" s="45" t="s">
        <v>1779</v>
      </c>
      <c r="E231" s="46">
        <v>53</v>
      </c>
      <c r="F231" s="46">
        <v>12</v>
      </c>
      <c r="G231" s="46">
        <v>7</v>
      </c>
      <c r="H231" s="46" t="s">
        <v>26</v>
      </c>
      <c r="I231" s="46"/>
      <c r="J231" s="46">
        <v>1</v>
      </c>
      <c r="Q231" s="46"/>
    </row>
    <row r="232" spans="2:17" thickBot="1" x14ac:dyDescent="0.3">
      <c r="B232" s="179">
        <v>232</v>
      </c>
      <c r="C232" s="181" t="s">
        <v>187</v>
      </c>
      <c r="D232" s="45" t="s">
        <v>2105</v>
      </c>
      <c r="E232" s="48">
        <v>53</v>
      </c>
      <c r="F232" s="48">
        <v>11</v>
      </c>
      <c r="G232" s="48">
        <v>9</v>
      </c>
      <c r="H232" s="46" t="s">
        <v>27</v>
      </c>
      <c r="I232" s="44">
        <v>1</v>
      </c>
      <c r="J232" s="46"/>
      <c r="P232" s="41">
        <v>1</v>
      </c>
      <c r="Q232" s="46"/>
    </row>
    <row r="233" spans="2:17" thickBot="1" x14ac:dyDescent="0.3">
      <c r="B233" s="179">
        <v>233</v>
      </c>
      <c r="C233" s="181" t="s">
        <v>125</v>
      </c>
      <c r="D233" s="45" t="s">
        <v>1133</v>
      </c>
      <c r="E233" s="46">
        <v>53</v>
      </c>
      <c r="F233" s="46">
        <v>30</v>
      </c>
      <c r="G233" s="46">
        <v>9</v>
      </c>
      <c r="H233" s="46" t="s">
        <v>26</v>
      </c>
      <c r="I233" s="46"/>
      <c r="J233" s="46">
        <v>1</v>
      </c>
      <c r="Q233" s="46"/>
    </row>
    <row r="234" spans="2:17" thickBot="1" x14ac:dyDescent="0.3">
      <c r="B234" s="179">
        <v>234</v>
      </c>
      <c r="C234" s="181" t="s">
        <v>138</v>
      </c>
      <c r="D234" s="45" t="s">
        <v>297</v>
      </c>
      <c r="E234" s="46">
        <v>53</v>
      </c>
      <c r="F234" s="46">
        <v>18</v>
      </c>
      <c r="G234" s="46">
        <v>10</v>
      </c>
      <c r="H234" s="46" t="s">
        <v>26</v>
      </c>
      <c r="I234" s="46"/>
      <c r="J234" s="46">
        <v>1</v>
      </c>
      <c r="Q234" s="46"/>
    </row>
    <row r="235" spans="2:17" ht="21" customHeight="1" thickBot="1" x14ac:dyDescent="0.3">
      <c r="B235" s="179">
        <v>235</v>
      </c>
      <c r="C235" s="181" t="s">
        <v>2104</v>
      </c>
      <c r="D235" s="45" t="s">
        <v>2103</v>
      </c>
      <c r="E235" s="46">
        <v>53</v>
      </c>
      <c r="F235" s="46">
        <v>16</v>
      </c>
      <c r="G235" s="46">
        <v>11</v>
      </c>
      <c r="H235" s="46" t="s">
        <v>26</v>
      </c>
      <c r="I235" s="46"/>
      <c r="J235" s="46">
        <v>1</v>
      </c>
      <c r="Q235" s="46"/>
    </row>
    <row r="236" spans="2:17" thickBot="1" x14ac:dyDescent="0.3">
      <c r="B236" s="179">
        <v>236</v>
      </c>
      <c r="C236" s="181" t="s">
        <v>135</v>
      </c>
      <c r="D236" s="45" t="s">
        <v>1213</v>
      </c>
      <c r="E236" s="46">
        <v>53</v>
      </c>
      <c r="F236" s="46">
        <v>19</v>
      </c>
      <c r="G236" s="46">
        <v>12</v>
      </c>
      <c r="H236" s="46" t="s">
        <v>27</v>
      </c>
      <c r="I236" s="44">
        <v>1</v>
      </c>
      <c r="J236" s="46"/>
      <c r="P236" s="41">
        <v>1</v>
      </c>
      <c r="Q236" s="46"/>
    </row>
    <row r="237" spans="2:17" thickBot="1" x14ac:dyDescent="0.3">
      <c r="B237" s="179">
        <v>237</v>
      </c>
      <c r="C237" s="181" t="s">
        <v>799</v>
      </c>
      <c r="D237" s="45" t="s">
        <v>2102</v>
      </c>
      <c r="E237" s="46">
        <v>53</v>
      </c>
      <c r="F237" s="46">
        <v>11</v>
      </c>
      <c r="G237" s="46">
        <v>12</v>
      </c>
      <c r="H237" s="46" t="s">
        <v>26</v>
      </c>
      <c r="I237" s="46"/>
      <c r="J237" s="46">
        <v>1</v>
      </c>
      <c r="Q237" s="46"/>
    </row>
    <row r="238" spans="2:17" thickBot="1" x14ac:dyDescent="0.3">
      <c r="B238" s="179">
        <v>238</v>
      </c>
      <c r="C238" s="181" t="s">
        <v>135</v>
      </c>
      <c r="D238" s="45" t="s">
        <v>410</v>
      </c>
      <c r="E238" s="46">
        <v>53</v>
      </c>
      <c r="F238" s="46">
        <v>14</v>
      </c>
      <c r="G238" s="46">
        <v>12</v>
      </c>
      <c r="H238" s="46" t="s">
        <v>26</v>
      </c>
      <c r="I238" s="46"/>
      <c r="J238" s="46">
        <v>1</v>
      </c>
      <c r="Q238" s="46"/>
    </row>
    <row r="239" spans="2:17" thickBot="1" x14ac:dyDescent="0.3">
      <c r="B239" s="179">
        <v>239</v>
      </c>
      <c r="C239" s="181" t="s">
        <v>131</v>
      </c>
      <c r="D239" s="45" t="s">
        <v>2101</v>
      </c>
      <c r="E239" s="46">
        <v>53</v>
      </c>
      <c r="F239" s="46">
        <v>8</v>
      </c>
      <c r="G239" s="46">
        <v>12</v>
      </c>
      <c r="H239" s="46" t="s">
        <v>26</v>
      </c>
      <c r="I239" s="46"/>
      <c r="J239" s="46">
        <v>1</v>
      </c>
      <c r="Q239" s="46"/>
    </row>
    <row r="240" spans="2:17" thickBot="1" x14ac:dyDescent="0.3">
      <c r="B240" s="179">
        <v>240</v>
      </c>
      <c r="C240" s="181" t="s">
        <v>138</v>
      </c>
      <c r="D240" s="45" t="s">
        <v>2100</v>
      </c>
      <c r="E240" s="46">
        <v>53</v>
      </c>
      <c r="F240" s="46">
        <v>22</v>
      </c>
      <c r="G240" s="46">
        <v>14</v>
      </c>
      <c r="H240" s="46" t="s">
        <v>27</v>
      </c>
      <c r="I240" s="44">
        <v>1</v>
      </c>
      <c r="J240" s="46"/>
      <c r="P240" s="41">
        <v>1</v>
      </c>
      <c r="Q240" s="46"/>
    </row>
    <row r="241" spans="2:17" thickBot="1" x14ac:dyDescent="0.3">
      <c r="B241" s="179">
        <v>241</v>
      </c>
      <c r="C241" s="181" t="s">
        <v>891</v>
      </c>
      <c r="D241" s="45" t="s">
        <v>2099</v>
      </c>
      <c r="E241" s="46">
        <v>53</v>
      </c>
      <c r="F241" s="46">
        <v>10</v>
      </c>
      <c r="G241" s="46">
        <v>14</v>
      </c>
      <c r="H241" s="46" t="s">
        <v>26</v>
      </c>
      <c r="I241" s="46"/>
      <c r="J241" s="46">
        <v>1</v>
      </c>
      <c r="Q241" s="46"/>
    </row>
    <row r="242" spans="2:17" thickBot="1" x14ac:dyDescent="0.3">
      <c r="B242" s="179">
        <v>242</v>
      </c>
      <c r="C242" s="181" t="s">
        <v>622</v>
      </c>
      <c r="D242" s="45" t="s">
        <v>509</v>
      </c>
      <c r="E242" s="46">
        <v>53</v>
      </c>
      <c r="F242" s="46">
        <v>6</v>
      </c>
      <c r="G242" s="46">
        <v>14</v>
      </c>
      <c r="H242" s="46" t="s">
        <v>26</v>
      </c>
      <c r="I242" s="46"/>
      <c r="J242" s="46">
        <v>1</v>
      </c>
      <c r="Q242" s="46"/>
    </row>
    <row r="243" spans="2:17" thickBot="1" x14ac:dyDescent="0.3">
      <c r="B243" s="179">
        <v>243</v>
      </c>
      <c r="C243" s="181" t="s">
        <v>731</v>
      </c>
      <c r="D243" s="45" t="s">
        <v>2966</v>
      </c>
      <c r="E243" s="46">
        <v>53</v>
      </c>
      <c r="F243" s="46">
        <v>2</v>
      </c>
      <c r="G243" s="46">
        <v>14</v>
      </c>
      <c r="H243" s="46" t="s">
        <v>26</v>
      </c>
      <c r="I243" s="46"/>
      <c r="J243" s="46">
        <v>1</v>
      </c>
      <c r="Q243" s="46"/>
    </row>
    <row r="244" spans="2:17" thickBot="1" x14ac:dyDescent="0.3">
      <c r="B244" s="179">
        <v>244</v>
      </c>
      <c r="C244" s="181" t="s">
        <v>125</v>
      </c>
      <c r="D244" s="45" t="s">
        <v>2098</v>
      </c>
      <c r="E244" s="46">
        <v>53</v>
      </c>
      <c r="F244" s="46">
        <v>7</v>
      </c>
      <c r="G244" s="46">
        <v>15</v>
      </c>
      <c r="H244" s="46" t="s">
        <v>26</v>
      </c>
      <c r="I244" s="46"/>
      <c r="J244" s="46">
        <v>1</v>
      </c>
      <c r="Q244" s="46"/>
    </row>
    <row r="245" spans="2:17" thickBot="1" x14ac:dyDescent="0.3">
      <c r="B245" s="179">
        <v>245</v>
      </c>
      <c r="C245" s="181" t="s">
        <v>1272</v>
      </c>
      <c r="D245" s="45" t="s">
        <v>2097</v>
      </c>
      <c r="E245" s="48">
        <v>53</v>
      </c>
      <c r="F245" s="48">
        <v>13</v>
      </c>
      <c r="G245" s="48">
        <v>20</v>
      </c>
      <c r="H245" s="46" t="s">
        <v>26</v>
      </c>
      <c r="I245" s="46"/>
      <c r="J245" s="46">
        <v>1</v>
      </c>
      <c r="Q245" s="46"/>
    </row>
    <row r="246" spans="2:17" thickBot="1" x14ac:dyDescent="0.3">
      <c r="B246" s="179">
        <v>246</v>
      </c>
      <c r="C246" s="181" t="s">
        <v>1799</v>
      </c>
      <c r="D246" s="45" t="s">
        <v>2096</v>
      </c>
      <c r="E246" s="46">
        <v>53</v>
      </c>
      <c r="F246" s="46">
        <v>21</v>
      </c>
      <c r="G246" s="46">
        <v>15</v>
      </c>
      <c r="H246" s="46" t="s">
        <v>26</v>
      </c>
      <c r="I246" s="46"/>
      <c r="J246" s="46">
        <v>1</v>
      </c>
      <c r="M246" s="40">
        <v>1</v>
      </c>
      <c r="Q246" s="46" t="s">
        <v>2583</v>
      </c>
    </row>
    <row r="247" spans="2:17" thickBot="1" x14ac:dyDescent="0.3">
      <c r="B247" s="179">
        <v>247</v>
      </c>
      <c r="C247" s="181" t="s">
        <v>1108</v>
      </c>
      <c r="D247" s="45" t="s">
        <v>2146</v>
      </c>
      <c r="E247" s="46">
        <v>53</v>
      </c>
      <c r="F247" s="46">
        <v>1</v>
      </c>
      <c r="G247" s="46">
        <v>16</v>
      </c>
      <c r="H247" s="46" t="s">
        <v>26</v>
      </c>
      <c r="I247" s="46"/>
      <c r="J247" s="46">
        <v>1</v>
      </c>
      <c r="Q247" s="46"/>
    </row>
    <row r="248" spans="2:17" thickBot="1" x14ac:dyDescent="0.3">
      <c r="B248" s="179">
        <v>248</v>
      </c>
      <c r="C248" s="181" t="s">
        <v>131</v>
      </c>
      <c r="D248" s="45" t="s">
        <v>2145</v>
      </c>
      <c r="E248" s="46">
        <v>53</v>
      </c>
      <c r="F248" s="46">
        <v>6</v>
      </c>
      <c r="G248" s="46">
        <v>16</v>
      </c>
      <c r="H248" s="46" t="s">
        <v>26</v>
      </c>
      <c r="I248" s="44">
        <v>0</v>
      </c>
      <c r="J248" s="46">
        <v>1</v>
      </c>
      <c r="P248" s="41">
        <v>0</v>
      </c>
      <c r="Q248" s="46"/>
    </row>
    <row r="249" spans="2:17" thickBot="1" x14ac:dyDescent="0.3">
      <c r="B249" s="179">
        <v>249</v>
      </c>
      <c r="C249" s="181" t="s">
        <v>1359</v>
      </c>
      <c r="D249" s="45" t="s">
        <v>2144</v>
      </c>
      <c r="E249" s="46">
        <v>53</v>
      </c>
      <c r="F249" s="46">
        <v>18</v>
      </c>
      <c r="G249" s="46">
        <v>16</v>
      </c>
      <c r="H249" s="46" t="s">
        <v>26</v>
      </c>
      <c r="I249" s="46"/>
      <c r="J249" s="46">
        <v>1</v>
      </c>
      <c r="Q249" s="46"/>
    </row>
    <row r="250" spans="2:17" ht="36.75" thickBot="1" x14ac:dyDescent="0.3">
      <c r="B250" s="179">
        <v>250</v>
      </c>
      <c r="C250" s="181" t="s">
        <v>2143</v>
      </c>
      <c r="D250" s="45" t="s">
        <v>2142</v>
      </c>
      <c r="E250" s="46">
        <v>53</v>
      </c>
      <c r="F250" s="46">
        <v>17</v>
      </c>
      <c r="G250" s="46">
        <v>16</v>
      </c>
      <c r="H250" s="46" t="s">
        <v>26</v>
      </c>
      <c r="I250" s="46"/>
      <c r="J250" s="46">
        <v>1</v>
      </c>
      <c r="Q250" s="46"/>
    </row>
    <row r="251" spans="2:17" thickBot="1" x14ac:dyDescent="0.3">
      <c r="B251" s="179">
        <v>251</v>
      </c>
      <c r="C251" s="181" t="s">
        <v>2141</v>
      </c>
      <c r="D251" s="45" t="s">
        <v>2140</v>
      </c>
      <c r="E251" s="46">
        <v>53</v>
      </c>
      <c r="F251" s="46">
        <v>21</v>
      </c>
      <c r="G251" s="46">
        <v>16</v>
      </c>
      <c r="H251" s="46" t="s">
        <v>26</v>
      </c>
      <c r="I251" s="46"/>
      <c r="J251" s="46">
        <v>1</v>
      </c>
      <c r="Q251" s="46"/>
    </row>
    <row r="252" spans="2:17" thickBot="1" x14ac:dyDescent="0.3">
      <c r="B252" s="179">
        <v>252</v>
      </c>
      <c r="C252" s="181" t="s">
        <v>646</v>
      </c>
      <c r="D252" s="45" t="s">
        <v>2139</v>
      </c>
      <c r="E252" s="46">
        <v>53</v>
      </c>
      <c r="F252" s="46">
        <v>24</v>
      </c>
      <c r="G252" s="46">
        <v>16</v>
      </c>
      <c r="H252" s="46" t="s">
        <v>27</v>
      </c>
      <c r="I252" s="44">
        <v>1</v>
      </c>
      <c r="J252" s="46"/>
      <c r="P252" s="41">
        <v>1</v>
      </c>
      <c r="Q252" s="46"/>
    </row>
    <row r="253" spans="2:17" thickBot="1" x14ac:dyDescent="0.3">
      <c r="B253" s="179">
        <v>253</v>
      </c>
      <c r="C253" s="181" t="s">
        <v>664</v>
      </c>
      <c r="D253" s="45" t="s">
        <v>2138</v>
      </c>
      <c r="E253" s="46">
        <v>53</v>
      </c>
      <c r="F253" s="46">
        <v>33</v>
      </c>
      <c r="G253" s="46">
        <v>16</v>
      </c>
      <c r="H253" s="46" t="s">
        <v>26</v>
      </c>
      <c r="I253" s="46"/>
      <c r="J253" s="46">
        <v>1</v>
      </c>
      <c r="Q253" s="46"/>
    </row>
    <row r="254" spans="2:17" thickBot="1" x14ac:dyDescent="0.3">
      <c r="B254" s="179">
        <v>254</v>
      </c>
      <c r="C254" s="181" t="s">
        <v>280</v>
      </c>
      <c r="D254" s="45" t="s">
        <v>2137</v>
      </c>
      <c r="E254" s="46">
        <v>53</v>
      </c>
      <c r="F254" s="46">
        <v>21</v>
      </c>
      <c r="G254" s="46">
        <v>17</v>
      </c>
      <c r="H254" s="46" t="s">
        <v>26</v>
      </c>
      <c r="I254" s="46"/>
      <c r="J254" s="46">
        <v>1</v>
      </c>
      <c r="Q254" s="46"/>
    </row>
    <row r="255" spans="2:17" thickBot="1" x14ac:dyDescent="0.3">
      <c r="B255" s="179">
        <v>255</v>
      </c>
      <c r="C255" s="181" t="s">
        <v>712</v>
      </c>
      <c r="D255" s="185" t="s">
        <v>2136</v>
      </c>
      <c r="E255" s="46">
        <v>53</v>
      </c>
      <c r="F255" s="46">
        <v>19</v>
      </c>
      <c r="G255" s="46">
        <v>17</v>
      </c>
      <c r="H255" s="46" t="s">
        <v>26</v>
      </c>
      <c r="I255" s="46"/>
      <c r="J255" s="46">
        <v>1</v>
      </c>
      <c r="Q255" s="46"/>
    </row>
    <row r="256" spans="2:17" thickBot="1" x14ac:dyDescent="0.3">
      <c r="B256" s="179">
        <v>256</v>
      </c>
      <c r="C256" s="181" t="s">
        <v>362</v>
      </c>
      <c r="D256" s="45" t="s">
        <v>555</v>
      </c>
      <c r="E256" s="46">
        <v>53</v>
      </c>
      <c r="F256" s="46">
        <v>9</v>
      </c>
      <c r="G256" s="46">
        <v>17</v>
      </c>
      <c r="H256" s="46" t="s">
        <v>27</v>
      </c>
      <c r="I256" s="44">
        <v>1</v>
      </c>
      <c r="J256" s="46"/>
      <c r="P256" s="41">
        <v>1</v>
      </c>
      <c r="Q256" s="46"/>
    </row>
    <row r="257" spans="2:17" thickBot="1" x14ac:dyDescent="0.3">
      <c r="B257" s="179">
        <v>257</v>
      </c>
      <c r="C257" s="181" t="s">
        <v>187</v>
      </c>
      <c r="D257" s="45" t="s">
        <v>2135</v>
      </c>
      <c r="E257" s="46">
        <v>53</v>
      </c>
      <c r="F257" s="46">
        <v>19</v>
      </c>
      <c r="G257" s="46">
        <v>18</v>
      </c>
      <c r="H257" s="46" t="s">
        <v>26</v>
      </c>
      <c r="I257" s="46"/>
      <c r="J257" s="46">
        <v>1</v>
      </c>
      <c r="Q257" s="46"/>
    </row>
    <row r="258" spans="2:17" thickBot="1" x14ac:dyDescent="0.3">
      <c r="B258" s="179">
        <v>258</v>
      </c>
      <c r="C258" s="181" t="s">
        <v>1076</v>
      </c>
      <c r="D258" s="45" t="s">
        <v>2134</v>
      </c>
      <c r="E258" s="46">
        <v>53</v>
      </c>
      <c r="F258" s="46">
        <v>24</v>
      </c>
      <c r="G258" s="46">
        <v>18</v>
      </c>
      <c r="H258" s="46" t="s">
        <v>26</v>
      </c>
      <c r="I258" s="46"/>
      <c r="J258" s="46">
        <v>1</v>
      </c>
      <c r="Q258" s="46"/>
    </row>
    <row r="259" spans="2:17" thickBot="1" x14ac:dyDescent="0.3">
      <c r="B259" s="179">
        <v>259</v>
      </c>
      <c r="C259" s="181" t="s">
        <v>2133</v>
      </c>
      <c r="D259" s="45" t="s">
        <v>2132</v>
      </c>
      <c r="E259" s="46">
        <v>53</v>
      </c>
      <c r="F259" s="46">
        <v>86</v>
      </c>
      <c r="G259" s="46">
        <v>18</v>
      </c>
      <c r="H259" s="46" t="s">
        <v>26</v>
      </c>
      <c r="I259" s="46"/>
      <c r="J259" s="46">
        <v>1</v>
      </c>
      <c r="Q259" s="46"/>
    </row>
    <row r="260" spans="2:17" thickBot="1" x14ac:dyDescent="0.3">
      <c r="B260" s="179">
        <v>260</v>
      </c>
      <c r="C260" s="181" t="s">
        <v>2131</v>
      </c>
      <c r="D260" s="185" t="s">
        <v>3055</v>
      </c>
      <c r="E260" s="48">
        <v>53</v>
      </c>
      <c r="F260" s="48">
        <v>85</v>
      </c>
      <c r="G260" s="48">
        <v>18</v>
      </c>
      <c r="H260" s="46" t="s">
        <v>26</v>
      </c>
      <c r="I260" s="46"/>
      <c r="J260" s="46">
        <v>1</v>
      </c>
      <c r="Q260" s="46"/>
    </row>
    <row r="261" spans="2:17" thickBot="1" x14ac:dyDescent="0.3">
      <c r="B261" s="179">
        <v>261</v>
      </c>
      <c r="C261" s="181" t="s">
        <v>483</v>
      </c>
      <c r="D261" s="45" t="s">
        <v>2130</v>
      </c>
      <c r="E261" s="46">
        <v>53</v>
      </c>
      <c r="F261" s="46">
        <v>67</v>
      </c>
      <c r="G261" s="46">
        <v>18</v>
      </c>
      <c r="H261" s="46" t="s">
        <v>27</v>
      </c>
      <c r="I261" s="44">
        <v>1</v>
      </c>
      <c r="J261" s="46"/>
      <c r="P261" s="41">
        <v>1</v>
      </c>
      <c r="Q261" s="46"/>
    </row>
    <row r="262" spans="2:17" thickBot="1" x14ac:dyDescent="0.3">
      <c r="B262" s="179">
        <v>262</v>
      </c>
      <c r="C262" s="181" t="s">
        <v>166</v>
      </c>
      <c r="D262" s="45" t="s">
        <v>2129</v>
      </c>
      <c r="E262" s="46">
        <v>53</v>
      </c>
      <c r="F262" s="46">
        <v>66</v>
      </c>
      <c r="G262" s="46">
        <v>18</v>
      </c>
      <c r="H262" s="46" t="s">
        <v>26</v>
      </c>
      <c r="I262" s="46"/>
      <c r="J262" s="46">
        <v>1</v>
      </c>
      <c r="Q262" s="46"/>
    </row>
    <row r="263" spans="2:17" thickBot="1" x14ac:dyDescent="0.3">
      <c r="B263" s="179">
        <v>263</v>
      </c>
      <c r="C263" s="181" t="s">
        <v>726</v>
      </c>
      <c r="D263" s="45" t="s">
        <v>779</v>
      </c>
      <c r="E263" s="46">
        <v>53</v>
      </c>
      <c r="F263" s="46">
        <v>62</v>
      </c>
      <c r="G263" s="46">
        <v>18</v>
      </c>
      <c r="H263" s="46" t="s">
        <v>26</v>
      </c>
      <c r="I263" s="46"/>
      <c r="J263" s="46">
        <v>1</v>
      </c>
      <c r="Q263" s="46"/>
    </row>
    <row r="264" spans="2:17" thickBot="1" x14ac:dyDescent="0.3">
      <c r="B264" s="179">
        <v>264</v>
      </c>
      <c r="C264" s="181" t="s">
        <v>135</v>
      </c>
      <c r="D264" s="45" t="s">
        <v>2128</v>
      </c>
      <c r="E264" s="46">
        <v>53</v>
      </c>
      <c r="F264" s="46">
        <v>63</v>
      </c>
      <c r="G264" s="46">
        <v>17</v>
      </c>
      <c r="H264" s="46" t="s">
        <v>26</v>
      </c>
      <c r="I264" s="46"/>
      <c r="J264" s="46">
        <v>1</v>
      </c>
      <c r="Q264" s="46"/>
    </row>
    <row r="265" spans="2:17" thickBot="1" x14ac:dyDescent="0.3">
      <c r="B265" s="179">
        <v>265</v>
      </c>
      <c r="C265" s="181" t="s">
        <v>883</v>
      </c>
      <c r="D265" s="45" t="s">
        <v>542</v>
      </c>
      <c r="E265" s="46">
        <v>53</v>
      </c>
      <c r="F265" s="46">
        <v>79</v>
      </c>
      <c r="G265" s="46">
        <v>17</v>
      </c>
      <c r="H265" s="46" t="s">
        <v>26</v>
      </c>
      <c r="I265" s="46"/>
      <c r="J265" s="46">
        <v>1</v>
      </c>
      <c r="Q265" s="46"/>
    </row>
    <row r="266" spans="2:17" thickBot="1" x14ac:dyDescent="0.3">
      <c r="B266" s="179">
        <v>266</v>
      </c>
      <c r="C266" s="181" t="s">
        <v>138</v>
      </c>
      <c r="D266" s="45" t="s">
        <v>2127</v>
      </c>
      <c r="E266" s="46">
        <v>53</v>
      </c>
      <c r="F266" s="46">
        <v>81</v>
      </c>
      <c r="G266" s="46">
        <v>17</v>
      </c>
      <c r="H266" s="46" t="s">
        <v>26</v>
      </c>
      <c r="I266" s="46"/>
      <c r="J266" s="46">
        <v>1</v>
      </c>
      <c r="Q266" s="46"/>
    </row>
    <row r="267" spans="2:17" thickBot="1" x14ac:dyDescent="0.3">
      <c r="B267" s="179">
        <v>267</v>
      </c>
      <c r="C267" s="181" t="s">
        <v>619</v>
      </c>
      <c r="D267" s="45" t="s">
        <v>985</v>
      </c>
      <c r="E267" s="46">
        <v>53</v>
      </c>
      <c r="F267" s="46">
        <v>82</v>
      </c>
      <c r="G267" s="46">
        <v>17</v>
      </c>
      <c r="H267" s="46" t="s">
        <v>26</v>
      </c>
      <c r="I267" s="46"/>
      <c r="J267" s="46">
        <v>1</v>
      </c>
      <c r="Q267" s="46"/>
    </row>
    <row r="268" spans="2:17" thickBot="1" x14ac:dyDescent="0.3">
      <c r="B268" s="179">
        <v>268</v>
      </c>
      <c r="C268" s="181" t="s">
        <v>280</v>
      </c>
      <c r="D268" s="45" t="s">
        <v>894</v>
      </c>
      <c r="E268" s="46">
        <v>53</v>
      </c>
      <c r="F268" s="46">
        <v>85</v>
      </c>
      <c r="G268" s="46">
        <v>17</v>
      </c>
      <c r="H268" s="46" t="s">
        <v>26</v>
      </c>
      <c r="I268" s="46"/>
      <c r="J268" s="46">
        <v>1</v>
      </c>
      <c r="Q268" s="46"/>
    </row>
    <row r="269" spans="2:17" thickBot="1" x14ac:dyDescent="0.3">
      <c r="B269" s="179">
        <v>269</v>
      </c>
      <c r="C269" s="181" t="s">
        <v>296</v>
      </c>
      <c r="D269" s="45" t="s">
        <v>2126</v>
      </c>
      <c r="E269" s="46">
        <v>53</v>
      </c>
      <c r="F269" s="46">
        <v>80</v>
      </c>
      <c r="G269" s="46">
        <v>16</v>
      </c>
      <c r="H269" s="46" t="s">
        <v>26</v>
      </c>
      <c r="I269" s="46"/>
      <c r="J269" s="46">
        <v>1</v>
      </c>
      <c r="Q269" s="46"/>
    </row>
    <row r="270" spans="2:17" ht="23.25" customHeight="1" thickBot="1" x14ac:dyDescent="0.3">
      <c r="B270" s="179">
        <v>270</v>
      </c>
      <c r="C270" s="181" t="s">
        <v>119</v>
      </c>
      <c r="D270" s="45" t="s">
        <v>2125</v>
      </c>
      <c r="E270" s="46">
        <v>53</v>
      </c>
      <c r="F270" s="46">
        <v>76</v>
      </c>
      <c r="G270" s="46">
        <v>16</v>
      </c>
      <c r="H270" s="46" t="s">
        <v>26</v>
      </c>
      <c r="I270" s="46"/>
      <c r="J270" s="46">
        <v>1</v>
      </c>
      <c r="Q270" s="46"/>
    </row>
    <row r="271" spans="2:17" thickBot="1" x14ac:dyDescent="0.3">
      <c r="B271" s="179">
        <v>271</v>
      </c>
      <c r="C271" s="181" t="s">
        <v>270</v>
      </c>
      <c r="D271" s="45" t="s">
        <v>2124</v>
      </c>
      <c r="E271" s="46">
        <v>53</v>
      </c>
      <c r="F271" s="46">
        <v>63</v>
      </c>
      <c r="G271" s="46">
        <v>16</v>
      </c>
      <c r="H271" s="46" t="s">
        <v>26</v>
      </c>
      <c r="I271" s="46"/>
      <c r="J271" s="46">
        <v>1</v>
      </c>
      <c r="Q271" s="46"/>
    </row>
    <row r="272" spans="2:17" thickBot="1" x14ac:dyDescent="0.3">
      <c r="B272" s="179">
        <v>272</v>
      </c>
      <c r="C272" s="181" t="s">
        <v>131</v>
      </c>
      <c r="D272" s="45" t="s">
        <v>2123</v>
      </c>
      <c r="E272" s="46">
        <v>53</v>
      </c>
      <c r="F272" s="46">
        <v>70</v>
      </c>
      <c r="G272" s="46">
        <v>16</v>
      </c>
      <c r="H272" s="46" t="s">
        <v>26</v>
      </c>
      <c r="I272" s="46"/>
      <c r="J272" s="46">
        <v>1</v>
      </c>
      <c r="Q272" s="46"/>
    </row>
    <row r="273" spans="2:17" thickBot="1" x14ac:dyDescent="0.3">
      <c r="B273" s="179">
        <v>273</v>
      </c>
      <c r="C273" s="181" t="s">
        <v>712</v>
      </c>
      <c r="D273" s="45" t="s">
        <v>1672</v>
      </c>
      <c r="E273" s="46">
        <v>53</v>
      </c>
      <c r="F273" s="46">
        <v>60</v>
      </c>
      <c r="G273" s="46">
        <v>15</v>
      </c>
      <c r="H273" s="46" t="s">
        <v>26</v>
      </c>
      <c r="I273" s="46"/>
      <c r="J273" s="46">
        <v>1</v>
      </c>
      <c r="Q273" s="46"/>
    </row>
    <row r="274" spans="2:17" thickBot="1" x14ac:dyDescent="0.3">
      <c r="B274" s="179">
        <v>274</v>
      </c>
      <c r="C274" s="181" t="s">
        <v>659</v>
      </c>
      <c r="D274" s="45" t="s">
        <v>1661</v>
      </c>
      <c r="E274" s="46">
        <v>53</v>
      </c>
      <c r="F274" s="46">
        <v>68</v>
      </c>
      <c r="G274" s="46">
        <v>15</v>
      </c>
      <c r="H274" s="46" t="s">
        <v>26</v>
      </c>
      <c r="I274" s="46"/>
      <c r="J274" s="46">
        <v>1</v>
      </c>
      <c r="Q274" s="46"/>
    </row>
    <row r="275" spans="2:17" thickBot="1" x14ac:dyDescent="0.3">
      <c r="B275" s="179">
        <v>275</v>
      </c>
      <c r="C275" s="181" t="s">
        <v>135</v>
      </c>
      <c r="D275" s="45" t="s">
        <v>2122</v>
      </c>
      <c r="E275" s="46">
        <v>53</v>
      </c>
      <c r="F275" s="46">
        <v>74</v>
      </c>
      <c r="G275" s="46">
        <v>15</v>
      </c>
      <c r="H275" s="46" t="s">
        <v>26</v>
      </c>
      <c r="I275" s="46"/>
      <c r="J275" s="46">
        <v>1</v>
      </c>
      <c r="Q275" s="46"/>
    </row>
    <row r="276" spans="2:17" thickBot="1" x14ac:dyDescent="0.3">
      <c r="B276" s="179">
        <v>276</v>
      </c>
      <c r="C276" s="181" t="s">
        <v>131</v>
      </c>
      <c r="D276" s="45" t="s">
        <v>3054</v>
      </c>
      <c r="E276" s="46">
        <v>53</v>
      </c>
      <c r="F276" s="48">
        <v>75</v>
      </c>
      <c r="G276" s="48">
        <v>15</v>
      </c>
      <c r="H276" s="46" t="s">
        <v>26</v>
      </c>
      <c r="I276" s="46"/>
      <c r="J276" s="46">
        <v>1</v>
      </c>
      <c r="Q276" s="46"/>
    </row>
    <row r="277" spans="2:17" thickBot="1" x14ac:dyDescent="0.3">
      <c r="B277" s="179">
        <v>277</v>
      </c>
      <c r="C277" s="181" t="s">
        <v>143</v>
      </c>
      <c r="D277" s="45" t="s">
        <v>1549</v>
      </c>
      <c r="E277" s="46">
        <v>53</v>
      </c>
      <c r="F277" s="46">
        <v>85</v>
      </c>
      <c r="G277" s="46">
        <v>14</v>
      </c>
      <c r="H277" s="46" t="s">
        <v>26</v>
      </c>
      <c r="I277" s="46"/>
      <c r="J277" s="46">
        <v>1</v>
      </c>
      <c r="Q277" s="46"/>
    </row>
    <row r="278" spans="2:17" thickBot="1" x14ac:dyDescent="0.3">
      <c r="B278" s="179">
        <v>278</v>
      </c>
      <c r="C278" s="181" t="s">
        <v>128</v>
      </c>
      <c r="D278" s="45" t="s">
        <v>2121</v>
      </c>
      <c r="E278" s="46">
        <v>53</v>
      </c>
      <c r="F278" s="46">
        <v>82</v>
      </c>
      <c r="G278" s="46">
        <v>14</v>
      </c>
      <c r="H278" s="46" t="s">
        <v>26</v>
      </c>
      <c r="I278" s="46"/>
      <c r="J278" s="46">
        <v>1</v>
      </c>
      <c r="Q278" s="46"/>
    </row>
    <row r="279" spans="2:17" thickBot="1" x14ac:dyDescent="0.3">
      <c r="B279" s="179">
        <v>279</v>
      </c>
      <c r="C279" s="181" t="s">
        <v>125</v>
      </c>
      <c r="D279" s="45" t="s">
        <v>2120</v>
      </c>
      <c r="E279" s="46">
        <v>53</v>
      </c>
      <c r="F279" s="46">
        <v>77</v>
      </c>
      <c r="G279" s="46">
        <v>14</v>
      </c>
      <c r="H279" s="46" t="s">
        <v>27</v>
      </c>
      <c r="I279" s="44">
        <v>1</v>
      </c>
      <c r="J279" s="46"/>
      <c r="Q279" s="46"/>
    </row>
    <row r="280" spans="2:17" ht="36.75" thickBot="1" x14ac:dyDescent="0.3">
      <c r="B280" s="179">
        <v>280</v>
      </c>
      <c r="C280" s="181" t="s">
        <v>3057</v>
      </c>
      <c r="D280" s="45" t="s">
        <v>3058</v>
      </c>
      <c r="E280" s="46">
        <v>53</v>
      </c>
      <c r="F280" s="46">
        <v>73</v>
      </c>
      <c r="G280" s="46">
        <v>14</v>
      </c>
      <c r="H280" s="46" t="s">
        <v>26</v>
      </c>
      <c r="I280" s="46"/>
      <c r="J280" s="46">
        <v>1</v>
      </c>
      <c r="Q280" s="46"/>
    </row>
    <row r="281" spans="2:17" thickBot="1" x14ac:dyDescent="0.3">
      <c r="B281" s="179">
        <v>281</v>
      </c>
      <c r="C281" s="181" t="s">
        <v>138</v>
      </c>
      <c r="D281" s="45" t="s">
        <v>2184</v>
      </c>
      <c r="E281" s="46">
        <v>53</v>
      </c>
      <c r="F281" s="46">
        <v>63</v>
      </c>
      <c r="G281" s="46">
        <v>14</v>
      </c>
      <c r="H281" s="46" t="s">
        <v>26</v>
      </c>
      <c r="I281" s="46"/>
      <c r="J281" s="46">
        <v>1</v>
      </c>
      <c r="Q281" s="46"/>
    </row>
    <row r="282" spans="2:17" thickBot="1" x14ac:dyDescent="0.3">
      <c r="B282" s="179">
        <v>282</v>
      </c>
      <c r="C282" s="181" t="s">
        <v>125</v>
      </c>
      <c r="D282" s="45" t="s">
        <v>2183</v>
      </c>
      <c r="E282" s="46">
        <v>53</v>
      </c>
      <c r="F282" s="46">
        <v>70</v>
      </c>
      <c r="G282" s="46">
        <v>13</v>
      </c>
      <c r="H282" s="46" t="s">
        <v>26</v>
      </c>
      <c r="I282" s="46"/>
      <c r="J282" s="46">
        <v>1</v>
      </c>
      <c r="Q282" s="46"/>
    </row>
    <row r="283" spans="2:17" thickBot="1" x14ac:dyDescent="0.3">
      <c r="B283" s="179">
        <v>283</v>
      </c>
      <c r="C283" s="181" t="s">
        <v>701</v>
      </c>
      <c r="D283" s="45" t="s">
        <v>2182</v>
      </c>
      <c r="E283" s="46">
        <v>53</v>
      </c>
      <c r="F283" s="46">
        <v>81</v>
      </c>
      <c r="G283" s="46">
        <v>13</v>
      </c>
      <c r="H283" s="46" t="s">
        <v>26</v>
      </c>
      <c r="I283" s="46"/>
      <c r="J283" s="46">
        <v>1</v>
      </c>
      <c r="Q283" s="46"/>
    </row>
    <row r="284" spans="2:17" thickBot="1" x14ac:dyDescent="0.3">
      <c r="B284" s="179">
        <v>284</v>
      </c>
      <c r="C284" s="181" t="s">
        <v>280</v>
      </c>
      <c r="D284" s="45" t="s">
        <v>3052</v>
      </c>
      <c r="E284" s="46">
        <v>53</v>
      </c>
      <c r="F284" s="48">
        <v>82</v>
      </c>
      <c r="G284" s="48">
        <v>13</v>
      </c>
      <c r="H284" s="46" t="s">
        <v>26</v>
      </c>
      <c r="I284" s="46"/>
      <c r="J284" s="46">
        <v>1</v>
      </c>
      <c r="Q284" s="46"/>
    </row>
    <row r="285" spans="2:17" thickBot="1" x14ac:dyDescent="0.3">
      <c r="B285" s="179">
        <v>285</v>
      </c>
      <c r="C285" s="181" t="s">
        <v>270</v>
      </c>
      <c r="D285" s="45" t="s">
        <v>2181</v>
      </c>
      <c r="E285" s="46">
        <v>53</v>
      </c>
      <c r="F285" s="46">
        <v>84</v>
      </c>
      <c r="G285" s="46">
        <v>13</v>
      </c>
      <c r="H285" s="46" t="s">
        <v>27</v>
      </c>
      <c r="I285" s="44">
        <v>1</v>
      </c>
      <c r="J285" s="46"/>
      <c r="P285" s="41">
        <v>1</v>
      </c>
      <c r="Q285" s="46"/>
    </row>
    <row r="286" spans="2:17" thickBot="1" x14ac:dyDescent="0.3">
      <c r="B286" s="179">
        <v>286</v>
      </c>
      <c r="C286" s="181" t="s">
        <v>859</v>
      </c>
      <c r="D286" s="45" t="s">
        <v>2180</v>
      </c>
      <c r="E286" s="46">
        <v>53</v>
      </c>
      <c r="F286" s="46">
        <v>83</v>
      </c>
      <c r="G286" s="46">
        <v>12</v>
      </c>
      <c r="H286" s="46" t="s">
        <v>27</v>
      </c>
      <c r="I286" s="44">
        <v>1</v>
      </c>
      <c r="J286" s="46"/>
      <c r="P286" s="41">
        <v>1</v>
      </c>
      <c r="Q286" s="46"/>
    </row>
    <row r="287" spans="2:17" thickBot="1" x14ac:dyDescent="0.3">
      <c r="B287" s="179">
        <v>287</v>
      </c>
      <c r="C287" s="181" t="s">
        <v>2179</v>
      </c>
      <c r="D287" s="45" t="s">
        <v>2178</v>
      </c>
      <c r="E287" s="46">
        <v>53</v>
      </c>
      <c r="F287" s="46">
        <v>71</v>
      </c>
      <c r="G287" s="46">
        <v>12</v>
      </c>
      <c r="H287" s="46" t="s">
        <v>26</v>
      </c>
      <c r="I287" s="46"/>
      <c r="J287" s="46">
        <v>1</v>
      </c>
      <c r="Q287" s="46"/>
    </row>
    <row r="288" spans="2:17" thickBot="1" x14ac:dyDescent="0.3">
      <c r="B288" s="179">
        <v>288</v>
      </c>
      <c r="C288" s="181" t="s">
        <v>135</v>
      </c>
      <c r="D288" s="45" t="s">
        <v>2177</v>
      </c>
      <c r="E288" s="46">
        <v>53</v>
      </c>
      <c r="F288" s="46">
        <v>69</v>
      </c>
      <c r="G288" s="46">
        <v>12</v>
      </c>
      <c r="H288" s="46" t="s">
        <v>26</v>
      </c>
      <c r="I288" s="46"/>
      <c r="J288" s="46">
        <v>1</v>
      </c>
      <c r="Q288" s="46"/>
    </row>
    <row r="289" spans="2:17" thickBot="1" x14ac:dyDescent="0.3">
      <c r="B289" s="179">
        <v>289</v>
      </c>
      <c r="C289" s="181" t="s">
        <v>600</v>
      </c>
      <c r="D289" s="45" t="s">
        <v>6</v>
      </c>
      <c r="E289" s="46">
        <v>53</v>
      </c>
      <c r="F289" s="46">
        <v>64</v>
      </c>
      <c r="G289" s="46">
        <v>13</v>
      </c>
      <c r="H289" s="46" t="s">
        <v>27</v>
      </c>
      <c r="I289" s="44">
        <v>1</v>
      </c>
      <c r="J289" s="46"/>
      <c r="P289" s="41">
        <v>1</v>
      </c>
      <c r="Q289" s="46"/>
    </row>
    <row r="290" spans="2:17" thickBot="1" x14ac:dyDescent="0.3">
      <c r="B290" s="179">
        <v>290</v>
      </c>
      <c r="C290" s="181" t="s">
        <v>889</v>
      </c>
      <c r="D290" s="45" t="s">
        <v>2176</v>
      </c>
      <c r="E290" s="46">
        <v>53</v>
      </c>
      <c r="F290" s="46">
        <v>76</v>
      </c>
      <c r="G290" s="46">
        <v>11</v>
      </c>
      <c r="H290" s="46" t="s">
        <v>26</v>
      </c>
      <c r="I290" s="46"/>
      <c r="J290" s="46">
        <v>1</v>
      </c>
      <c r="Q290" s="46"/>
    </row>
    <row r="291" spans="2:17" thickBot="1" x14ac:dyDescent="0.3">
      <c r="B291" s="179">
        <v>291</v>
      </c>
      <c r="C291" s="181" t="s">
        <v>166</v>
      </c>
      <c r="D291" s="45" t="s">
        <v>2175</v>
      </c>
      <c r="E291" s="46">
        <v>53</v>
      </c>
      <c r="F291" s="46">
        <v>75</v>
      </c>
      <c r="G291" s="46">
        <v>10</v>
      </c>
      <c r="H291" s="46" t="s">
        <v>26</v>
      </c>
      <c r="I291" s="46"/>
      <c r="J291" s="46">
        <v>1</v>
      </c>
      <c r="Q291" s="46"/>
    </row>
    <row r="292" spans="2:17" thickBot="1" x14ac:dyDescent="0.3">
      <c r="B292" s="179">
        <v>292</v>
      </c>
      <c r="C292" s="181" t="s">
        <v>362</v>
      </c>
      <c r="D292" s="45" t="s">
        <v>2174</v>
      </c>
      <c r="E292" s="46">
        <v>53</v>
      </c>
      <c r="F292" s="46">
        <v>33</v>
      </c>
      <c r="G292" s="46">
        <v>7</v>
      </c>
      <c r="H292" s="46" t="s">
        <v>26</v>
      </c>
      <c r="I292" s="46"/>
      <c r="J292" s="46">
        <v>1</v>
      </c>
      <c r="Q292" s="46"/>
    </row>
    <row r="293" spans="2:17" thickBot="1" x14ac:dyDescent="0.3">
      <c r="B293" s="179">
        <v>293</v>
      </c>
      <c r="C293" s="181" t="s">
        <v>1226</v>
      </c>
      <c r="D293" s="45" t="s">
        <v>2173</v>
      </c>
      <c r="E293" s="46">
        <v>53</v>
      </c>
      <c r="F293" s="46">
        <v>40</v>
      </c>
      <c r="G293" s="46">
        <v>9</v>
      </c>
      <c r="H293" s="46" t="s">
        <v>26</v>
      </c>
      <c r="I293" s="46"/>
      <c r="J293" s="46">
        <v>1</v>
      </c>
      <c r="Q293" s="46"/>
    </row>
    <row r="294" spans="2:17" thickBot="1" x14ac:dyDescent="0.3">
      <c r="B294" s="179">
        <v>294</v>
      </c>
      <c r="C294" s="181" t="s">
        <v>677</v>
      </c>
      <c r="D294" s="45" t="s">
        <v>2172</v>
      </c>
      <c r="E294" s="46">
        <v>53</v>
      </c>
      <c r="F294" s="46">
        <v>55</v>
      </c>
      <c r="G294" s="46">
        <v>10</v>
      </c>
      <c r="H294" s="46" t="s">
        <v>26</v>
      </c>
      <c r="I294" s="46"/>
      <c r="J294" s="46">
        <v>1</v>
      </c>
      <c r="Q294" s="46"/>
    </row>
    <row r="295" spans="2:17" thickBot="1" x14ac:dyDescent="0.3">
      <c r="B295" s="179">
        <v>295</v>
      </c>
      <c r="C295" s="181" t="s">
        <v>138</v>
      </c>
      <c r="D295" s="45" t="s">
        <v>1312</v>
      </c>
      <c r="E295" s="46">
        <v>53</v>
      </c>
      <c r="F295" s="48">
        <v>56</v>
      </c>
      <c r="G295" s="48">
        <v>10</v>
      </c>
      <c r="H295" s="46" t="s">
        <v>26</v>
      </c>
      <c r="I295" s="46"/>
      <c r="J295" s="46">
        <v>1</v>
      </c>
      <c r="Q295" s="46"/>
    </row>
    <row r="296" spans="2:17" thickBot="1" x14ac:dyDescent="0.3">
      <c r="B296" s="179">
        <v>296</v>
      </c>
      <c r="C296" s="181" t="s">
        <v>891</v>
      </c>
      <c r="D296" s="45" t="s">
        <v>2171</v>
      </c>
      <c r="E296" s="46">
        <v>53</v>
      </c>
      <c r="F296" s="46">
        <v>35</v>
      </c>
      <c r="G296" s="46">
        <v>11</v>
      </c>
      <c r="H296" s="46" t="s">
        <v>26</v>
      </c>
      <c r="I296" s="46"/>
      <c r="J296" s="46">
        <v>1</v>
      </c>
      <c r="Q296" s="46"/>
    </row>
    <row r="297" spans="2:17" thickBot="1" x14ac:dyDescent="0.3">
      <c r="B297" s="179">
        <v>297</v>
      </c>
      <c r="C297" s="181" t="s">
        <v>187</v>
      </c>
      <c r="D297" s="45" t="s">
        <v>2170</v>
      </c>
      <c r="E297" s="46">
        <v>53</v>
      </c>
      <c r="F297" s="46">
        <v>34</v>
      </c>
      <c r="G297" s="46">
        <v>12</v>
      </c>
      <c r="H297" s="46" t="s">
        <v>26</v>
      </c>
      <c r="I297" s="46"/>
      <c r="J297" s="46">
        <v>1</v>
      </c>
      <c r="Q297" s="46"/>
    </row>
    <row r="298" spans="2:17" thickBot="1" x14ac:dyDescent="0.3">
      <c r="B298" s="179">
        <v>298</v>
      </c>
      <c r="C298" s="181" t="s">
        <v>832</v>
      </c>
      <c r="D298" s="45" t="s">
        <v>2169</v>
      </c>
      <c r="E298" s="46">
        <v>53</v>
      </c>
      <c r="F298" s="46">
        <v>35</v>
      </c>
      <c r="G298" s="46">
        <v>12</v>
      </c>
      <c r="H298" s="46" t="s">
        <v>26</v>
      </c>
      <c r="I298" s="46"/>
      <c r="J298" s="46">
        <v>1</v>
      </c>
      <c r="Q298" s="46"/>
    </row>
    <row r="299" spans="2:17" thickBot="1" x14ac:dyDescent="0.3">
      <c r="B299" s="179">
        <v>299</v>
      </c>
      <c r="C299" s="181" t="s">
        <v>2168</v>
      </c>
      <c r="D299" s="45" t="s">
        <v>2167</v>
      </c>
      <c r="E299" s="46">
        <v>53</v>
      </c>
      <c r="F299" s="46">
        <v>39</v>
      </c>
      <c r="G299" s="46">
        <v>12</v>
      </c>
      <c r="H299" s="46" t="s">
        <v>27</v>
      </c>
      <c r="I299" s="44">
        <v>1</v>
      </c>
      <c r="J299" s="46">
        <v>0</v>
      </c>
      <c r="P299" s="41">
        <v>1</v>
      </c>
      <c r="Q299" s="46"/>
    </row>
    <row r="300" spans="2:17" thickBot="1" x14ac:dyDescent="0.3">
      <c r="B300" s="179">
        <v>300</v>
      </c>
      <c r="C300" s="181" t="s">
        <v>224</v>
      </c>
      <c r="D300" s="45" t="s">
        <v>2166</v>
      </c>
      <c r="E300" s="46">
        <v>53</v>
      </c>
      <c r="F300" s="46">
        <v>55</v>
      </c>
      <c r="G300" s="46">
        <v>12</v>
      </c>
      <c r="H300" s="46" t="s">
        <v>26</v>
      </c>
      <c r="I300" s="46"/>
      <c r="J300" s="46">
        <v>1</v>
      </c>
      <c r="Q300" s="46"/>
    </row>
    <row r="301" spans="2:17" thickBot="1" x14ac:dyDescent="0.3">
      <c r="B301" s="179">
        <v>301</v>
      </c>
      <c r="C301" s="181" t="s">
        <v>600</v>
      </c>
      <c r="D301" s="45" t="s">
        <v>6</v>
      </c>
      <c r="E301" s="46">
        <v>53</v>
      </c>
      <c r="F301" s="46">
        <v>56</v>
      </c>
      <c r="G301" s="46">
        <v>12</v>
      </c>
      <c r="H301" s="46" t="s">
        <v>26</v>
      </c>
      <c r="I301" s="46"/>
      <c r="J301" s="46">
        <v>1</v>
      </c>
      <c r="Q301" s="46"/>
    </row>
    <row r="302" spans="2:17" thickBot="1" x14ac:dyDescent="0.3">
      <c r="B302" s="179">
        <v>302</v>
      </c>
      <c r="C302" s="181" t="s">
        <v>600</v>
      </c>
      <c r="D302" s="45" t="s">
        <v>6</v>
      </c>
      <c r="E302" s="46">
        <v>53</v>
      </c>
      <c r="F302" s="46">
        <v>58</v>
      </c>
      <c r="G302" s="46">
        <v>12</v>
      </c>
      <c r="H302" s="46" t="s">
        <v>26</v>
      </c>
      <c r="I302" s="46"/>
      <c r="J302" s="46">
        <v>1</v>
      </c>
      <c r="Q302" s="46"/>
    </row>
    <row r="303" spans="2:17" thickBot="1" x14ac:dyDescent="0.3">
      <c r="B303" s="179">
        <v>303</v>
      </c>
      <c r="C303" s="181" t="s">
        <v>2987</v>
      </c>
      <c r="D303" s="45" t="s">
        <v>2165</v>
      </c>
      <c r="E303" s="46">
        <v>53</v>
      </c>
      <c r="F303" s="46">
        <v>59</v>
      </c>
      <c r="G303" s="46">
        <v>13</v>
      </c>
      <c r="H303" s="46" t="s">
        <v>26</v>
      </c>
      <c r="I303" s="46"/>
      <c r="J303" s="46">
        <v>1</v>
      </c>
      <c r="Q303" s="46"/>
    </row>
    <row r="304" spans="2:17" thickBot="1" x14ac:dyDescent="0.3">
      <c r="B304" s="179">
        <v>304</v>
      </c>
      <c r="C304" s="181" t="s">
        <v>1244</v>
      </c>
      <c r="D304" s="45" t="s">
        <v>2164</v>
      </c>
      <c r="E304" s="46">
        <v>53</v>
      </c>
      <c r="F304" s="46">
        <v>52</v>
      </c>
      <c r="G304" s="46">
        <v>13</v>
      </c>
      <c r="H304" s="46" t="s">
        <v>26</v>
      </c>
      <c r="I304" s="46"/>
      <c r="J304" s="46">
        <v>1</v>
      </c>
      <c r="Q304" s="46"/>
    </row>
    <row r="305" spans="2:17" thickBot="1" x14ac:dyDescent="0.3">
      <c r="B305" s="179">
        <v>305</v>
      </c>
      <c r="C305" s="181" t="s">
        <v>128</v>
      </c>
      <c r="D305" s="185" t="s">
        <v>1409</v>
      </c>
      <c r="E305" s="46">
        <v>53</v>
      </c>
      <c r="F305" s="46">
        <v>49</v>
      </c>
      <c r="G305" s="46">
        <v>14</v>
      </c>
      <c r="H305" s="46" t="s">
        <v>26</v>
      </c>
      <c r="I305" s="46"/>
      <c r="J305" s="46">
        <v>1</v>
      </c>
      <c r="Q305" s="46"/>
    </row>
    <row r="306" spans="2:17" thickBot="1" x14ac:dyDescent="0.3">
      <c r="B306" s="179">
        <v>306</v>
      </c>
      <c r="C306" s="181" t="s">
        <v>2163</v>
      </c>
      <c r="D306" s="45" t="s">
        <v>2162</v>
      </c>
      <c r="E306" s="46">
        <v>53</v>
      </c>
      <c r="F306" s="46">
        <v>51</v>
      </c>
      <c r="G306" s="46">
        <v>14</v>
      </c>
      <c r="H306" s="46" t="s">
        <v>26</v>
      </c>
      <c r="I306" s="46"/>
      <c r="J306" s="46">
        <v>1</v>
      </c>
      <c r="Q306" s="46"/>
    </row>
    <row r="307" spans="2:17" thickBot="1" x14ac:dyDescent="0.3">
      <c r="B307" s="179">
        <v>307</v>
      </c>
      <c r="C307" s="181" t="s">
        <v>311</v>
      </c>
      <c r="D307" s="45" t="s">
        <v>2161</v>
      </c>
      <c r="E307" s="46">
        <v>53</v>
      </c>
      <c r="F307" s="46">
        <v>33</v>
      </c>
      <c r="G307" s="46">
        <v>16</v>
      </c>
      <c r="H307" s="46" t="s">
        <v>27</v>
      </c>
      <c r="I307" s="44">
        <v>1</v>
      </c>
      <c r="J307" s="46">
        <v>0</v>
      </c>
      <c r="P307" s="41">
        <v>1</v>
      </c>
      <c r="Q307" s="46"/>
    </row>
    <row r="308" spans="2:17" thickBot="1" x14ac:dyDescent="0.3">
      <c r="B308" s="179">
        <v>308</v>
      </c>
      <c r="C308" s="181" t="s">
        <v>296</v>
      </c>
      <c r="D308" s="45" t="s">
        <v>2160</v>
      </c>
      <c r="E308" s="46">
        <v>53</v>
      </c>
      <c r="F308" s="48">
        <v>33</v>
      </c>
      <c r="G308" s="48">
        <v>16</v>
      </c>
      <c r="H308" s="46" t="s">
        <v>26</v>
      </c>
      <c r="I308" s="46">
        <v>0</v>
      </c>
      <c r="J308" s="46">
        <v>1</v>
      </c>
      <c r="K308" s="40">
        <v>0</v>
      </c>
      <c r="L308" s="40">
        <v>0</v>
      </c>
      <c r="M308" s="40">
        <v>0</v>
      </c>
      <c r="N308" s="41">
        <v>0</v>
      </c>
      <c r="O308" s="41">
        <v>0</v>
      </c>
      <c r="P308" s="41">
        <v>0</v>
      </c>
      <c r="Q308" s="46"/>
    </row>
    <row r="309" spans="2:17" thickBot="1" x14ac:dyDescent="0.3">
      <c r="B309" s="179">
        <v>309</v>
      </c>
      <c r="C309" s="181" t="s">
        <v>253</v>
      </c>
      <c r="D309" s="45" t="s">
        <v>2159</v>
      </c>
      <c r="E309" s="46">
        <v>53</v>
      </c>
      <c r="F309" s="46">
        <v>39</v>
      </c>
      <c r="G309" s="46">
        <v>16</v>
      </c>
      <c r="H309" s="46" t="s">
        <v>26</v>
      </c>
      <c r="I309" s="46"/>
      <c r="J309" s="46">
        <v>1</v>
      </c>
      <c r="Q309" s="46"/>
    </row>
    <row r="310" spans="2:17" thickBot="1" x14ac:dyDescent="0.3">
      <c r="B310" s="179">
        <v>310</v>
      </c>
      <c r="C310" s="181" t="s">
        <v>1286</v>
      </c>
      <c r="D310" s="45" t="s">
        <v>1773</v>
      </c>
      <c r="E310" s="46">
        <v>53</v>
      </c>
      <c r="F310" s="46">
        <v>40</v>
      </c>
      <c r="G310" s="46">
        <v>16</v>
      </c>
      <c r="H310" s="46" t="s">
        <v>26</v>
      </c>
      <c r="I310" s="46"/>
      <c r="J310" s="46">
        <v>1</v>
      </c>
      <c r="Q310" s="46"/>
    </row>
    <row r="311" spans="2:17" thickBot="1" x14ac:dyDescent="0.3">
      <c r="B311" s="179">
        <v>311</v>
      </c>
      <c r="C311" s="181" t="s">
        <v>138</v>
      </c>
      <c r="D311" s="45" t="s">
        <v>2158</v>
      </c>
      <c r="E311" s="46">
        <v>53</v>
      </c>
      <c r="F311" s="46">
        <v>58</v>
      </c>
      <c r="G311" s="46">
        <v>16</v>
      </c>
      <c r="H311" s="46" t="s">
        <v>26</v>
      </c>
      <c r="I311" s="46"/>
      <c r="J311" s="46">
        <v>1</v>
      </c>
      <c r="Q311" s="46"/>
    </row>
    <row r="312" spans="2:17" ht="18" customHeight="1" thickBot="1" x14ac:dyDescent="0.3">
      <c r="B312" s="179">
        <v>312</v>
      </c>
      <c r="C312" s="181" t="s">
        <v>1354</v>
      </c>
      <c r="D312" s="45" t="s">
        <v>2157</v>
      </c>
      <c r="E312" s="46">
        <v>53</v>
      </c>
      <c r="F312" s="46">
        <v>56</v>
      </c>
      <c r="G312" s="46">
        <v>17</v>
      </c>
      <c r="H312" s="46" t="s">
        <v>26</v>
      </c>
      <c r="I312" s="44">
        <v>0</v>
      </c>
      <c r="J312" s="46">
        <v>1</v>
      </c>
      <c r="P312" s="41">
        <v>1</v>
      </c>
      <c r="Q312" s="46" t="s">
        <v>429</v>
      </c>
    </row>
    <row r="313" spans="2:17" thickBot="1" x14ac:dyDescent="0.3">
      <c r="B313" s="179">
        <v>313</v>
      </c>
      <c r="C313" s="181" t="s">
        <v>712</v>
      </c>
      <c r="D313" s="45" t="s">
        <v>2156</v>
      </c>
      <c r="E313" s="46">
        <v>53</v>
      </c>
      <c r="F313" s="46">
        <v>33</v>
      </c>
      <c r="G313" s="46">
        <v>17</v>
      </c>
      <c r="H313" s="46" t="s">
        <v>26</v>
      </c>
      <c r="I313" s="46"/>
      <c r="J313" s="46">
        <v>1</v>
      </c>
      <c r="Q313" s="46"/>
    </row>
    <row r="314" spans="2:17" thickBot="1" x14ac:dyDescent="0.3">
      <c r="B314" s="179">
        <v>314</v>
      </c>
      <c r="C314" s="181" t="s">
        <v>1100</v>
      </c>
      <c r="D314" s="45" t="s">
        <v>2155</v>
      </c>
      <c r="E314" s="46">
        <v>53</v>
      </c>
      <c r="F314" s="46">
        <v>33</v>
      </c>
      <c r="G314" s="46">
        <v>18</v>
      </c>
      <c r="H314" s="46" t="s">
        <v>26</v>
      </c>
      <c r="I314" s="46"/>
      <c r="J314" s="46">
        <v>1</v>
      </c>
      <c r="Q314" s="46"/>
    </row>
    <row r="315" spans="2:17" thickBot="1" x14ac:dyDescent="0.3">
      <c r="B315" s="179">
        <v>315</v>
      </c>
      <c r="C315" s="181" t="s">
        <v>1362</v>
      </c>
      <c r="D315" s="45" t="s">
        <v>1312</v>
      </c>
      <c r="E315" s="46">
        <v>53</v>
      </c>
      <c r="F315" s="46">
        <v>53</v>
      </c>
      <c r="G315" s="46">
        <v>18</v>
      </c>
      <c r="H315" s="46" t="s">
        <v>26</v>
      </c>
      <c r="I315" s="46"/>
      <c r="J315" s="46">
        <v>1</v>
      </c>
      <c r="Q315" s="46"/>
    </row>
    <row r="316" spans="2:17" thickBot="1" x14ac:dyDescent="0.3">
      <c r="B316" s="179">
        <v>316</v>
      </c>
      <c r="C316" s="181" t="s">
        <v>2154</v>
      </c>
      <c r="D316" s="45" t="s">
        <v>2153</v>
      </c>
      <c r="E316" s="46">
        <v>53</v>
      </c>
      <c r="F316" s="46">
        <v>58</v>
      </c>
      <c r="G316" s="46">
        <v>18</v>
      </c>
      <c r="H316" s="46" t="s">
        <v>26</v>
      </c>
      <c r="I316" s="46"/>
      <c r="J316" s="46">
        <v>1</v>
      </c>
      <c r="Q316" s="46"/>
    </row>
    <row r="317" spans="2:17" thickBot="1" x14ac:dyDescent="0.3">
      <c r="B317" s="179">
        <v>317</v>
      </c>
      <c r="C317" s="181" t="s">
        <v>682</v>
      </c>
      <c r="D317" s="49" t="s">
        <v>2152</v>
      </c>
      <c r="E317" s="50">
        <v>53</v>
      </c>
      <c r="F317" s="50">
        <v>12</v>
      </c>
      <c r="G317" s="50">
        <v>17</v>
      </c>
      <c r="H317" s="50" t="s">
        <v>27</v>
      </c>
      <c r="I317" s="44">
        <v>1</v>
      </c>
      <c r="J317" s="50"/>
      <c r="P317" s="41">
        <v>1</v>
      </c>
      <c r="Q317" s="50" t="s">
        <v>36</v>
      </c>
    </row>
    <row r="318" spans="2:17" thickBot="1" x14ac:dyDescent="0.3">
      <c r="B318" s="179">
        <v>318</v>
      </c>
      <c r="C318" s="181" t="s">
        <v>224</v>
      </c>
      <c r="D318" s="49" t="s">
        <v>2151</v>
      </c>
      <c r="E318" s="50">
        <v>53</v>
      </c>
      <c r="F318" s="50">
        <v>33</v>
      </c>
      <c r="G318" s="50">
        <v>8</v>
      </c>
      <c r="H318" s="50" t="s">
        <v>27</v>
      </c>
      <c r="I318" s="44">
        <v>1</v>
      </c>
      <c r="J318" s="50"/>
      <c r="P318" s="41">
        <v>1</v>
      </c>
      <c r="Q318" s="50" t="s">
        <v>36</v>
      </c>
    </row>
    <row r="319" spans="2:17" thickBot="1" x14ac:dyDescent="0.3">
      <c r="B319" s="179">
        <v>319</v>
      </c>
      <c r="C319" s="181" t="s">
        <v>224</v>
      </c>
      <c r="D319" s="49" t="s">
        <v>2150</v>
      </c>
      <c r="E319" s="50">
        <v>53</v>
      </c>
      <c r="F319" s="50">
        <v>20</v>
      </c>
      <c r="G319" s="50">
        <v>12</v>
      </c>
      <c r="H319" s="50" t="s">
        <v>27</v>
      </c>
      <c r="I319" s="44">
        <v>1</v>
      </c>
      <c r="J319" s="50"/>
      <c r="P319" s="41">
        <v>1</v>
      </c>
      <c r="Q319" s="50" t="s">
        <v>36</v>
      </c>
    </row>
    <row r="320" spans="2:17" thickBot="1" x14ac:dyDescent="0.3">
      <c r="B320" s="179">
        <v>320</v>
      </c>
      <c r="C320" s="181" t="s">
        <v>799</v>
      </c>
      <c r="D320" s="49" t="s">
        <v>542</v>
      </c>
      <c r="E320" s="50">
        <v>53</v>
      </c>
      <c r="F320" s="50">
        <v>54</v>
      </c>
      <c r="G320" s="50">
        <v>16</v>
      </c>
      <c r="H320" s="50" t="s">
        <v>27</v>
      </c>
      <c r="I320" s="44">
        <v>1</v>
      </c>
      <c r="J320" s="50"/>
      <c r="P320" s="41">
        <v>1</v>
      </c>
      <c r="Q320" s="50" t="s">
        <v>36</v>
      </c>
    </row>
    <row r="321" spans="2:17" thickBot="1" x14ac:dyDescent="0.3">
      <c r="B321" s="179">
        <v>321</v>
      </c>
      <c r="C321" s="181" t="s">
        <v>136</v>
      </c>
      <c r="D321" s="49" t="s">
        <v>692</v>
      </c>
      <c r="E321" s="50">
        <v>53</v>
      </c>
      <c r="F321" s="50">
        <v>66</v>
      </c>
      <c r="G321" s="50">
        <v>2</v>
      </c>
      <c r="H321" s="50" t="s">
        <v>27</v>
      </c>
      <c r="I321" s="44">
        <v>1</v>
      </c>
      <c r="J321" s="50"/>
      <c r="P321" s="41">
        <v>1</v>
      </c>
      <c r="Q321" s="50" t="s">
        <v>36</v>
      </c>
    </row>
    <row r="322" spans="2:17" thickBot="1" x14ac:dyDescent="0.3">
      <c r="B322" s="179">
        <v>322</v>
      </c>
      <c r="C322" s="181" t="s">
        <v>462</v>
      </c>
      <c r="D322" s="49" t="s">
        <v>312</v>
      </c>
      <c r="E322" s="50">
        <v>53</v>
      </c>
      <c r="F322" s="50">
        <v>25</v>
      </c>
      <c r="G322" s="50">
        <v>1</v>
      </c>
      <c r="H322" s="50" t="s">
        <v>27</v>
      </c>
      <c r="I322" s="44">
        <v>1</v>
      </c>
      <c r="J322" s="50"/>
      <c r="P322" s="41">
        <v>1</v>
      </c>
      <c r="Q322" s="50" t="s">
        <v>36</v>
      </c>
    </row>
    <row r="323" spans="2:17" thickBot="1" x14ac:dyDescent="0.3">
      <c r="B323" s="179">
        <v>323</v>
      </c>
      <c r="C323" s="181" t="s">
        <v>136</v>
      </c>
      <c r="D323" s="49" t="s">
        <v>2147</v>
      </c>
      <c r="E323" s="50">
        <v>53</v>
      </c>
      <c r="F323" s="50">
        <v>47</v>
      </c>
      <c r="G323" s="50">
        <v>14</v>
      </c>
      <c r="H323" s="50" t="s">
        <v>27</v>
      </c>
      <c r="I323" s="44">
        <v>1</v>
      </c>
      <c r="J323" s="50"/>
      <c r="P323" s="41">
        <v>1</v>
      </c>
      <c r="Q323" s="50" t="s">
        <v>36</v>
      </c>
    </row>
    <row r="324" spans="2:17" thickBot="1" x14ac:dyDescent="0.3">
      <c r="B324" s="179">
        <v>324</v>
      </c>
      <c r="C324" s="181" t="s">
        <v>136</v>
      </c>
      <c r="D324" s="49" t="s">
        <v>2148</v>
      </c>
      <c r="E324" s="50">
        <v>53</v>
      </c>
      <c r="F324" s="50">
        <v>28</v>
      </c>
      <c r="G324" s="50">
        <v>1</v>
      </c>
      <c r="H324" s="50" t="s">
        <v>27</v>
      </c>
      <c r="I324" s="44">
        <v>1</v>
      </c>
      <c r="J324" s="50"/>
      <c r="P324" s="41">
        <v>1</v>
      </c>
      <c r="Q324" s="50" t="s">
        <v>36</v>
      </c>
    </row>
    <row r="325" spans="2:17" thickBot="1" x14ac:dyDescent="0.3">
      <c r="B325" s="179">
        <v>325</v>
      </c>
      <c r="C325" s="181" t="s">
        <v>136</v>
      </c>
      <c r="D325" s="49" t="s">
        <v>2149</v>
      </c>
      <c r="E325" s="50">
        <v>53</v>
      </c>
      <c r="F325" s="50">
        <v>29</v>
      </c>
      <c r="G325" s="50">
        <v>14</v>
      </c>
      <c r="H325" s="50" t="s">
        <v>27</v>
      </c>
      <c r="I325" s="44">
        <v>1</v>
      </c>
      <c r="J325" s="50"/>
      <c r="P325" s="41">
        <v>1</v>
      </c>
      <c r="Q325" s="50" t="s">
        <v>36</v>
      </c>
    </row>
    <row r="326" spans="2:17" thickBot="1" x14ac:dyDescent="0.3">
      <c r="B326" s="179">
        <v>327</v>
      </c>
      <c r="C326" s="181" t="s">
        <v>799</v>
      </c>
      <c r="D326" s="49" t="s">
        <v>2206</v>
      </c>
      <c r="E326" s="50">
        <v>53</v>
      </c>
      <c r="F326" s="50">
        <v>68</v>
      </c>
      <c r="G326" s="50">
        <v>4</v>
      </c>
      <c r="H326" s="50" t="s">
        <v>27</v>
      </c>
      <c r="I326" s="44">
        <v>1</v>
      </c>
      <c r="J326" s="50"/>
      <c r="P326" s="41">
        <v>1</v>
      </c>
      <c r="Q326" s="50" t="s">
        <v>36</v>
      </c>
    </row>
    <row r="327" spans="2:17" thickBot="1" x14ac:dyDescent="0.3">
      <c r="B327" s="179">
        <v>328</v>
      </c>
      <c r="C327" s="181" t="s">
        <v>136</v>
      </c>
      <c r="D327" s="49" t="s">
        <v>2206</v>
      </c>
      <c r="E327" s="50">
        <v>53</v>
      </c>
      <c r="F327" s="50">
        <v>69</v>
      </c>
      <c r="G327" s="50">
        <v>4</v>
      </c>
      <c r="H327" s="50" t="s">
        <v>27</v>
      </c>
      <c r="I327" s="44">
        <v>1</v>
      </c>
      <c r="J327" s="50"/>
      <c r="P327" s="41">
        <v>1</v>
      </c>
      <c r="Q327" s="50" t="s">
        <v>36</v>
      </c>
    </row>
    <row r="328" spans="2:17" thickBot="1" x14ac:dyDescent="0.3">
      <c r="B328" s="179">
        <v>329</v>
      </c>
      <c r="C328" s="181" t="s">
        <v>136</v>
      </c>
      <c r="D328" s="49" t="s">
        <v>2205</v>
      </c>
      <c r="E328" s="50">
        <v>53</v>
      </c>
      <c r="F328" s="50">
        <v>106</v>
      </c>
      <c r="G328" s="50">
        <v>14</v>
      </c>
      <c r="H328" s="50" t="s">
        <v>27</v>
      </c>
      <c r="I328" s="44">
        <v>1</v>
      </c>
      <c r="J328" s="50"/>
      <c r="P328" s="41">
        <v>1</v>
      </c>
      <c r="Q328" s="50" t="s">
        <v>36</v>
      </c>
    </row>
    <row r="329" spans="2:17" thickBot="1" x14ac:dyDescent="0.3">
      <c r="B329" s="179">
        <v>330</v>
      </c>
      <c r="C329" s="181" t="s">
        <v>253</v>
      </c>
      <c r="D329" s="49" t="s">
        <v>1382</v>
      </c>
      <c r="E329" s="50">
        <v>53</v>
      </c>
      <c r="F329" s="50">
        <v>165</v>
      </c>
      <c r="G329" s="50">
        <v>12</v>
      </c>
      <c r="H329" s="50" t="s">
        <v>27</v>
      </c>
      <c r="I329" s="44">
        <v>1</v>
      </c>
      <c r="J329" s="50"/>
      <c r="P329" s="41">
        <v>1</v>
      </c>
      <c r="Q329" s="50" t="s">
        <v>36</v>
      </c>
    </row>
    <row r="330" spans="2:17" thickBot="1" x14ac:dyDescent="0.3">
      <c r="B330" s="179">
        <v>331</v>
      </c>
      <c r="C330" s="181" t="s">
        <v>483</v>
      </c>
      <c r="D330" s="49" t="s">
        <v>2204</v>
      </c>
      <c r="E330" s="50">
        <v>53</v>
      </c>
      <c r="F330" s="50">
        <v>174</v>
      </c>
      <c r="G330" s="50">
        <v>12</v>
      </c>
      <c r="H330" s="50" t="s">
        <v>27</v>
      </c>
      <c r="I330" s="44">
        <v>1</v>
      </c>
      <c r="J330" s="50"/>
      <c r="P330" s="41">
        <v>1</v>
      </c>
      <c r="Q330" s="50" t="s">
        <v>36</v>
      </c>
    </row>
    <row r="331" spans="2:17" ht="24.75" customHeight="1" thickBot="1" x14ac:dyDescent="0.3">
      <c r="B331" s="179">
        <v>332</v>
      </c>
      <c r="C331" s="181" t="s">
        <v>123</v>
      </c>
      <c r="D331" s="49" t="s">
        <v>3027</v>
      </c>
      <c r="E331" s="50">
        <v>53</v>
      </c>
      <c r="F331" s="50">
        <v>120</v>
      </c>
      <c r="G331" s="50">
        <v>3</v>
      </c>
      <c r="H331" s="50" t="s">
        <v>27</v>
      </c>
      <c r="I331" s="44">
        <v>1</v>
      </c>
      <c r="J331" s="50"/>
      <c r="P331" s="41">
        <v>1</v>
      </c>
      <c r="Q331" s="50" t="s">
        <v>36</v>
      </c>
    </row>
    <row r="332" spans="2:17" thickBot="1" x14ac:dyDescent="0.3">
      <c r="B332" s="179">
        <v>333</v>
      </c>
      <c r="C332" s="181" t="s">
        <v>958</v>
      </c>
      <c r="D332" s="49" t="s">
        <v>2967</v>
      </c>
      <c r="E332" s="50">
        <v>53</v>
      </c>
      <c r="F332" s="50">
        <v>22</v>
      </c>
      <c r="G332" s="50">
        <v>13</v>
      </c>
      <c r="H332" s="50" t="s">
        <v>27</v>
      </c>
      <c r="I332" s="44">
        <v>1</v>
      </c>
      <c r="J332" s="50"/>
      <c r="P332" s="41">
        <v>1</v>
      </c>
      <c r="Q332" s="50" t="s">
        <v>36</v>
      </c>
    </row>
    <row r="333" spans="2:17" thickBot="1" x14ac:dyDescent="0.3">
      <c r="B333" s="179">
        <v>334</v>
      </c>
      <c r="C333" s="181" t="s">
        <v>958</v>
      </c>
      <c r="D333" s="49" t="s">
        <v>2200</v>
      </c>
      <c r="E333" s="50">
        <v>53</v>
      </c>
      <c r="F333" s="50">
        <v>19</v>
      </c>
      <c r="G333" s="50">
        <v>14</v>
      </c>
      <c r="H333" s="50" t="s">
        <v>27</v>
      </c>
      <c r="I333" s="44">
        <v>1</v>
      </c>
      <c r="J333" s="50"/>
      <c r="P333" s="41">
        <v>1</v>
      </c>
      <c r="Q333" s="50" t="s">
        <v>36</v>
      </c>
    </row>
    <row r="334" spans="2:17" thickBot="1" x14ac:dyDescent="0.3">
      <c r="B334" s="179">
        <v>335</v>
      </c>
      <c r="C334" s="181" t="s">
        <v>958</v>
      </c>
      <c r="D334" s="49" t="s">
        <v>2201</v>
      </c>
      <c r="E334" s="50">
        <v>53</v>
      </c>
      <c r="F334" s="50">
        <v>32</v>
      </c>
      <c r="G334" s="50">
        <v>1</v>
      </c>
      <c r="H334" s="50" t="s">
        <v>27</v>
      </c>
      <c r="I334" s="44">
        <v>1</v>
      </c>
      <c r="J334" s="50"/>
      <c r="P334" s="41">
        <v>1</v>
      </c>
      <c r="Q334" s="50" t="s">
        <v>36</v>
      </c>
    </row>
    <row r="335" spans="2:17" thickBot="1" x14ac:dyDescent="0.3">
      <c r="B335" s="179">
        <v>336</v>
      </c>
      <c r="C335" s="181" t="s">
        <v>958</v>
      </c>
      <c r="D335" s="49" t="s">
        <v>2202</v>
      </c>
      <c r="E335" s="50">
        <v>53</v>
      </c>
      <c r="F335" s="50">
        <v>121</v>
      </c>
      <c r="G335" s="50">
        <v>95</v>
      </c>
      <c r="H335" s="50" t="s">
        <v>27</v>
      </c>
      <c r="I335" s="44">
        <v>1</v>
      </c>
      <c r="J335" s="50"/>
      <c r="P335" s="41">
        <v>1</v>
      </c>
      <c r="Q335" s="50" t="s">
        <v>36</v>
      </c>
    </row>
    <row r="336" spans="2:17" thickBot="1" x14ac:dyDescent="0.3">
      <c r="B336" s="179">
        <v>337</v>
      </c>
      <c r="C336" s="181" t="s">
        <v>815</v>
      </c>
      <c r="D336" s="49" t="s">
        <v>1837</v>
      </c>
      <c r="E336" s="50">
        <v>53</v>
      </c>
      <c r="F336" s="50">
        <v>7</v>
      </c>
      <c r="G336" s="50">
        <v>15</v>
      </c>
      <c r="H336" s="50" t="s">
        <v>27</v>
      </c>
      <c r="I336" s="44">
        <v>1</v>
      </c>
      <c r="J336" s="50"/>
      <c r="P336" s="41">
        <v>1</v>
      </c>
      <c r="Q336" s="50" t="s">
        <v>36</v>
      </c>
    </row>
    <row r="337" spans="2:17" thickBot="1" x14ac:dyDescent="0.3">
      <c r="B337" s="179">
        <v>338</v>
      </c>
      <c r="C337" s="181" t="s">
        <v>815</v>
      </c>
      <c r="D337" s="49" t="s">
        <v>2990</v>
      </c>
      <c r="E337" s="50">
        <v>53</v>
      </c>
      <c r="F337" s="50">
        <v>40</v>
      </c>
      <c r="G337" s="50">
        <v>13</v>
      </c>
      <c r="H337" s="50" t="s">
        <v>27</v>
      </c>
      <c r="I337" s="44">
        <v>1</v>
      </c>
      <c r="J337" s="50"/>
      <c r="P337" s="41">
        <v>1</v>
      </c>
      <c r="Q337" s="50" t="s">
        <v>36</v>
      </c>
    </row>
    <row r="338" spans="2:17" thickBot="1" x14ac:dyDescent="0.3">
      <c r="B338" s="179">
        <v>339</v>
      </c>
      <c r="C338" s="181" t="s">
        <v>815</v>
      </c>
      <c r="D338" s="49" t="s">
        <v>2203</v>
      </c>
      <c r="E338" s="50">
        <v>53</v>
      </c>
      <c r="F338" s="50">
        <v>124</v>
      </c>
      <c r="G338" s="50">
        <v>3</v>
      </c>
      <c r="H338" s="50" t="s">
        <v>27</v>
      </c>
      <c r="I338" s="44">
        <v>1</v>
      </c>
      <c r="J338" s="50"/>
      <c r="P338" s="41">
        <v>1</v>
      </c>
      <c r="Q338" s="50" t="s">
        <v>36</v>
      </c>
    </row>
    <row r="339" spans="2:17" thickBot="1" x14ac:dyDescent="0.3">
      <c r="B339" s="179">
        <v>340</v>
      </c>
      <c r="C339" s="181" t="s">
        <v>1389</v>
      </c>
      <c r="D339" s="49" t="s">
        <v>312</v>
      </c>
      <c r="E339" s="50">
        <v>53</v>
      </c>
      <c r="F339" s="50">
        <v>47</v>
      </c>
      <c r="G339" s="50">
        <v>1</v>
      </c>
      <c r="H339" s="50" t="s">
        <v>27</v>
      </c>
      <c r="I339" s="44">
        <v>1</v>
      </c>
      <c r="J339" s="50"/>
      <c r="P339" s="41">
        <v>1</v>
      </c>
      <c r="Q339" s="50" t="s">
        <v>81</v>
      </c>
    </row>
    <row r="340" spans="2:17" thickBot="1" x14ac:dyDescent="0.3">
      <c r="B340" s="179">
        <v>341</v>
      </c>
      <c r="C340" s="181" t="s">
        <v>2961</v>
      </c>
      <c r="D340" s="49" t="s">
        <v>2960</v>
      </c>
      <c r="E340" s="50">
        <v>53</v>
      </c>
      <c r="F340" s="50">
        <v>28</v>
      </c>
      <c r="G340" s="50">
        <v>18</v>
      </c>
      <c r="H340" s="50" t="s">
        <v>27</v>
      </c>
      <c r="I340" s="44">
        <v>1</v>
      </c>
      <c r="J340" s="50"/>
      <c r="P340" s="41">
        <v>1</v>
      </c>
      <c r="Q340" s="50" t="s">
        <v>81</v>
      </c>
    </row>
    <row r="341" spans="2:17" thickBot="1" x14ac:dyDescent="0.3">
      <c r="B341" s="179">
        <v>342</v>
      </c>
      <c r="C341" s="181" t="s">
        <v>2198</v>
      </c>
      <c r="D341" s="49" t="s">
        <v>2197</v>
      </c>
      <c r="E341" s="50">
        <v>53</v>
      </c>
      <c r="F341" s="50">
        <v>17</v>
      </c>
      <c r="G341" s="50">
        <v>10</v>
      </c>
      <c r="H341" s="50" t="s">
        <v>27</v>
      </c>
      <c r="I341" s="44">
        <v>1</v>
      </c>
      <c r="J341" s="50"/>
      <c r="P341" s="41">
        <v>1</v>
      </c>
      <c r="Q341" s="50" t="s">
        <v>81</v>
      </c>
    </row>
    <row r="342" spans="2:17" thickBot="1" x14ac:dyDescent="0.3">
      <c r="B342" s="179">
        <v>343</v>
      </c>
      <c r="C342" s="181" t="s">
        <v>296</v>
      </c>
      <c r="D342" s="49" t="s">
        <v>100</v>
      </c>
      <c r="E342" s="50">
        <v>53</v>
      </c>
      <c r="F342" s="50">
        <v>105</v>
      </c>
      <c r="G342" s="50">
        <v>2</v>
      </c>
      <c r="H342" s="50" t="s">
        <v>27</v>
      </c>
      <c r="I342" s="44">
        <v>1</v>
      </c>
      <c r="J342" s="50"/>
      <c r="P342" s="41">
        <v>1</v>
      </c>
      <c r="Q342" s="50" t="s">
        <v>48</v>
      </c>
    </row>
    <row r="343" spans="2:17" thickBot="1" x14ac:dyDescent="0.3">
      <c r="B343" s="179">
        <v>344</v>
      </c>
      <c r="C343" s="181" t="s">
        <v>2196</v>
      </c>
      <c r="D343" s="49" t="s">
        <v>2195</v>
      </c>
      <c r="E343" s="50">
        <v>53</v>
      </c>
      <c r="F343" s="50">
        <v>52</v>
      </c>
      <c r="G343" s="50">
        <v>19</v>
      </c>
      <c r="H343" s="50" t="s">
        <v>27</v>
      </c>
      <c r="I343" s="44">
        <v>1</v>
      </c>
      <c r="J343" s="50"/>
      <c r="P343" s="41">
        <v>1</v>
      </c>
      <c r="Q343" s="50" t="s">
        <v>48</v>
      </c>
    </row>
    <row r="344" spans="2:17" thickBot="1" x14ac:dyDescent="0.3">
      <c r="B344" s="179">
        <v>345</v>
      </c>
      <c r="C344" s="181" t="s">
        <v>139</v>
      </c>
      <c r="D344" s="49" t="s">
        <v>2194</v>
      </c>
      <c r="E344" s="50">
        <v>53</v>
      </c>
      <c r="F344" s="50">
        <v>13</v>
      </c>
      <c r="G344" s="50">
        <v>13</v>
      </c>
      <c r="H344" s="50" t="s">
        <v>27</v>
      </c>
      <c r="I344" s="44">
        <v>1</v>
      </c>
      <c r="J344" s="50"/>
      <c r="P344" s="41">
        <v>1</v>
      </c>
      <c r="Q344" s="50" t="s">
        <v>48</v>
      </c>
    </row>
    <row r="345" spans="2:17" thickBot="1" x14ac:dyDescent="0.3">
      <c r="B345" s="179">
        <v>346</v>
      </c>
      <c r="C345" s="181" t="s">
        <v>123</v>
      </c>
      <c r="D345" s="49" t="s">
        <v>101</v>
      </c>
      <c r="E345" s="50">
        <v>53</v>
      </c>
      <c r="F345" s="50">
        <v>115</v>
      </c>
      <c r="G345" s="50">
        <v>2</v>
      </c>
      <c r="H345" s="50" t="s">
        <v>27</v>
      </c>
      <c r="I345" s="44">
        <v>1</v>
      </c>
      <c r="J345" s="50"/>
      <c r="P345" s="41">
        <v>1</v>
      </c>
      <c r="Q345" s="50" t="s">
        <v>49</v>
      </c>
    </row>
    <row r="346" spans="2:17" thickBot="1" x14ac:dyDescent="0.3">
      <c r="B346" s="179">
        <v>347</v>
      </c>
      <c r="C346" s="181" t="s">
        <v>1369</v>
      </c>
      <c r="D346" s="49" t="s">
        <v>3018</v>
      </c>
      <c r="E346" s="50">
        <v>53</v>
      </c>
      <c r="F346" s="50">
        <v>90</v>
      </c>
      <c r="G346" s="50">
        <v>4</v>
      </c>
      <c r="H346" s="50" t="s">
        <v>27</v>
      </c>
      <c r="I346" s="44">
        <v>1</v>
      </c>
      <c r="J346" s="50"/>
      <c r="P346" s="41">
        <v>1</v>
      </c>
      <c r="Q346" s="50" t="s">
        <v>49</v>
      </c>
    </row>
    <row r="347" spans="2:17" thickBot="1" x14ac:dyDescent="0.3">
      <c r="B347" s="179">
        <v>348</v>
      </c>
      <c r="C347" s="181" t="s">
        <v>1369</v>
      </c>
      <c r="D347" s="49" t="s">
        <v>2193</v>
      </c>
      <c r="E347" s="50">
        <v>53</v>
      </c>
      <c r="F347" s="50">
        <v>44</v>
      </c>
      <c r="G347" s="50">
        <v>4</v>
      </c>
      <c r="H347" s="50" t="s">
        <v>27</v>
      </c>
      <c r="I347" s="44">
        <v>1</v>
      </c>
      <c r="J347" s="50"/>
      <c r="P347" s="41">
        <v>1</v>
      </c>
      <c r="Q347" s="50" t="s">
        <v>49</v>
      </c>
    </row>
    <row r="348" spans="2:17" thickBot="1" x14ac:dyDescent="0.3">
      <c r="B348" s="179">
        <v>349</v>
      </c>
      <c r="C348" s="181" t="s">
        <v>617</v>
      </c>
      <c r="D348" s="49" t="s">
        <v>2192</v>
      </c>
      <c r="E348" s="50">
        <v>53</v>
      </c>
      <c r="F348" s="50">
        <v>81</v>
      </c>
      <c r="G348" s="50">
        <v>11</v>
      </c>
      <c r="H348" s="50" t="s">
        <v>27</v>
      </c>
      <c r="I348" s="44">
        <v>1</v>
      </c>
      <c r="J348" s="50"/>
      <c r="P348" s="41">
        <v>1</v>
      </c>
      <c r="Q348" s="50" t="s">
        <v>49</v>
      </c>
    </row>
    <row r="349" spans="2:17" thickBot="1" x14ac:dyDescent="0.3">
      <c r="B349" s="179">
        <v>350</v>
      </c>
      <c r="C349" s="181" t="s">
        <v>617</v>
      </c>
      <c r="D349" s="49" t="s">
        <v>2191</v>
      </c>
      <c r="E349" s="50">
        <v>53</v>
      </c>
      <c r="F349" s="50">
        <v>77</v>
      </c>
      <c r="G349" s="50">
        <v>16</v>
      </c>
      <c r="H349" s="50" t="s">
        <v>27</v>
      </c>
      <c r="I349" s="44">
        <v>1</v>
      </c>
      <c r="J349" s="50"/>
      <c r="P349" s="41">
        <v>1</v>
      </c>
      <c r="Q349" s="50" t="s">
        <v>49</v>
      </c>
    </row>
    <row r="350" spans="2:17" thickBot="1" x14ac:dyDescent="0.3">
      <c r="B350" s="179">
        <v>351</v>
      </c>
      <c r="C350" s="181" t="s">
        <v>311</v>
      </c>
      <c r="D350" s="49" t="s">
        <v>1312</v>
      </c>
      <c r="E350" s="50">
        <v>53</v>
      </c>
      <c r="F350" s="50">
        <v>27</v>
      </c>
      <c r="G350" s="50">
        <v>13</v>
      </c>
      <c r="H350" s="50" t="s">
        <v>27</v>
      </c>
      <c r="I350" s="44">
        <v>1</v>
      </c>
      <c r="J350" s="50"/>
      <c r="P350" s="41">
        <v>1</v>
      </c>
      <c r="Q350" s="50" t="s">
        <v>49</v>
      </c>
    </row>
    <row r="351" spans="2:17" thickBot="1" x14ac:dyDescent="0.3">
      <c r="B351" s="179">
        <v>352</v>
      </c>
      <c r="C351" s="181" t="s">
        <v>311</v>
      </c>
      <c r="D351" s="49" t="s">
        <v>2190</v>
      </c>
      <c r="E351" s="50">
        <v>53</v>
      </c>
      <c r="F351" s="50">
        <v>32</v>
      </c>
      <c r="G351" s="50">
        <v>14</v>
      </c>
      <c r="H351" s="50" t="s">
        <v>27</v>
      </c>
      <c r="I351" s="44">
        <v>1</v>
      </c>
      <c r="J351" s="50"/>
      <c r="P351" s="41">
        <v>1</v>
      </c>
      <c r="Q351" s="50" t="s">
        <v>49</v>
      </c>
    </row>
    <row r="352" spans="2:17" thickBot="1" x14ac:dyDescent="0.3">
      <c r="B352" s="179">
        <v>353</v>
      </c>
      <c r="C352" s="181" t="s">
        <v>2189</v>
      </c>
      <c r="D352" s="49" t="s">
        <v>2188</v>
      </c>
      <c r="E352" s="50">
        <v>53</v>
      </c>
      <c r="F352" s="50">
        <v>106</v>
      </c>
      <c r="G352" s="50">
        <v>13</v>
      </c>
      <c r="H352" s="50" t="s">
        <v>27</v>
      </c>
      <c r="I352" s="44">
        <v>1</v>
      </c>
      <c r="J352" s="50"/>
      <c r="P352" s="41">
        <v>1</v>
      </c>
      <c r="Q352" s="50" t="s">
        <v>49</v>
      </c>
    </row>
    <row r="353" spans="2:17" thickBot="1" x14ac:dyDescent="0.3">
      <c r="B353" s="179">
        <v>354</v>
      </c>
      <c r="C353" s="181" t="s">
        <v>2187</v>
      </c>
      <c r="D353" s="49" t="s">
        <v>509</v>
      </c>
      <c r="E353" s="50">
        <v>53</v>
      </c>
      <c r="F353" s="50">
        <v>35</v>
      </c>
      <c r="G353" s="50">
        <v>4</v>
      </c>
      <c r="H353" s="50" t="s">
        <v>27</v>
      </c>
      <c r="I353" s="44">
        <v>1</v>
      </c>
      <c r="J353" s="50"/>
      <c r="P353" s="41">
        <v>1</v>
      </c>
      <c r="Q353" s="50" t="s">
        <v>49</v>
      </c>
    </row>
    <row r="354" spans="2:17" thickBot="1" x14ac:dyDescent="0.3">
      <c r="B354" s="179">
        <v>355</v>
      </c>
      <c r="C354" s="181" t="s">
        <v>3059</v>
      </c>
      <c r="D354" s="49" t="s">
        <v>2186</v>
      </c>
      <c r="E354" s="50">
        <v>53</v>
      </c>
      <c r="F354" s="50">
        <v>54</v>
      </c>
      <c r="G354" s="50">
        <v>13</v>
      </c>
      <c r="H354" s="50" t="s">
        <v>27</v>
      </c>
      <c r="I354" s="44">
        <v>1</v>
      </c>
      <c r="J354" s="50"/>
      <c r="P354" s="41">
        <v>1</v>
      </c>
      <c r="Q354" s="50" t="s">
        <v>49</v>
      </c>
    </row>
    <row r="355" spans="2:17" thickBot="1" x14ac:dyDescent="0.3">
      <c r="B355" s="179">
        <v>356</v>
      </c>
      <c r="C355" s="181" t="s">
        <v>2185</v>
      </c>
      <c r="D355" s="49" t="s">
        <v>3060</v>
      </c>
      <c r="E355" s="50">
        <v>53</v>
      </c>
      <c r="F355" s="50">
        <v>64</v>
      </c>
      <c r="G355" s="50">
        <v>14</v>
      </c>
      <c r="H355" s="50" t="s">
        <v>27</v>
      </c>
      <c r="I355" s="44">
        <v>1</v>
      </c>
      <c r="J355" s="50"/>
      <c r="P355" s="41">
        <v>1</v>
      </c>
      <c r="Q355" s="50" t="s">
        <v>49</v>
      </c>
    </row>
    <row r="356" spans="2:17" thickBot="1" x14ac:dyDescent="0.3">
      <c r="B356" s="179">
        <v>357</v>
      </c>
      <c r="C356" s="181" t="s">
        <v>2220</v>
      </c>
      <c r="D356" s="49" t="s">
        <v>2006</v>
      </c>
      <c r="E356" s="50">
        <v>53</v>
      </c>
      <c r="F356" s="50">
        <v>51</v>
      </c>
      <c r="G356" s="50">
        <v>18</v>
      </c>
      <c r="H356" s="50" t="s">
        <v>27</v>
      </c>
      <c r="I356" s="44">
        <v>1</v>
      </c>
      <c r="J356" s="50"/>
      <c r="P356" s="41">
        <v>1</v>
      </c>
      <c r="Q356" s="50" t="s">
        <v>102</v>
      </c>
    </row>
    <row r="357" spans="2:17" thickBot="1" x14ac:dyDescent="0.3">
      <c r="B357" s="179">
        <v>358</v>
      </c>
      <c r="C357" s="181" t="s">
        <v>123</v>
      </c>
      <c r="D357" s="49" t="s">
        <v>2219</v>
      </c>
      <c r="E357" s="50">
        <v>53</v>
      </c>
      <c r="F357" s="50">
        <v>79</v>
      </c>
      <c r="G357" s="50">
        <v>16</v>
      </c>
      <c r="H357" s="50" t="s">
        <v>27</v>
      </c>
      <c r="I357" s="44">
        <v>1</v>
      </c>
      <c r="J357" s="50"/>
      <c r="P357" s="41">
        <v>1</v>
      </c>
      <c r="Q357" s="50" t="s">
        <v>72</v>
      </c>
    </row>
    <row r="358" spans="2:17" thickBot="1" x14ac:dyDescent="0.3">
      <c r="B358" s="179">
        <v>359</v>
      </c>
      <c r="C358" s="181" t="s">
        <v>123</v>
      </c>
      <c r="D358" s="49" t="s">
        <v>1312</v>
      </c>
      <c r="E358" s="50">
        <v>53</v>
      </c>
      <c r="F358" s="50">
        <v>22</v>
      </c>
      <c r="G358" s="50">
        <v>18</v>
      </c>
      <c r="H358" s="50" t="s">
        <v>27</v>
      </c>
      <c r="I358" s="44">
        <v>1</v>
      </c>
      <c r="J358" s="50"/>
      <c r="P358" s="41">
        <v>1</v>
      </c>
      <c r="Q358" s="50" t="s">
        <v>36</v>
      </c>
    </row>
    <row r="359" spans="2:17" thickBot="1" x14ac:dyDescent="0.3">
      <c r="B359" s="179">
        <v>360</v>
      </c>
      <c r="C359" s="181" t="s">
        <v>135</v>
      </c>
      <c r="D359" s="49" t="s">
        <v>1269</v>
      </c>
      <c r="E359" s="50">
        <v>53</v>
      </c>
      <c r="F359" s="50">
        <v>92</v>
      </c>
      <c r="G359" s="50">
        <v>15</v>
      </c>
      <c r="H359" s="50" t="s">
        <v>27</v>
      </c>
      <c r="I359" s="44">
        <v>1</v>
      </c>
      <c r="J359" s="50"/>
      <c r="P359" s="41">
        <v>1</v>
      </c>
      <c r="Q359" s="50" t="s">
        <v>36</v>
      </c>
    </row>
    <row r="360" spans="2:17" thickBot="1" x14ac:dyDescent="0.3">
      <c r="B360" s="179">
        <v>361</v>
      </c>
      <c r="C360" s="181" t="s">
        <v>135</v>
      </c>
      <c r="D360" s="49" t="s">
        <v>1863</v>
      </c>
      <c r="E360" s="50">
        <v>53</v>
      </c>
      <c r="F360" s="50">
        <v>53</v>
      </c>
      <c r="G360" s="50">
        <v>16</v>
      </c>
      <c r="H360" s="50" t="s">
        <v>27</v>
      </c>
      <c r="I360" s="44">
        <v>1</v>
      </c>
      <c r="J360" s="50"/>
      <c r="P360" s="41">
        <v>1</v>
      </c>
      <c r="Q360" s="50" t="s">
        <v>36</v>
      </c>
    </row>
    <row r="361" spans="2:17" thickBot="1" x14ac:dyDescent="0.3">
      <c r="B361" s="179">
        <v>362</v>
      </c>
      <c r="C361" s="181" t="s">
        <v>135</v>
      </c>
      <c r="D361" s="49" t="s">
        <v>3061</v>
      </c>
      <c r="E361" s="50">
        <v>53</v>
      </c>
      <c r="F361" s="50">
        <v>129</v>
      </c>
      <c r="G361" s="50">
        <v>7</v>
      </c>
      <c r="H361" s="50" t="s">
        <v>27</v>
      </c>
      <c r="I361" s="44">
        <v>1</v>
      </c>
      <c r="J361" s="50"/>
      <c r="P361" s="41">
        <v>1</v>
      </c>
      <c r="Q361" s="50" t="s">
        <v>36</v>
      </c>
    </row>
    <row r="362" spans="2:17" thickBot="1" x14ac:dyDescent="0.3">
      <c r="B362" s="179">
        <v>363</v>
      </c>
      <c r="C362" s="181" t="s">
        <v>135</v>
      </c>
      <c r="D362" s="49" t="s">
        <v>3062</v>
      </c>
      <c r="E362" s="50">
        <v>53</v>
      </c>
      <c r="F362" s="50">
        <v>125</v>
      </c>
      <c r="G362" s="50">
        <v>7</v>
      </c>
      <c r="H362" s="50" t="s">
        <v>27</v>
      </c>
      <c r="I362" s="44">
        <v>1</v>
      </c>
      <c r="J362" s="50"/>
      <c r="P362" s="41">
        <v>1</v>
      </c>
      <c r="Q362" s="50" t="s">
        <v>36</v>
      </c>
    </row>
    <row r="363" spans="2:17" thickBot="1" x14ac:dyDescent="0.3">
      <c r="B363" s="179">
        <v>364</v>
      </c>
      <c r="C363" s="181" t="s">
        <v>135</v>
      </c>
      <c r="D363" s="49" t="s">
        <v>1837</v>
      </c>
      <c r="E363" s="50">
        <v>53</v>
      </c>
      <c r="F363" s="50">
        <v>171</v>
      </c>
      <c r="G363" s="50">
        <v>8</v>
      </c>
      <c r="H363" s="50" t="s">
        <v>27</v>
      </c>
      <c r="I363" s="44">
        <v>1</v>
      </c>
      <c r="J363" s="50"/>
      <c r="P363" s="41">
        <v>1</v>
      </c>
      <c r="Q363" s="50" t="s">
        <v>36</v>
      </c>
    </row>
    <row r="364" spans="2:17" thickBot="1" x14ac:dyDescent="0.3">
      <c r="B364" s="179">
        <v>365</v>
      </c>
      <c r="C364" s="181" t="s">
        <v>135</v>
      </c>
      <c r="D364" s="49" t="s">
        <v>1029</v>
      </c>
      <c r="E364" s="50">
        <v>53</v>
      </c>
      <c r="F364" s="50">
        <v>166</v>
      </c>
      <c r="G364" s="50">
        <v>3</v>
      </c>
      <c r="H364" s="50" t="s">
        <v>27</v>
      </c>
      <c r="I364" s="44">
        <v>1</v>
      </c>
      <c r="J364" s="50"/>
      <c r="P364" s="41">
        <v>1</v>
      </c>
      <c r="Q364" s="50" t="s">
        <v>36</v>
      </c>
    </row>
    <row r="365" spans="2:17" thickBot="1" x14ac:dyDescent="0.3">
      <c r="B365" s="179">
        <v>366</v>
      </c>
      <c r="C365" s="181" t="s">
        <v>3005</v>
      </c>
      <c r="D365" s="49" t="s">
        <v>2218</v>
      </c>
      <c r="E365" s="50">
        <v>53</v>
      </c>
      <c r="F365" s="50">
        <v>81</v>
      </c>
      <c r="G365" s="50">
        <v>16</v>
      </c>
      <c r="H365" s="50" t="s">
        <v>27</v>
      </c>
      <c r="I365" s="44">
        <v>1</v>
      </c>
      <c r="J365" s="50"/>
      <c r="P365" s="41">
        <v>1</v>
      </c>
      <c r="Q365" s="50" t="s">
        <v>36</v>
      </c>
    </row>
    <row r="366" spans="2:17" thickBot="1" x14ac:dyDescent="0.3">
      <c r="B366" s="179">
        <v>367</v>
      </c>
      <c r="C366" s="181" t="s">
        <v>135</v>
      </c>
      <c r="D366" s="49" t="s">
        <v>2217</v>
      </c>
      <c r="E366" s="50">
        <v>53</v>
      </c>
      <c r="F366" s="50">
        <v>26</v>
      </c>
      <c r="G366" s="50">
        <v>1</v>
      </c>
      <c r="H366" s="50" t="s">
        <v>27</v>
      </c>
      <c r="I366" s="44">
        <v>1</v>
      </c>
      <c r="J366" s="50"/>
      <c r="P366" s="41">
        <v>1</v>
      </c>
      <c r="Q366" s="50" t="s">
        <v>36</v>
      </c>
    </row>
    <row r="367" spans="2:17" thickBot="1" x14ac:dyDescent="0.3">
      <c r="B367" s="179">
        <v>368</v>
      </c>
      <c r="C367" s="181" t="s">
        <v>135</v>
      </c>
      <c r="D367" s="49" t="s">
        <v>2988</v>
      </c>
      <c r="E367" s="50">
        <v>53</v>
      </c>
      <c r="F367" s="50">
        <v>59</v>
      </c>
      <c r="G367" s="50">
        <v>13</v>
      </c>
      <c r="H367" s="50" t="s">
        <v>27</v>
      </c>
      <c r="I367" s="44">
        <v>1</v>
      </c>
      <c r="J367" s="50"/>
      <c r="P367" s="41">
        <v>1</v>
      </c>
      <c r="Q367" s="50" t="s">
        <v>36</v>
      </c>
    </row>
    <row r="368" spans="2:17" thickBot="1" x14ac:dyDescent="0.3">
      <c r="B368" s="179">
        <v>369</v>
      </c>
      <c r="C368" s="181" t="s">
        <v>135</v>
      </c>
      <c r="D368" s="49" t="s">
        <v>2216</v>
      </c>
      <c r="E368" s="50">
        <v>53</v>
      </c>
      <c r="F368" s="50">
        <v>130</v>
      </c>
      <c r="G368" s="50">
        <v>9</v>
      </c>
      <c r="H368" s="50" t="s">
        <v>27</v>
      </c>
      <c r="I368" s="44">
        <v>1</v>
      </c>
      <c r="J368" s="50"/>
      <c r="P368" s="41">
        <v>1</v>
      </c>
      <c r="Q368" s="50" t="s">
        <v>36</v>
      </c>
    </row>
    <row r="369" spans="2:17" thickBot="1" x14ac:dyDescent="0.3">
      <c r="B369" s="179">
        <v>370</v>
      </c>
      <c r="C369" s="181" t="s">
        <v>135</v>
      </c>
      <c r="D369" s="49" t="s">
        <v>2215</v>
      </c>
      <c r="E369" s="50">
        <v>53</v>
      </c>
      <c r="F369" s="50">
        <v>36</v>
      </c>
      <c r="G369" s="50">
        <v>9</v>
      </c>
      <c r="H369" s="50" t="s">
        <v>27</v>
      </c>
      <c r="I369" s="44">
        <v>1</v>
      </c>
      <c r="J369" s="50"/>
      <c r="P369" s="41">
        <v>1</v>
      </c>
      <c r="Q369" s="50" t="s">
        <v>36</v>
      </c>
    </row>
    <row r="370" spans="2:17" thickBot="1" x14ac:dyDescent="0.3">
      <c r="B370" s="179">
        <v>371</v>
      </c>
      <c r="C370" s="181" t="s">
        <v>135</v>
      </c>
      <c r="D370" s="49" t="s">
        <v>2214</v>
      </c>
      <c r="E370" s="50">
        <v>53</v>
      </c>
      <c r="F370" s="50">
        <v>66</v>
      </c>
      <c r="G370" s="50">
        <v>4</v>
      </c>
      <c r="H370" s="50" t="s">
        <v>27</v>
      </c>
      <c r="I370" s="44">
        <v>1</v>
      </c>
      <c r="J370" s="50"/>
      <c r="P370" s="41">
        <v>1</v>
      </c>
      <c r="Q370" s="50" t="s">
        <v>36</v>
      </c>
    </row>
    <row r="371" spans="2:17" thickBot="1" x14ac:dyDescent="0.3">
      <c r="B371" s="179">
        <v>372</v>
      </c>
      <c r="C371" s="181" t="s">
        <v>135</v>
      </c>
      <c r="D371" s="49" t="s">
        <v>2213</v>
      </c>
      <c r="E371" s="50">
        <v>53</v>
      </c>
      <c r="F371" s="50">
        <v>95</v>
      </c>
      <c r="G371" s="50">
        <v>6</v>
      </c>
      <c r="H371" s="50" t="s">
        <v>27</v>
      </c>
      <c r="I371" s="44">
        <v>1</v>
      </c>
      <c r="J371" s="50"/>
      <c r="P371" s="41">
        <v>1</v>
      </c>
      <c r="Q371" s="50" t="s">
        <v>36</v>
      </c>
    </row>
    <row r="372" spans="2:17" thickBot="1" x14ac:dyDescent="0.3">
      <c r="B372" s="179">
        <v>373</v>
      </c>
      <c r="C372" s="181" t="s">
        <v>135</v>
      </c>
      <c r="D372" s="49" t="s">
        <v>775</v>
      </c>
      <c r="E372" s="50">
        <v>53</v>
      </c>
      <c r="F372" s="50">
        <v>30</v>
      </c>
      <c r="G372" s="50">
        <v>4</v>
      </c>
      <c r="H372" s="50" t="s">
        <v>27</v>
      </c>
      <c r="I372" s="44">
        <v>1</v>
      </c>
      <c r="J372" s="50"/>
      <c r="P372" s="41">
        <v>1</v>
      </c>
      <c r="Q372" s="50" t="s">
        <v>36</v>
      </c>
    </row>
    <row r="373" spans="2:17" thickBot="1" x14ac:dyDescent="0.3">
      <c r="B373" s="179">
        <v>374</v>
      </c>
      <c r="C373" s="181" t="s">
        <v>135</v>
      </c>
      <c r="D373" s="49" t="s">
        <v>1003</v>
      </c>
      <c r="E373" s="50">
        <v>53</v>
      </c>
      <c r="F373" s="50">
        <v>36</v>
      </c>
      <c r="G373" s="50">
        <v>9</v>
      </c>
      <c r="H373" s="50" t="s">
        <v>27</v>
      </c>
      <c r="I373" s="44">
        <v>1</v>
      </c>
      <c r="J373" s="50"/>
      <c r="P373" s="41">
        <v>1</v>
      </c>
      <c r="Q373" s="50" t="s">
        <v>36</v>
      </c>
    </row>
    <row r="374" spans="2:17" thickBot="1" x14ac:dyDescent="0.3">
      <c r="B374" s="179">
        <v>375</v>
      </c>
      <c r="C374" s="181" t="s">
        <v>135</v>
      </c>
      <c r="D374" s="49" t="s">
        <v>1328</v>
      </c>
      <c r="E374" s="50">
        <v>53</v>
      </c>
      <c r="F374" s="50">
        <v>33</v>
      </c>
      <c r="G374" s="50">
        <v>2</v>
      </c>
      <c r="H374" s="50" t="s">
        <v>27</v>
      </c>
      <c r="I374" s="44">
        <v>1</v>
      </c>
      <c r="J374" s="50"/>
      <c r="P374" s="41">
        <v>1</v>
      </c>
      <c r="Q374" s="50" t="s">
        <v>36</v>
      </c>
    </row>
    <row r="375" spans="2:17" thickBot="1" x14ac:dyDescent="0.3">
      <c r="B375" s="179">
        <v>376</v>
      </c>
      <c r="C375" s="181" t="s">
        <v>2212</v>
      </c>
      <c r="D375" s="49" t="s">
        <v>2211</v>
      </c>
      <c r="E375" s="50">
        <v>53</v>
      </c>
      <c r="F375" s="50">
        <v>90</v>
      </c>
      <c r="G375" s="50">
        <v>2</v>
      </c>
      <c r="H375" s="50" t="s">
        <v>27</v>
      </c>
      <c r="I375" s="44">
        <v>1</v>
      </c>
      <c r="J375" s="50"/>
      <c r="P375" s="41">
        <v>1</v>
      </c>
      <c r="Q375" s="50" t="s">
        <v>36</v>
      </c>
    </row>
    <row r="376" spans="2:17" thickBot="1" x14ac:dyDescent="0.3">
      <c r="B376" s="179">
        <v>377</v>
      </c>
      <c r="C376" s="181" t="s">
        <v>187</v>
      </c>
      <c r="D376" s="49" t="s">
        <v>312</v>
      </c>
      <c r="E376" s="50">
        <v>53</v>
      </c>
      <c r="F376" s="50">
        <v>79</v>
      </c>
      <c r="G376" s="50">
        <v>10</v>
      </c>
      <c r="H376" s="50" t="s">
        <v>27</v>
      </c>
      <c r="I376" s="44">
        <v>1</v>
      </c>
      <c r="J376" s="50"/>
      <c r="P376" s="41">
        <v>1</v>
      </c>
      <c r="Q376" s="50" t="s">
        <v>36</v>
      </c>
    </row>
    <row r="377" spans="2:17" thickBot="1" x14ac:dyDescent="0.3">
      <c r="B377" s="179">
        <v>378</v>
      </c>
      <c r="C377" s="181" t="s">
        <v>1478</v>
      </c>
      <c r="D377" s="49" t="s">
        <v>2210</v>
      </c>
      <c r="E377" s="50">
        <v>53</v>
      </c>
      <c r="F377" s="50">
        <v>83</v>
      </c>
      <c r="G377" s="50">
        <v>1</v>
      </c>
      <c r="H377" s="50" t="s">
        <v>27</v>
      </c>
      <c r="I377" s="44">
        <v>1</v>
      </c>
      <c r="J377" s="50"/>
      <c r="P377" s="41">
        <v>1</v>
      </c>
      <c r="Q377" s="50" t="s">
        <v>36</v>
      </c>
    </row>
    <row r="378" spans="2:17" ht="38.25" thickBot="1" x14ac:dyDescent="0.3">
      <c r="B378" s="179">
        <v>379</v>
      </c>
      <c r="C378" s="181" t="s">
        <v>2209</v>
      </c>
      <c r="D378" s="49" t="s">
        <v>3040</v>
      </c>
      <c r="E378" s="50">
        <v>53</v>
      </c>
      <c r="F378" s="50">
        <v>158</v>
      </c>
      <c r="G378" s="50">
        <v>2</v>
      </c>
      <c r="H378" s="50" t="s">
        <v>27</v>
      </c>
      <c r="I378" s="44">
        <v>1</v>
      </c>
      <c r="J378" s="50"/>
      <c r="P378" s="41">
        <v>1</v>
      </c>
      <c r="Q378" s="50" t="s">
        <v>36</v>
      </c>
    </row>
    <row r="379" spans="2:17" thickBot="1" x14ac:dyDescent="0.3">
      <c r="B379" s="179">
        <v>380</v>
      </c>
      <c r="C379" s="181" t="s">
        <v>602</v>
      </c>
      <c r="D379" s="49" t="s">
        <v>1031</v>
      </c>
      <c r="E379" s="50">
        <v>53</v>
      </c>
      <c r="F379" s="50">
        <v>61</v>
      </c>
      <c r="G379" s="50">
        <v>15</v>
      </c>
      <c r="H379" s="50" t="s">
        <v>27</v>
      </c>
      <c r="I379" s="44">
        <v>1</v>
      </c>
      <c r="J379" s="50"/>
      <c r="P379" s="41">
        <v>1</v>
      </c>
      <c r="Q379" s="50" t="s">
        <v>81</v>
      </c>
    </row>
    <row r="380" spans="2:17" thickBot="1" x14ac:dyDescent="0.3">
      <c r="B380" s="179">
        <v>381</v>
      </c>
      <c r="C380" s="181" t="s">
        <v>1085</v>
      </c>
      <c r="D380" s="49" t="s">
        <v>836</v>
      </c>
      <c r="E380" s="50">
        <v>53</v>
      </c>
      <c r="F380" s="50">
        <v>2</v>
      </c>
      <c r="G380" s="50">
        <v>4</v>
      </c>
      <c r="H380" s="50" t="s">
        <v>27</v>
      </c>
      <c r="I380" s="44">
        <v>1</v>
      </c>
      <c r="J380" s="50"/>
      <c r="P380" s="41">
        <v>1</v>
      </c>
      <c r="Q380" s="50" t="s">
        <v>81</v>
      </c>
    </row>
    <row r="381" spans="2:17" thickBot="1" x14ac:dyDescent="0.3">
      <c r="B381" s="179">
        <v>382</v>
      </c>
      <c r="C381" s="181" t="s">
        <v>1085</v>
      </c>
      <c r="D381" s="49" t="s">
        <v>178</v>
      </c>
      <c r="E381" s="50">
        <v>53</v>
      </c>
      <c r="F381" s="50">
        <v>34</v>
      </c>
      <c r="G381" s="50">
        <v>9</v>
      </c>
      <c r="H381" s="50" t="s">
        <v>27</v>
      </c>
      <c r="I381" s="44">
        <v>1</v>
      </c>
      <c r="J381" s="50"/>
      <c r="P381" s="41">
        <v>1</v>
      </c>
      <c r="Q381" s="50" t="s">
        <v>48</v>
      </c>
    </row>
    <row r="382" spans="2:17" thickBot="1" x14ac:dyDescent="0.3">
      <c r="B382" s="179">
        <v>383</v>
      </c>
      <c r="C382" s="181" t="s">
        <v>1085</v>
      </c>
      <c r="D382" s="49" t="s">
        <v>2195</v>
      </c>
      <c r="E382" s="50">
        <v>53</v>
      </c>
      <c r="F382" s="50">
        <v>42</v>
      </c>
      <c r="G382" s="50">
        <v>16</v>
      </c>
      <c r="H382" s="50" t="s">
        <v>27</v>
      </c>
      <c r="I382" s="44">
        <v>1</v>
      </c>
      <c r="J382" s="50"/>
      <c r="P382" s="41">
        <v>1</v>
      </c>
      <c r="Q382" s="50" t="s">
        <v>48</v>
      </c>
    </row>
    <row r="383" spans="2:17" thickBot="1" x14ac:dyDescent="0.3">
      <c r="B383" s="179">
        <v>384</v>
      </c>
      <c r="C383" s="181" t="s">
        <v>1085</v>
      </c>
      <c r="D383" s="49" t="s">
        <v>2207</v>
      </c>
      <c r="E383" s="50">
        <v>53</v>
      </c>
      <c r="F383" s="50">
        <v>45</v>
      </c>
      <c r="G383" s="50">
        <v>4</v>
      </c>
      <c r="H383" s="50" t="s">
        <v>27</v>
      </c>
      <c r="I383" s="44">
        <v>1</v>
      </c>
      <c r="J383" s="50"/>
      <c r="P383" s="41">
        <v>1</v>
      </c>
      <c r="Q383" s="50" t="s">
        <v>48</v>
      </c>
    </row>
    <row r="384" spans="2:17" thickBot="1" x14ac:dyDescent="0.3">
      <c r="B384" s="179">
        <v>385</v>
      </c>
      <c r="C384" s="181" t="s">
        <v>302</v>
      </c>
      <c r="D384" s="49" t="s">
        <v>2978</v>
      </c>
      <c r="E384" s="50">
        <v>53</v>
      </c>
      <c r="F384" s="50">
        <v>35</v>
      </c>
      <c r="G384" s="50">
        <v>1</v>
      </c>
      <c r="H384" s="50" t="s">
        <v>27</v>
      </c>
      <c r="I384" s="44">
        <v>1</v>
      </c>
      <c r="J384" s="50"/>
      <c r="P384" s="41">
        <v>1</v>
      </c>
      <c r="Q384" s="50" t="s">
        <v>48</v>
      </c>
    </row>
    <row r="385" spans="2:17" thickBot="1" x14ac:dyDescent="0.3">
      <c r="B385" s="179">
        <v>386</v>
      </c>
      <c r="C385" s="181" t="s">
        <v>2274</v>
      </c>
      <c r="D385" s="49" t="s">
        <v>2273</v>
      </c>
      <c r="E385" s="50">
        <v>53</v>
      </c>
      <c r="F385" s="50">
        <v>55</v>
      </c>
      <c r="G385" s="50">
        <v>18</v>
      </c>
      <c r="H385" s="50" t="s">
        <v>27</v>
      </c>
      <c r="I385" s="44">
        <v>1</v>
      </c>
      <c r="J385" s="50"/>
      <c r="P385" s="41">
        <v>1</v>
      </c>
      <c r="Q385" s="50" t="s">
        <v>49</v>
      </c>
    </row>
    <row r="386" spans="2:17" thickBot="1" x14ac:dyDescent="0.3">
      <c r="B386" s="179">
        <v>387</v>
      </c>
      <c r="C386" s="181" t="s">
        <v>1338</v>
      </c>
      <c r="D386" s="49" t="s">
        <v>3026</v>
      </c>
      <c r="E386" s="50">
        <v>53</v>
      </c>
      <c r="F386" s="50">
        <v>99</v>
      </c>
      <c r="G386" s="50">
        <v>7</v>
      </c>
      <c r="H386" s="50" t="s">
        <v>27</v>
      </c>
      <c r="I386" s="44">
        <v>1</v>
      </c>
      <c r="J386" s="50"/>
      <c r="P386" s="41">
        <v>1</v>
      </c>
      <c r="Q386" s="50" t="s">
        <v>49</v>
      </c>
    </row>
    <row r="387" spans="2:17" thickBot="1" x14ac:dyDescent="0.3">
      <c r="B387" s="179">
        <v>388</v>
      </c>
      <c r="C387" s="181" t="s">
        <v>726</v>
      </c>
      <c r="D387" s="49" t="s">
        <v>2272</v>
      </c>
      <c r="E387" s="50">
        <v>53</v>
      </c>
      <c r="F387" s="50">
        <v>57</v>
      </c>
      <c r="G387" s="50">
        <v>19</v>
      </c>
      <c r="H387" s="50" t="s">
        <v>27</v>
      </c>
      <c r="I387" s="44">
        <v>1</v>
      </c>
      <c r="J387" s="50"/>
      <c r="P387" s="41">
        <v>1</v>
      </c>
      <c r="Q387" s="50" t="s">
        <v>49</v>
      </c>
    </row>
    <row r="388" spans="2:17" thickBot="1" x14ac:dyDescent="0.3">
      <c r="B388" s="179">
        <v>389</v>
      </c>
      <c r="C388" s="181" t="s">
        <v>2076</v>
      </c>
      <c r="D388" s="49" t="s">
        <v>426</v>
      </c>
      <c r="E388" s="50">
        <v>53</v>
      </c>
      <c r="F388" s="50">
        <v>111</v>
      </c>
      <c r="G388" s="50">
        <v>2</v>
      </c>
      <c r="H388" s="50" t="s">
        <v>27</v>
      </c>
      <c r="I388" s="44">
        <v>1</v>
      </c>
      <c r="J388" s="50"/>
      <c r="P388" s="41">
        <v>1</v>
      </c>
      <c r="Q388" s="50" t="s">
        <v>49</v>
      </c>
    </row>
    <row r="389" spans="2:17" thickBot="1" x14ac:dyDescent="0.3">
      <c r="B389" s="179">
        <v>390</v>
      </c>
      <c r="C389" s="181" t="s">
        <v>125</v>
      </c>
      <c r="D389" s="49" t="s">
        <v>2271</v>
      </c>
      <c r="E389" s="50">
        <v>53</v>
      </c>
      <c r="F389" s="50">
        <v>154</v>
      </c>
      <c r="G389" s="50">
        <v>18</v>
      </c>
      <c r="H389" s="50" t="s">
        <v>27</v>
      </c>
      <c r="I389" s="44">
        <v>1</v>
      </c>
      <c r="J389" s="50"/>
      <c r="P389" s="41">
        <v>1</v>
      </c>
      <c r="Q389" s="50" t="s">
        <v>49</v>
      </c>
    </row>
    <row r="390" spans="2:17" thickBot="1" x14ac:dyDescent="0.3">
      <c r="B390" s="179">
        <v>391</v>
      </c>
      <c r="C390" s="181" t="s">
        <v>125</v>
      </c>
      <c r="D390" s="49" t="s">
        <v>2270</v>
      </c>
      <c r="E390" s="50">
        <v>53</v>
      </c>
      <c r="F390" s="50">
        <v>66</v>
      </c>
      <c r="G390" s="50">
        <v>12</v>
      </c>
      <c r="H390" s="50" t="s">
        <v>27</v>
      </c>
      <c r="I390" s="44">
        <v>1</v>
      </c>
      <c r="J390" s="50"/>
      <c r="P390" s="41">
        <v>1</v>
      </c>
      <c r="Q390" s="50" t="s">
        <v>49</v>
      </c>
    </row>
    <row r="391" spans="2:17" thickBot="1" x14ac:dyDescent="0.3">
      <c r="B391" s="179">
        <v>392</v>
      </c>
      <c r="C391" s="181" t="s">
        <v>125</v>
      </c>
      <c r="D391" s="49" t="s">
        <v>2269</v>
      </c>
      <c r="E391" s="50">
        <v>53</v>
      </c>
      <c r="F391" s="50">
        <v>60</v>
      </c>
      <c r="G391" s="50">
        <v>2</v>
      </c>
      <c r="H391" s="50" t="s">
        <v>27</v>
      </c>
      <c r="I391" s="44">
        <v>1</v>
      </c>
      <c r="J391" s="50"/>
      <c r="P391" s="41">
        <v>1</v>
      </c>
      <c r="Q391" s="50" t="s">
        <v>49</v>
      </c>
    </row>
    <row r="392" spans="2:17" thickBot="1" x14ac:dyDescent="0.3">
      <c r="B392" s="179">
        <v>393</v>
      </c>
      <c r="C392" s="181" t="s">
        <v>125</v>
      </c>
      <c r="D392" s="49" t="s">
        <v>2970</v>
      </c>
      <c r="E392" s="50">
        <v>53</v>
      </c>
      <c r="F392" s="50">
        <v>7</v>
      </c>
      <c r="G392" s="50">
        <v>12</v>
      </c>
      <c r="H392" s="50" t="s">
        <v>27</v>
      </c>
      <c r="I392" s="44">
        <v>1</v>
      </c>
      <c r="J392" s="50"/>
      <c r="P392" s="41">
        <v>1</v>
      </c>
      <c r="Q392" s="50" t="s">
        <v>49</v>
      </c>
    </row>
    <row r="393" spans="2:17" thickBot="1" x14ac:dyDescent="0.3">
      <c r="B393" s="179">
        <v>394</v>
      </c>
      <c r="C393" s="181" t="s">
        <v>362</v>
      </c>
      <c r="D393" s="49" t="s">
        <v>2971</v>
      </c>
      <c r="E393" s="50">
        <v>53</v>
      </c>
      <c r="F393" s="50">
        <v>10</v>
      </c>
      <c r="G393" s="50">
        <v>10</v>
      </c>
      <c r="H393" s="50" t="s">
        <v>27</v>
      </c>
      <c r="I393" s="44">
        <v>1</v>
      </c>
      <c r="J393" s="50"/>
      <c r="P393" s="41">
        <v>1</v>
      </c>
      <c r="Q393" s="50" t="s">
        <v>49</v>
      </c>
    </row>
    <row r="394" spans="2:17" thickBot="1" x14ac:dyDescent="0.3">
      <c r="B394" s="179">
        <v>395</v>
      </c>
      <c r="C394" s="181" t="s">
        <v>2268</v>
      </c>
      <c r="D394" s="45" t="s">
        <v>2000</v>
      </c>
      <c r="E394" s="50">
        <v>53</v>
      </c>
      <c r="F394" s="50">
        <v>79</v>
      </c>
      <c r="G394" s="50">
        <v>3</v>
      </c>
      <c r="H394" s="50" t="s">
        <v>27</v>
      </c>
      <c r="I394" s="44">
        <v>1</v>
      </c>
      <c r="J394" s="50"/>
      <c r="P394" s="41">
        <v>1</v>
      </c>
      <c r="Q394" s="50" t="s">
        <v>49</v>
      </c>
    </row>
    <row r="395" spans="2:17" thickBot="1" x14ac:dyDescent="0.3">
      <c r="B395" s="179">
        <v>396</v>
      </c>
      <c r="C395" s="181" t="s">
        <v>2267</v>
      </c>
      <c r="D395" s="49" t="s">
        <v>2266</v>
      </c>
      <c r="E395" s="50">
        <v>53</v>
      </c>
      <c r="F395" s="50">
        <v>54</v>
      </c>
      <c r="G395" s="50">
        <v>17</v>
      </c>
      <c r="H395" s="50" t="s">
        <v>27</v>
      </c>
      <c r="I395" s="44">
        <v>1</v>
      </c>
      <c r="J395" s="50"/>
      <c r="P395" s="41">
        <v>1</v>
      </c>
      <c r="Q395" s="50" t="s">
        <v>49</v>
      </c>
    </row>
    <row r="396" spans="2:17" thickBot="1" x14ac:dyDescent="0.3">
      <c r="B396" s="179">
        <v>397</v>
      </c>
      <c r="C396" s="181" t="s">
        <v>1645</v>
      </c>
      <c r="D396" s="49" t="s">
        <v>1491</v>
      </c>
      <c r="E396" s="50">
        <v>53</v>
      </c>
      <c r="F396" s="50">
        <v>81</v>
      </c>
      <c r="G396" s="50">
        <v>16</v>
      </c>
      <c r="H396" s="50" t="s">
        <v>27</v>
      </c>
      <c r="I396" s="44">
        <v>1</v>
      </c>
      <c r="J396" s="50"/>
      <c r="P396" s="41">
        <v>1</v>
      </c>
      <c r="Q396" s="50" t="s">
        <v>49</v>
      </c>
    </row>
    <row r="397" spans="2:17" thickBot="1" x14ac:dyDescent="0.3">
      <c r="B397" s="179">
        <v>398</v>
      </c>
      <c r="C397" s="181" t="s">
        <v>595</v>
      </c>
      <c r="D397" s="49" t="s">
        <v>532</v>
      </c>
      <c r="E397" s="50">
        <v>53</v>
      </c>
      <c r="F397" s="50">
        <v>37</v>
      </c>
      <c r="G397" s="50">
        <v>12</v>
      </c>
      <c r="H397" s="50" t="s">
        <v>27</v>
      </c>
      <c r="I397" s="44">
        <v>1</v>
      </c>
      <c r="J397" s="50"/>
      <c r="P397" s="41">
        <v>1</v>
      </c>
      <c r="Q397" s="50" t="s">
        <v>103</v>
      </c>
    </row>
    <row r="398" spans="2:17" thickBot="1" x14ac:dyDescent="0.3">
      <c r="B398" s="179">
        <v>399</v>
      </c>
      <c r="C398" s="181" t="s">
        <v>2265</v>
      </c>
      <c r="D398" s="49" t="s">
        <v>1312</v>
      </c>
      <c r="E398" s="50">
        <v>53</v>
      </c>
      <c r="F398" s="50">
        <v>37</v>
      </c>
      <c r="G398" s="50">
        <v>13</v>
      </c>
      <c r="H398" s="50" t="s">
        <v>27</v>
      </c>
      <c r="I398" s="44">
        <v>1</v>
      </c>
      <c r="J398" s="50"/>
      <c r="P398" s="41">
        <v>1</v>
      </c>
      <c r="Q398" s="50" t="s">
        <v>76</v>
      </c>
    </row>
    <row r="399" spans="2:17" thickBot="1" x14ac:dyDescent="0.3">
      <c r="B399" s="179">
        <v>400</v>
      </c>
      <c r="C399" s="181" t="s">
        <v>2265</v>
      </c>
      <c r="D399" s="49" t="s">
        <v>2264</v>
      </c>
      <c r="E399" s="50">
        <v>53</v>
      </c>
      <c r="F399" s="50">
        <v>58</v>
      </c>
      <c r="G399" s="50">
        <v>10</v>
      </c>
      <c r="H399" s="50" t="s">
        <v>27</v>
      </c>
      <c r="I399" s="44">
        <v>1</v>
      </c>
      <c r="J399" s="50"/>
      <c r="P399" s="41">
        <v>1</v>
      </c>
      <c r="Q399" s="50" t="s">
        <v>57</v>
      </c>
    </row>
    <row r="400" spans="2:17" thickBot="1" x14ac:dyDescent="0.3">
      <c r="B400" s="179">
        <v>401</v>
      </c>
      <c r="C400" s="181" t="s">
        <v>2263</v>
      </c>
      <c r="D400" s="49" t="s">
        <v>2262</v>
      </c>
      <c r="E400" s="50">
        <v>53</v>
      </c>
      <c r="F400" s="50">
        <v>53</v>
      </c>
      <c r="G400" s="50">
        <v>17</v>
      </c>
      <c r="H400" s="50" t="s">
        <v>27</v>
      </c>
      <c r="I400" s="44">
        <v>1</v>
      </c>
      <c r="J400" s="50"/>
      <c r="P400" s="41">
        <v>1</v>
      </c>
      <c r="Q400" s="50" t="s">
        <v>57</v>
      </c>
    </row>
    <row r="401" spans="2:17" thickBot="1" x14ac:dyDescent="0.3">
      <c r="B401" s="179">
        <v>402</v>
      </c>
      <c r="C401" s="181" t="s">
        <v>2261</v>
      </c>
      <c r="D401" s="49" t="s">
        <v>2260</v>
      </c>
      <c r="E401" s="50">
        <v>53</v>
      </c>
      <c r="F401" s="50">
        <v>76</v>
      </c>
      <c r="G401" s="50">
        <v>1</v>
      </c>
      <c r="H401" s="50" t="s">
        <v>27</v>
      </c>
      <c r="I401" s="44">
        <v>1</v>
      </c>
      <c r="J401" s="50"/>
      <c r="P401" s="41">
        <v>1</v>
      </c>
      <c r="Q401" s="50" t="s">
        <v>57</v>
      </c>
    </row>
    <row r="402" spans="2:17" thickBot="1" x14ac:dyDescent="0.3">
      <c r="B402" s="179">
        <v>403</v>
      </c>
      <c r="C402" s="181" t="s">
        <v>1210</v>
      </c>
      <c r="D402" s="49" t="s">
        <v>2259</v>
      </c>
      <c r="E402" s="50">
        <v>53</v>
      </c>
      <c r="F402" s="50">
        <v>145</v>
      </c>
      <c r="G402" s="50">
        <v>6</v>
      </c>
      <c r="H402" s="50" t="s">
        <v>26</v>
      </c>
      <c r="I402" s="44">
        <v>0</v>
      </c>
      <c r="J402" s="50">
        <v>1</v>
      </c>
      <c r="K402" s="40">
        <v>0</v>
      </c>
      <c r="P402" s="41">
        <v>0</v>
      </c>
      <c r="Q402" s="50" t="s">
        <v>57</v>
      </c>
    </row>
    <row r="403" spans="2:17" ht="21" customHeight="1" thickBot="1" x14ac:dyDescent="0.3">
      <c r="B403" s="179">
        <v>404</v>
      </c>
      <c r="C403" s="181" t="s">
        <v>2258</v>
      </c>
      <c r="D403" s="49" t="s">
        <v>2073</v>
      </c>
      <c r="E403" s="50">
        <v>53</v>
      </c>
      <c r="F403" s="50">
        <v>36</v>
      </c>
      <c r="G403" s="50">
        <v>13</v>
      </c>
      <c r="H403" s="50" t="s">
        <v>27</v>
      </c>
      <c r="I403" s="44">
        <v>1</v>
      </c>
      <c r="J403" s="50"/>
      <c r="P403" s="41">
        <v>1</v>
      </c>
      <c r="Q403" s="50" t="s">
        <v>57</v>
      </c>
    </row>
    <row r="404" spans="2:17" thickBot="1" x14ac:dyDescent="0.3">
      <c r="B404" s="179">
        <v>405</v>
      </c>
      <c r="C404" s="181" t="s">
        <v>2088</v>
      </c>
      <c r="D404" s="49" t="s">
        <v>866</v>
      </c>
      <c r="E404" s="50">
        <v>53</v>
      </c>
      <c r="F404" s="50">
        <v>38</v>
      </c>
      <c r="G404" s="50">
        <v>16</v>
      </c>
      <c r="H404" s="50" t="s">
        <v>27</v>
      </c>
      <c r="I404" s="44">
        <v>1</v>
      </c>
      <c r="J404" s="50"/>
      <c r="P404" s="41">
        <v>1</v>
      </c>
      <c r="Q404" s="50" t="s">
        <v>57</v>
      </c>
    </row>
    <row r="405" spans="2:17" thickBot="1" x14ac:dyDescent="0.3">
      <c r="B405" s="179">
        <v>406</v>
      </c>
      <c r="C405" s="181" t="s">
        <v>847</v>
      </c>
      <c r="D405" s="49" t="s">
        <v>1306</v>
      </c>
      <c r="E405" s="50">
        <v>53</v>
      </c>
      <c r="F405" s="50">
        <v>587</v>
      </c>
      <c r="G405" s="50">
        <v>3</v>
      </c>
      <c r="H405" s="50" t="s">
        <v>27</v>
      </c>
      <c r="I405" s="44">
        <v>1</v>
      </c>
      <c r="J405" s="50"/>
      <c r="P405" s="41">
        <v>1</v>
      </c>
      <c r="Q405" s="50" t="s">
        <v>57</v>
      </c>
    </row>
    <row r="406" spans="2:17" thickBot="1" x14ac:dyDescent="0.3">
      <c r="B406" s="179">
        <v>407</v>
      </c>
      <c r="C406" s="181" t="s">
        <v>679</v>
      </c>
      <c r="D406" s="49" t="s">
        <v>2257</v>
      </c>
      <c r="E406" s="50">
        <v>53</v>
      </c>
      <c r="F406" s="50">
        <v>4</v>
      </c>
      <c r="G406" s="50">
        <v>12</v>
      </c>
      <c r="H406" s="50" t="s">
        <v>27</v>
      </c>
      <c r="I406" s="44">
        <v>1</v>
      </c>
      <c r="J406" s="50"/>
      <c r="P406" s="41">
        <v>1</v>
      </c>
      <c r="Q406" s="50" t="s">
        <v>57</v>
      </c>
    </row>
    <row r="407" spans="2:17" thickBot="1" x14ac:dyDescent="0.3">
      <c r="B407" s="179">
        <v>408</v>
      </c>
      <c r="C407" s="181" t="s">
        <v>1069</v>
      </c>
      <c r="D407" s="49" t="s">
        <v>312</v>
      </c>
      <c r="E407" s="50">
        <v>53</v>
      </c>
      <c r="F407" s="50">
        <v>39</v>
      </c>
      <c r="G407" s="50">
        <v>17</v>
      </c>
      <c r="H407" s="50" t="s">
        <v>27</v>
      </c>
      <c r="I407" s="44">
        <v>1</v>
      </c>
      <c r="J407" s="50"/>
      <c r="P407" s="41">
        <v>1</v>
      </c>
      <c r="Q407" s="50" t="s">
        <v>57</v>
      </c>
    </row>
    <row r="408" spans="2:17" thickBot="1" x14ac:dyDescent="0.3">
      <c r="B408" s="179">
        <v>409</v>
      </c>
      <c r="C408" s="181" t="s">
        <v>1531</v>
      </c>
      <c r="D408" s="49" t="s">
        <v>2256</v>
      </c>
      <c r="E408" s="50">
        <v>53</v>
      </c>
      <c r="F408" s="50">
        <v>56</v>
      </c>
      <c r="G408" s="50">
        <v>16</v>
      </c>
      <c r="H408" s="50" t="s">
        <v>27</v>
      </c>
      <c r="I408" s="44">
        <v>1</v>
      </c>
      <c r="J408" s="50"/>
      <c r="P408" s="41">
        <v>1</v>
      </c>
      <c r="Q408" s="50" t="s">
        <v>57</v>
      </c>
    </row>
    <row r="409" spans="2:17" thickBot="1" x14ac:dyDescent="0.3">
      <c r="B409" s="179">
        <v>410</v>
      </c>
      <c r="C409" s="188" t="s">
        <v>600</v>
      </c>
      <c r="D409" s="51" t="s">
        <v>426</v>
      </c>
      <c r="E409" s="86">
        <v>53</v>
      </c>
      <c r="F409" s="86">
        <v>11</v>
      </c>
      <c r="G409" s="86">
        <v>2</v>
      </c>
      <c r="H409" s="50" t="s">
        <v>27</v>
      </c>
      <c r="I409" s="44">
        <v>1</v>
      </c>
      <c r="J409" s="50"/>
      <c r="P409" s="41">
        <v>1</v>
      </c>
      <c r="Q409" s="50" t="s">
        <v>57</v>
      </c>
    </row>
    <row r="410" spans="2:17" thickBot="1" x14ac:dyDescent="0.3">
      <c r="B410" s="179">
        <v>411</v>
      </c>
      <c r="C410" s="181" t="s">
        <v>2255</v>
      </c>
      <c r="D410" s="49" t="s">
        <v>2254</v>
      </c>
      <c r="E410" s="50">
        <v>53</v>
      </c>
      <c r="F410" s="50">
        <v>41</v>
      </c>
      <c r="G410" s="50">
        <v>14</v>
      </c>
      <c r="H410" s="50" t="s">
        <v>27</v>
      </c>
      <c r="I410" s="44">
        <v>1</v>
      </c>
      <c r="J410" s="50"/>
      <c r="P410" s="41">
        <v>1</v>
      </c>
      <c r="Q410" s="50" t="s">
        <v>57</v>
      </c>
    </row>
    <row r="411" spans="2:17" thickBot="1" x14ac:dyDescent="0.3">
      <c r="B411" s="179">
        <v>412</v>
      </c>
      <c r="C411" s="181" t="s">
        <v>736</v>
      </c>
      <c r="D411" s="49" t="s">
        <v>1953</v>
      </c>
      <c r="E411" s="50">
        <v>53</v>
      </c>
      <c r="F411" s="50">
        <v>133</v>
      </c>
      <c r="G411" s="50">
        <v>7</v>
      </c>
      <c r="H411" s="50" t="s">
        <v>27</v>
      </c>
      <c r="I411" s="44">
        <v>1</v>
      </c>
      <c r="J411" s="50"/>
      <c r="P411" s="41">
        <v>1</v>
      </c>
      <c r="Q411" s="50" t="s">
        <v>57</v>
      </c>
    </row>
    <row r="412" spans="2:17" thickBot="1" x14ac:dyDescent="0.3">
      <c r="B412" s="179">
        <v>413</v>
      </c>
      <c r="C412" s="181" t="s">
        <v>736</v>
      </c>
      <c r="D412" s="49" t="s">
        <v>2253</v>
      </c>
      <c r="E412" s="50">
        <v>53</v>
      </c>
      <c r="F412" s="50">
        <v>65</v>
      </c>
      <c r="G412" s="50">
        <v>1</v>
      </c>
      <c r="H412" s="50" t="s">
        <v>27</v>
      </c>
      <c r="I412" s="44">
        <v>1</v>
      </c>
      <c r="J412" s="50"/>
      <c r="P412" s="41">
        <v>1</v>
      </c>
      <c r="Q412" s="50" t="s">
        <v>57</v>
      </c>
    </row>
    <row r="413" spans="2:17" thickBot="1" x14ac:dyDescent="0.3">
      <c r="B413" s="179">
        <v>414</v>
      </c>
      <c r="C413" s="181" t="s">
        <v>137</v>
      </c>
      <c r="D413" s="49" t="s">
        <v>375</v>
      </c>
      <c r="E413" s="50">
        <v>53</v>
      </c>
      <c r="F413" s="50">
        <v>55</v>
      </c>
      <c r="G413" s="50">
        <v>17</v>
      </c>
      <c r="H413" s="50" t="s">
        <v>27</v>
      </c>
      <c r="I413" s="44">
        <v>1</v>
      </c>
      <c r="J413" s="50"/>
      <c r="P413" s="41">
        <v>1</v>
      </c>
      <c r="Q413" s="50" t="s">
        <v>54</v>
      </c>
    </row>
    <row r="414" spans="2:17" thickBot="1" x14ac:dyDescent="0.3">
      <c r="B414" s="179">
        <v>415</v>
      </c>
      <c r="C414" s="181" t="s">
        <v>137</v>
      </c>
      <c r="D414" s="49" t="s">
        <v>271</v>
      </c>
      <c r="E414" s="50">
        <v>53</v>
      </c>
      <c r="F414" s="50">
        <v>6</v>
      </c>
      <c r="G414" s="50">
        <v>15</v>
      </c>
      <c r="H414" s="50" t="s">
        <v>27</v>
      </c>
      <c r="I414" s="44">
        <v>1</v>
      </c>
      <c r="J414" s="50"/>
      <c r="P414" s="41">
        <v>1</v>
      </c>
      <c r="Q414" s="50" t="s">
        <v>54</v>
      </c>
    </row>
    <row r="415" spans="2:17" thickBot="1" x14ac:dyDescent="0.3">
      <c r="B415" s="179">
        <v>416</v>
      </c>
      <c r="C415" s="181" t="s">
        <v>137</v>
      </c>
      <c r="D415" s="49" t="s">
        <v>2252</v>
      </c>
      <c r="E415" s="50">
        <v>53</v>
      </c>
      <c r="F415" s="50">
        <v>69</v>
      </c>
      <c r="G415" s="50">
        <v>15</v>
      </c>
      <c r="H415" s="50" t="s">
        <v>27</v>
      </c>
      <c r="I415" s="44">
        <v>1</v>
      </c>
      <c r="J415" s="50"/>
      <c r="P415" s="41">
        <v>1</v>
      </c>
      <c r="Q415" s="50" t="s">
        <v>54</v>
      </c>
    </row>
    <row r="416" spans="2:17" thickBot="1" x14ac:dyDescent="0.3">
      <c r="B416" s="179">
        <v>417</v>
      </c>
      <c r="C416" s="181" t="s">
        <v>1414</v>
      </c>
      <c r="D416" s="49" t="s">
        <v>2251</v>
      </c>
      <c r="E416" s="50">
        <v>53</v>
      </c>
      <c r="F416" s="50">
        <v>79</v>
      </c>
      <c r="G416" s="50">
        <v>14</v>
      </c>
      <c r="H416" s="50" t="s">
        <v>27</v>
      </c>
      <c r="I416" s="44">
        <v>1</v>
      </c>
      <c r="J416" s="50"/>
      <c r="P416" s="41">
        <v>1</v>
      </c>
      <c r="Q416" s="50" t="s">
        <v>54</v>
      </c>
    </row>
    <row r="417" spans="2:17" thickBot="1" x14ac:dyDescent="0.3">
      <c r="B417" s="179">
        <v>418</v>
      </c>
      <c r="C417" s="181" t="s">
        <v>2250</v>
      </c>
      <c r="D417" s="49" t="s">
        <v>2249</v>
      </c>
      <c r="E417" s="50">
        <v>53</v>
      </c>
      <c r="F417" s="50">
        <v>44</v>
      </c>
      <c r="G417" s="50">
        <v>14</v>
      </c>
      <c r="H417" s="50" t="s">
        <v>27</v>
      </c>
      <c r="I417" s="44">
        <v>1</v>
      </c>
      <c r="J417" s="50"/>
      <c r="P417" s="41">
        <v>1</v>
      </c>
      <c r="Q417" s="50" t="s">
        <v>54</v>
      </c>
    </row>
    <row r="418" spans="2:17" thickBot="1" x14ac:dyDescent="0.3">
      <c r="B418" s="179">
        <v>419</v>
      </c>
      <c r="C418" s="181" t="s">
        <v>2248</v>
      </c>
      <c r="D418" s="49" t="s">
        <v>2247</v>
      </c>
      <c r="E418" s="50">
        <v>53</v>
      </c>
      <c r="F418" s="50">
        <v>74</v>
      </c>
      <c r="G418" s="50">
        <v>14</v>
      </c>
      <c r="H418" s="50" t="s">
        <v>27</v>
      </c>
      <c r="I418" s="44">
        <v>1</v>
      </c>
      <c r="J418" s="50"/>
      <c r="P418" s="41">
        <v>1</v>
      </c>
      <c r="Q418" s="50" t="s">
        <v>54</v>
      </c>
    </row>
    <row r="419" spans="2:17" thickBot="1" x14ac:dyDescent="0.3">
      <c r="B419" s="179">
        <v>420</v>
      </c>
      <c r="C419" s="181" t="s">
        <v>575</v>
      </c>
      <c r="D419" s="49" t="s">
        <v>2246</v>
      </c>
      <c r="E419" s="50">
        <v>53</v>
      </c>
      <c r="F419" s="50">
        <v>60</v>
      </c>
      <c r="G419" s="50">
        <v>14</v>
      </c>
      <c r="H419" s="50" t="s">
        <v>27</v>
      </c>
      <c r="I419" s="44">
        <v>1</v>
      </c>
      <c r="J419" s="50"/>
      <c r="P419" s="41">
        <v>1</v>
      </c>
      <c r="Q419" s="50" t="s">
        <v>54</v>
      </c>
    </row>
    <row r="420" spans="2:17" thickBot="1" x14ac:dyDescent="0.3">
      <c r="B420" s="179">
        <v>421</v>
      </c>
      <c r="C420" s="181" t="s">
        <v>575</v>
      </c>
      <c r="D420" s="49" t="s">
        <v>2245</v>
      </c>
      <c r="E420" s="50">
        <v>53</v>
      </c>
      <c r="F420" s="50">
        <v>50</v>
      </c>
      <c r="G420" s="50">
        <v>16</v>
      </c>
      <c r="H420" s="50" t="s">
        <v>27</v>
      </c>
      <c r="I420" s="44">
        <v>1</v>
      </c>
      <c r="J420" s="50"/>
      <c r="P420" s="41">
        <v>1</v>
      </c>
      <c r="Q420" s="50" t="s">
        <v>54</v>
      </c>
    </row>
    <row r="421" spans="2:17" thickBot="1" x14ac:dyDescent="0.3">
      <c r="B421" s="179">
        <v>422</v>
      </c>
      <c r="C421" s="181" t="s">
        <v>891</v>
      </c>
      <c r="D421" s="49" t="s">
        <v>1287</v>
      </c>
      <c r="E421" s="50">
        <v>53</v>
      </c>
      <c r="F421" s="50">
        <v>28</v>
      </c>
      <c r="G421" s="50">
        <v>5</v>
      </c>
      <c r="H421" s="50" t="s">
        <v>27</v>
      </c>
      <c r="I421" s="44">
        <v>1</v>
      </c>
      <c r="J421" s="50"/>
      <c r="P421" s="41">
        <v>1</v>
      </c>
      <c r="Q421" s="50" t="s">
        <v>54</v>
      </c>
    </row>
    <row r="422" spans="2:17" thickBot="1" x14ac:dyDescent="0.3">
      <c r="B422" s="179">
        <v>423</v>
      </c>
      <c r="C422" s="181" t="s">
        <v>131</v>
      </c>
      <c r="D422" s="49" t="s">
        <v>2244</v>
      </c>
      <c r="E422" s="50">
        <v>53</v>
      </c>
      <c r="F422" s="50">
        <v>53</v>
      </c>
      <c r="G422" s="50">
        <v>15</v>
      </c>
      <c r="H422" s="50" t="s">
        <v>27</v>
      </c>
      <c r="I422" s="44">
        <v>1</v>
      </c>
      <c r="J422" s="50"/>
      <c r="P422" s="41">
        <v>1</v>
      </c>
      <c r="Q422" s="50" t="s">
        <v>54</v>
      </c>
    </row>
    <row r="423" spans="2:17" thickBot="1" x14ac:dyDescent="0.3">
      <c r="B423" s="179">
        <v>424</v>
      </c>
      <c r="C423" s="181" t="s">
        <v>1055</v>
      </c>
      <c r="D423" s="49" t="s">
        <v>2243</v>
      </c>
      <c r="E423" s="50">
        <v>53</v>
      </c>
      <c r="F423" s="50">
        <v>44</v>
      </c>
      <c r="G423" s="50">
        <v>1</v>
      </c>
      <c r="H423" s="50" t="s">
        <v>27</v>
      </c>
      <c r="I423" s="44">
        <v>1</v>
      </c>
      <c r="J423" s="50"/>
      <c r="P423" s="41">
        <v>1</v>
      </c>
      <c r="Q423" s="50" t="s">
        <v>54</v>
      </c>
    </row>
    <row r="424" spans="2:17" thickBot="1" x14ac:dyDescent="0.3">
      <c r="B424" s="179">
        <v>425</v>
      </c>
      <c r="C424" s="181" t="s">
        <v>131</v>
      </c>
      <c r="D424" s="49" t="s">
        <v>864</v>
      </c>
      <c r="E424" s="50">
        <v>53</v>
      </c>
      <c r="F424" s="50">
        <v>74</v>
      </c>
      <c r="G424" s="50">
        <v>11</v>
      </c>
      <c r="H424" s="50" t="s">
        <v>27</v>
      </c>
      <c r="I424" s="44">
        <v>1</v>
      </c>
      <c r="J424" s="50"/>
      <c r="P424" s="41">
        <v>1</v>
      </c>
      <c r="Q424" s="50" t="s">
        <v>54</v>
      </c>
    </row>
    <row r="425" spans="2:17" thickBot="1" x14ac:dyDescent="0.3">
      <c r="B425" s="179">
        <v>426</v>
      </c>
      <c r="C425" s="181" t="s">
        <v>2240</v>
      </c>
      <c r="D425" s="49" t="s">
        <v>2239</v>
      </c>
      <c r="E425" s="50">
        <v>53</v>
      </c>
      <c r="F425" s="50">
        <v>8</v>
      </c>
      <c r="G425" s="50">
        <v>8</v>
      </c>
      <c r="H425" s="50" t="s">
        <v>27</v>
      </c>
      <c r="I425" s="44">
        <v>1</v>
      </c>
      <c r="J425" s="50"/>
      <c r="P425" s="41">
        <v>1</v>
      </c>
      <c r="Q425" s="50" t="s">
        <v>54</v>
      </c>
    </row>
    <row r="426" spans="2:17" thickBot="1" x14ac:dyDescent="0.3">
      <c r="B426" s="179">
        <v>427</v>
      </c>
      <c r="C426" s="181" t="s">
        <v>1055</v>
      </c>
      <c r="D426" s="49" t="s">
        <v>2241</v>
      </c>
      <c r="E426" s="50">
        <v>53</v>
      </c>
      <c r="F426" s="50">
        <v>59</v>
      </c>
      <c r="G426" s="50">
        <v>11</v>
      </c>
      <c r="H426" s="50" t="s">
        <v>27</v>
      </c>
      <c r="I426" s="44">
        <v>1</v>
      </c>
      <c r="J426" s="50"/>
      <c r="P426" s="41">
        <v>1</v>
      </c>
      <c r="Q426" s="50" t="s">
        <v>55</v>
      </c>
    </row>
    <row r="427" spans="2:17" thickBot="1" x14ac:dyDescent="0.3">
      <c r="B427" s="179">
        <v>428</v>
      </c>
      <c r="C427" s="181" t="s">
        <v>1055</v>
      </c>
      <c r="D427" s="49" t="s">
        <v>2242</v>
      </c>
      <c r="E427" s="50">
        <v>53</v>
      </c>
      <c r="F427" s="50">
        <v>50</v>
      </c>
      <c r="G427" s="50">
        <v>12</v>
      </c>
      <c r="H427" s="50" t="s">
        <v>27</v>
      </c>
      <c r="I427" s="44">
        <v>1</v>
      </c>
      <c r="J427" s="50"/>
      <c r="P427" s="41">
        <v>1</v>
      </c>
      <c r="Q427" s="50" t="s">
        <v>55</v>
      </c>
    </row>
    <row r="428" spans="2:17" thickBot="1" x14ac:dyDescent="0.3">
      <c r="B428" s="179">
        <v>429</v>
      </c>
      <c r="C428" s="181" t="s">
        <v>128</v>
      </c>
      <c r="D428" s="49" t="s">
        <v>2994</v>
      </c>
      <c r="E428" s="50">
        <v>53</v>
      </c>
      <c r="F428" s="50">
        <v>38</v>
      </c>
      <c r="G428" s="50">
        <v>9</v>
      </c>
      <c r="H428" s="50" t="s">
        <v>27</v>
      </c>
      <c r="I428" s="44">
        <v>1</v>
      </c>
      <c r="J428" s="50"/>
      <c r="P428" s="41">
        <v>1</v>
      </c>
      <c r="Q428" s="50" t="s">
        <v>55</v>
      </c>
    </row>
    <row r="429" spans="2:17" thickBot="1" x14ac:dyDescent="0.3">
      <c r="B429" s="179">
        <v>430</v>
      </c>
      <c r="C429" s="181" t="s">
        <v>128</v>
      </c>
      <c r="D429" s="49" t="s">
        <v>556</v>
      </c>
      <c r="E429" s="50">
        <v>53</v>
      </c>
      <c r="F429" s="50">
        <v>92</v>
      </c>
      <c r="G429" s="50">
        <v>3</v>
      </c>
      <c r="H429" s="50" t="s">
        <v>27</v>
      </c>
      <c r="I429" s="44">
        <v>1</v>
      </c>
      <c r="J429" s="50"/>
      <c r="P429" s="41">
        <v>1</v>
      </c>
      <c r="Q429" s="50" t="s">
        <v>55</v>
      </c>
    </row>
    <row r="430" spans="2:17" thickBot="1" x14ac:dyDescent="0.3">
      <c r="B430" s="179">
        <v>431</v>
      </c>
      <c r="C430" s="181" t="s">
        <v>132</v>
      </c>
      <c r="D430" s="49" t="s">
        <v>1086</v>
      </c>
      <c r="E430" s="50">
        <v>53</v>
      </c>
      <c r="F430" s="50">
        <v>152</v>
      </c>
      <c r="G430" s="50">
        <v>8</v>
      </c>
      <c r="H430" s="50" t="s">
        <v>27</v>
      </c>
      <c r="I430" s="44">
        <v>1</v>
      </c>
      <c r="J430" s="50"/>
      <c r="P430" s="41">
        <v>1</v>
      </c>
      <c r="Q430" s="50" t="s">
        <v>55</v>
      </c>
    </row>
    <row r="431" spans="2:17" thickBot="1" x14ac:dyDescent="0.3">
      <c r="B431" s="179">
        <v>432</v>
      </c>
      <c r="C431" s="181" t="s">
        <v>294</v>
      </c>
      <c r="D431" s="49" t="s">
        <v>2238</v>
      </c>
      <c r="E431" s="50">
        <v>53</v>
      </c>
      <c r="F431" s="50">
        <v>33</v>
      </c>
      <c r="G431" s="50">
        <v>15</v>
      </c>
      <c r="H431" s="50" t="s">
        <v>27</v>
      </c>
      <c r="I431" s="44">
        <v>1</v>
      </c>
      <c r="J431" s="50"/>
      <c r="P431" s="41">
        <v>1</v>
      </c>
      <c r="Q431" s="50" t="s">
        <v>55</v>
      </c>
    </row>
    <row r="432" spans="2:17" thickBot="1" x14ac:dyDescent="0.3">
      <c r="B432" s="179">
        <v>433</v>
      </c>
      <c r="C432" s="181" t="s">
        <v>2237</v>
      </c>
      <c r="D432" s="49" t="s">
        <v>2959</v>
      </c>
      <c r="E432" s="50">
        <v>53</v>
      </c>
      <c r="F432" s="50">
        <v>29</v>
      </c>
      <c r="G432" s="50">
        <v>18</v>
      </c>
      <c r="H432" s="50" t="s">
        <v>27</v>
      </c>
      <c r="I432" s="44">
        <v>1</v>
      </c>
      <c r="J432" s="50"/>
      <c r="P432" s="41">
        <v>1</v>
      </c>
      <c r="Q432" s="50" t="s">
        <v>55</v>
      </c>
    </row>
    <row r="433" spans="2:17" thickBot="1" x14ac:dyDescent="0.3">
      <c r="B433" s="179">
        <v>434</v>
      </c>
      <c r="C433" s="181" t="s">
        <v>632</v>
      </c>
      <c r="D433" s="49" t="s">
        <v>2236</v>
      </c>
      <c r="E433" s="50">
        <v>53</v>
      </c>
      <c r="F433" s="50">
        <v>61</v>
      </c>
      <c r="G433" s="50">
        <v>17</v>
      </c>
      <c r="H433" s="50" t="s">
        <v>27</v>
      </c>
      <c r="I433" s="44">
        <v>1</v>
      </c>
      <c r="J433" s="50"/>
      <c r="P433" s="41">
        <v>1</v>
      </c>
      <c r="Q433" s="50" t="s">
        <v>55</v>
      </c>
    </row>
    <row r="434" spans="2:17" thickBot="1" x14ac:dyDescent="0.3">
      <c r="B434" s="179">
        <v>435</v>
      </c>
      <c r="C434" s="181" t="s">
        <v>1855</v>
      </c>
      <c r="D434" s="49" t="s">
        <v>3023</v>
      </c>
      <c r="E434" s="50">
        <v>53</v>
      </c>
      <c r="F434" s="50">
        <v>100</v>
      </c>
      <c r="G434" s="50">
        <v>14</v>
      </c>
      <c r="H434" s="50" t="s">
        <v>27</v>
      </c>
      <c r="I434" s="44">
        <v>1</v>
      </c>
      <c r="J434" s="50"/>
      <c r="P434" s="41">
        <v>1</v>
      </c>
      <c r="Q434" s="50" t="s">
        <v>55</v>
      </c>
    </row>
    <row r="435" spans="2:17" thickBot="1" x14ac:dyDescent="0.3">
      <c r="B435" s="179">
        <v>436</v>
      </c>
      <c r="C435" s="181" t="s">
        <v>640</v>
      </c>
      <c r="D435" s="49" t="s">
        <v>2235</v>
      </c>
      <c r="E435" s="50">
        <v>53</v>
      </c>
      <c r="F435" s="50">
        <v>41</v>
      </c>
      <c r="G435" s="50">
        <v>18</v>
      </c>
      <c r="H435" s="50" t="s">
        <v>27</v>
      </c>
      <c r="I435" s="44">
        <v>1</v>
      </c>
      <c r="J435" s="50"/>
      <c r="P435" s="41">
        <v>1</v>
      </c>
      <c r="Q435" s="50" t="s">
        <v>57</v>
      </c>
    </row>
    <row r="436" spans="2:17" thickBot="1" x14ac:dyDescent="0.3">
      <c r="B436" s="179">
        <v>437</v>
      </c>
      <c r="C436" s="181" t="s">
        <v>640</v>
      </c>
      <c r="D436" s="49" t="s">
        <v>837</v>
      </c>
      <c r="E436" s="50">
        <v>53</v>
      </c>
      <c r="F436" s="50">
        <v>67</v>
      </c>
      <c r="G436" s="50">
        <v>4</v>
      </c>
      <c r="H436" s="50" t="s">
        <v>27</v>
      </c>
      <c r="I436" s="44">
        <v>1</v>
      </c>
      <c r="J436" s="50"/>
      <c r="P436" s="41">
        <v>1</v>
      </c>
      <c r="Q436" s="50" t="s">
        <v>57</v>
      </c>
    </row>
    <row r="437" spans="2:17" thickBot="1" x14ac:dyDescent="0.3">
      <c r="B437" s="179">
        <v>438</v>
      </c>
      <c r="C437" s="181" t="s">
        <v>792</v>
      </c>
      <c r="D437" s="49" t="s">
        <v>2234</v>
      </c>
      <c r="E437" s="50">
        <v>53</v>
      </c>
      <c r="F437" s="50">
        <v>70</v>
      </c>
      <c r="G437" s="50">
        <v>3</v>
      </c>
      <c r="H437" s="50" t="s">
        <v>27</v>
      </c>
      <c r="I437" s="44">
        <v>1</v>
      </c>
      <c r="J437" s="50"/>
      <c r="P437" s="41">
        <v>1</v>
      </c>
      <c r="Q437" s="50" t="s">
        <v>57</v>
      </c>
    </row>
    <row r="438" spans="2:17" thickBot="1" x14ac:dyDescent="0.3">
      <c r="B438" s="179">
        <v>439</v>
      </c>
      <c r="C438" s="181" t="s">
        <v>2233</v>
      </c>
      <c r="D438" s="49" t="s">
        <v>1698</v>
      </c>
      <c r="E438" s="50">
        <v>53</v>
      </c>
      <c r="F438" s="50">
        <v>121</v>
      </c>
      <c r="G438" s="50">
        <v>7</v>
      </c>
      <c r="H438" s="50" t="s">
        <v>27</v>
      </c>
      <c r="I438" s="44">
        <v>1</v>
      </c>
      <c r="J438" s="50"/>
      <c r="P438" s="41">
        <v>1</v>
      </c>
      <c r="Q438" s="50" t="s">
        <v>57</v>
      </c>
    </row>
    <row r="439" spans="2:17" thickBot="1" x14ac:dyDescent="0.3">
      <c r="B439" s="179">
        <v>440</v>
      </c>
      <c r="C439" s="181" t="s">
        <v>712</v>
      </c>
      <c r="D439" s="49" t="s">
        <v>2984</v>
      </c>
      <c r="E439" s="50">
        <v>53</v>
      </c>
      <c r="F439" s="50">
        <v>57</v>
      </c>
      <c r="G439" s="50">
        <v>15</v>
      </c>
      <c r="H439" s="50" t="s">
        <v>27</v>
      </c>
      <c r="I439" s="44">
        <v>1</v>
      </c>
      <c r="J439" s="50"/>
      <c r="P439" s="41">
        <v>1</v>
      </c>
      <c r="Q439" s="50" t="s">
        <v>57</v>
      </c>
    </row>
    <row r="440" spans="2:17" thickBot="1" x14ac:dyDescent="0.3">
      <c r="B440" s="179">
        <v>441</v>
      </c>
      <c r="C440" s="181" t="s">
        <v>712</v>
      </c>
      <c r="D440" s="49" t="s">
        <v>1127</v>
      </c>
      <c r="E440" s="50">
        <v>53</v>
      </c>
      <c r="F440" s="50">
        <v>161</v>
      </c>
      <c r="G440" s="50">
        <v>13</v>
      </c>
      <c r="H440" s="50" t="s">
        <v>27</v>
      </c>
      <c r="I440" s="44">
        <v>1</v>
      </c>
      <c r="J440" s="50"/>
      <c r="P440" s="41">
        <v>1</v>
      </c>
      <c r="Q440" s="50" t="s">
        <v>57</v>
      </c>
    </row>
    <row r="441" spans="2:17" thickBot="1" x14ac:dyDescent="0.3">
      <c r="B441" s="179">
        <v>442</v>
      </c>
      <c r="C441" s="181" t="s">
        <v>712</v>
      </c>
      <c r="D441" s="49" t="s">
        <v>3031</v>
      </c>
      <c r="E441" s="50">
        <v>53</v>
      </c>
      <c r="F441" s="50">
        <v>145</v>
      </c>
      <c r="G441" s="50">
        <v>7</v>
      </c>
      <c r="H441" s="50" t="s">
        <v>27</v>
      </c>
      <c r="I441" s="44">
        <v>1</v>
      </c>
      <c r="J441" s="50"/>
      <c r="P441" s="41">
        <v>1</v>
      </c>
      <c r="Q441" s="50" t="s">
        <v>57</v>
      </c>
    </row>
    <row r="442" spans="2:17" thickBot="1" x14ac:dyDescent="0.3">
      <c r="B442" s="179">
        <v>443</v>
      </c>
      <c r="C442" s="181" t="s">
        <v>138</v>
      </c>
      <c r="D442" s="49" t="s">
        <v>3010</v>
      </c>
      <c r="E442" s="50">
        <v>53</v>
      </c>
      <c r="F442" s="50">
        <v>100</v>
      </c>
      <c r="G442" s="50">
        <v>2</v>
      </c>
      <c r="H442" s="50" t="s">
        <v>27</v>
      </c>
      <c r="I442" s="44">
        <v>1</v>
      </c>
      <c r="J442" s="50"/>
      <c r="P442" s="41">
        <v>1</v>
      </c>
      <c r="Q442" s="50" t="s">
        <v>57</v>
      </c>
    </row>
    <row r="443" spans="2:17" thickBot="1" x14ac:dyDescent="0.3">
      <c r="B443" s="179">
        <v>444</v>
      </c>
      <c r="C443" s="181" t="s">
        <v>138</v>
      </c>
      <c r="D443" s="49" t="s">
        <v>711</v>
      </c>
      <c r="E443" s="50">
        <v>53</v>
      </c>
      <c r="F443" s="50">
        <v>35</v>
      </c>
      <c r="G443" s="50">
        <v>14</v>
      </c>
      <c r="H443" s="50" t="s">
        <v>27</v>
      </c>
      <c r="I443" s="44">
        <v>1</v>
      </c>
      <c r="J443" s="50"/>
      <c r="P443" s="41">
        <v>1</v>
      </c>
      <c r="Q443" s="50" t="s">
        <v>57</v>
      </c>
    </row>
    <row r="444" spans="2:17" thickBot="1" x14ac:dyDescent="0.3">
      <c r="B444" s="179">
        <v>445</v>
      </c>
      <c r="C444" s="181" t="s">
        <v>138</v>
      </c>
      <c r="D444" s="49" t="s">
        <v>2232</v>
      </c>
      <c r="E444" s="50">
        <v>53</v>
      </c>
      <c r="F444" s="50">
        <v>24</v>
      </c>
      <c r="G444" s="50">
        <v>14</v>
      </c>
      <c r="H444" s="50" t="s">
        <v>27</v>
      </c>
      <c r="I444" s="44">
        <v>1</v>
      </c>
      <c r="J444" s="50"/>
      <c r="P444" s="41">
        <v>1</v>
      </c>
      <c r="Q444" s="50" t="s">
        <v>57</v>
      </c>
    </row>
    <row r="445" spans="2:17" thickBot="1" x14ac:dyDescent="0.3">
      <c r="B445" s="179">
        <v>446</v>
      </c>
      <c r="C445" s="181" t="s">
        <v>659</v>
      </c>
      <c r="D445" s="49" t="s">
        <v>515</v>
      </c>
      <c r="E445" s="50">
        <v>53</v>
      </c>
      <c r="F445" s="50">
        <v>27</v>
      </c>
      <c r="G445" s="50">
        <v>12</v>
      </c>
      <c r="H445" s="50" t="s">
        <v>27</v>
      </c>
      <c r="I445" s="44">
        <v>1</v>
      </c>
      <c r="J445" s="50"/>
      <c r="P445" s="41">
        <v>1</v>
      </c>
      <c r="Q445" s="50" t="s">
        <v>57</v>
      </c>
    </row>
    <row r="446" spans="2:17" thickBot="1" x14ac:dyDescent="0.3">
      <c r="B446" s="179">
        <v>447</v>
      </c>
      <c r="C446" s="181" t="s">
        <v>2231</v>
      </c>
      <c r="D446" s="49" t="s">
        <v>189</v>
      </c>
      <c r="E446" s="50">
        <v>53</v>
      </c>
      <c r="F446" s="50">
        <v>114</v>
      </c>
      <c r="G446" s="50">
        <v>13</v>
      </c>
      <c r="H446" s="50" t="s">
        <v>27</v>
      </c>
      <c r="I446" s="44">
        <v>1</v>
      </c>
      <c r="J446" s="50"/>
      <c r="P446" s="41">
        <v>1</v>
      </c>
      <c r="Q446" s="50" t="s">
        <v>57</v>
      </c>
    </row>
    <row r="447" spans="2:17" thickBot="1" x14ac:dyDescent="0.3">
      <c r="B447" s="179">
        <v>448</v>
      </c>
      <c r="C447" s="181" t="s">
        <v>138</v>
      </c>
      <c r="D447" s="49" t="s">
        <v>2230</v>
      </c>
      <c r="E447" s="50">
        <v>53</v>
      </c>
      <c r="F447" s="50">
        <v>73</v>
      </c>
      <c r="G447" s="50">
        <v>12</v>
      </c>
      <c r="H447" s="50" t="s">
        <v>27</v>
      </c>
      <c r="I447" s="44">
        <v>1</v>
      </c>
      <c r="J447" s="50"/>
      <c r="P447" s="41">
        <v>1</v>
      </c>
      <c r="Q447" s="50" t="s">
        <v>57</v>
      </c>
    </row>
    <row r="448" spans="2:17" thickBot="1" x14ac:dyDescent="0.3">
      <c r="B448" s="179">
        <v>449</v>
      </c>
      <c r="C448" s="181" t="s">
        <v>781</v>
      </c>
      <c r="D448" s="49" t="s">
        <v>829</v>
      </c>
      <c r="E448" s="50">
        <v>53</v>
      </c>
      <c r="F448" s="50">
        <v>3</v>
      </c>
      <c r="G448" s="50">
        <v>14</v>
      </c>
      <c r="H448" s="50" t="s">
        <v>27</v>
      </c>
      <c r="I448" s="44">
        <v>1</v>
      </c>
      <c r="J448" s="50"/>
      <c r="P448" s="41">
        <v>1</v>
      </c>
      <c r="Q448" s="50" t="s">
        <v>57</v>
      </c>
    </row>
    <row r="449" spans="2:17" thickBot="1" x14ac:dyDescent="0.3">
      <c r="B449" s="179">
        <v>450</v>
      </c>
      <c r="C449" s="181" t="s">
        <v>781</v>
      </c>
      <c r="D449" s="49" t="s">
        <v>2229</v>
      </c>
      <c r="E449" s="50">
        <v>53</v>
      </c>
      <c r="F449" s="50">
        <v>55</v>
      </c>
      <c r="G449" s="50">
        <v>16</v>
      </c>
      <c r="H449" s="50" t="s">
        <v>27</v>
      </c>
      <c r="I449" s="44">
        <v>1</v>
      </c>
      <c r="J449" s="50"/>
      <c r="P449" s="41">
        <v>1</v>
      </c>
      <c r="Q449" s="50" t="s">
        <v>57</v>
      </c>
    </row>
    <row r="450" spans="2:17" thickBot="1" x14ac:dyDescent="0.3">
      <c r="B450" s="179">
        <v>451</v>
      </c>
      <c r="C450" s="181" t="s">
        <v>662</v>
      </c>
      <c r="D450" s="49" t="s">
        <v>295</v>
      </c>
      <c r="E450" s="50">
        <v>53</v>
      </c>
      <c r="F450" s="50">
        <v>37</v>
      </c>
      <c r="G450" s="50">
        <v>15</v>
      </c>
      <c r="H450" s="50" t="s">
        <v>27</v>
      </c>
      <c r="I450" s="44">
        <v>1</v>
      </c>
      <c r="J450" s="50"/>
      <c r="P450" s="41">
        <v>1</v>
      </c>
      <c r="Q450" s="50" t="s">
        <v>54</v>
      </c>
    </row>
    <row r="451" spans="2:17" thickBot="1" x14ac:dyDescent="0.3">
      <c r="B451" s="179">
        <v>452</v>
      </c>
      <c r="C451" s="181" t="s">
        <v>662</v>
      </c>
      <c r="D451" s="49" t="s">
        <v>2082</v>
      </c>
      <c r="E451" s="50">
        <v>53</v>
      </c>
      <c r="F451" s="50">
        <v>49</v>
      </c>
      <c r="G451" s="50">
        <v>4</v>
      </c>
      <c r="H451" s="50" t="s">
        <v>27</v>
      </c>
      <c r="I451" s="44">
        <v>1</v>
      </c>
      <c r="J451" s="50"/>
      <c r="P451" s="41">
        <v>1</v>
      </c>
      <c r="Q451" s="50" t="s">
        <v>54</v>
      </c>
    </row>
    <row r="452" spans="2:17" thickBot="1" x14ac:dyDescent="0.3">
      <c r="B452" s="179">
        <v>453</v>
      </c>
      <c r="C452" s="181" t="s">
        <v>662</v>
      </c>
      <c r="D452" s="49" t="s">
        <v>2073</v>
      </c>
      <c r="E452" s="50">
        <v>53</v>
      </c>
      <c r="F452" s="50">
        <v>38</v>
      </c>
      <c r="G452" s="50">
        <v>17</v>
      </c>
      <c r="H452" s="50" t="s">
        <v>27</v>
      </c>
      <c r="I452" s="44">
        <v>1</v>
      </c>
      <c r="J452" s="50"/>
      <c r="P452" s="41">
        <v>1</v>
      </c>
      <c r="Q452" s="50" t="s">
        <v>54</v>
      </c>
    </row>
    <row r="453" spans="2:17" thickBot="1" x14ac:dyDescent="0.3">
      <c r="B453" s="179">
        <v>454</v>
      </c>
      <c r="C453" s="181" t="s">
        <v>138</v>
      </c>
      <c r="D453" s="49" t="s">
        <v>999</v>
      </c>
      <c r="E453" s="50">
        <v>53</v>
      </c>
      <c r="F453" s="50">
        <v>106</v>
      </c>
      <c r="G453" s="50">
        <v>1</v>
      </c>
      <c r="H453" s="50" t="s">
        <v>27</v>
      </c>
      <c r="I453" s="44">
        <v>1</v>
      </c>
      <c r="J453" s="50"/>
      <c r="P453" s="41">
        <v>1</v>
      </c>
      <c r="Q453" s="50" t="s">
        <v>54</v>
      </c>
    </row>
    <row r="454" spans="2:17" thickBot="1" x14ac:dyDescent="0.3">
      <c r="B454" s="179">
        <v>455</v>
      </c>
      <c r="C454" s="181" t="s">
        <v>138</v>
      </c>
      <c r="D454" s="49" t="s">
        <v>2223</v>
      </c>
      <c r="E454" s="50">
        <v>53</v>
      </c>
      <c r="F454" s="50">
        <v>49</v>
      </c>
      <c r="G454" s="50">
        <v>15</v>
      </c>
      <c r="H454" s="50" t="s">
        <v>27</v>
      </c>
      <c r="I454" s="44">
        <v>1</v>
      </c>
      <c r="J454" s="50"/>
      <c r="P454" s="41">
        <v>1</v>
      </c>
      <c r="Q454" s="50" t="s">
        <v>54</v>
      </c>
    </row>
    <row r="455" spans="2:17" thickBot="1" x14ac:dyDescent="0.3">
      <c r="B455" s="179">
        <v>456</v>
      </c>
      <c r="C455" s="181" t="s">
        <v>138</v>
      </c>
      <c r="D455" s="49" t="s">
        <v>2222</v>
      </c>
      <c r="E455" s="50">
        <v>53</v>
      </c>
      <c r="F455" s="50">
        <v>101</v>
      </c>
      <c r="G455" s="50">
        <v>14</v>
      </c>
      <c r="H455" s="50" t="s">
        <v>27</v>
      </c>
      <c r="I455" s="44">
        <v>1</v>
      </c>
      <c r="J455" s="50"/>
      <c r="P455" s="41">
        <v>1</v>
      </c>
      <c r="Q455" s="50" t="s">
        <v>54</v>
      </c>
    </row>
    <row r="456" spans="2:17" thickBot="1" x14ac:dyDescent="0.3">
      <c r="B456" s="179">
        <v>457</v>
      </c>
      <c r="C456" s="181" t="s">
        <v>138</v>
      </c>
      <c r="D456" s="49" t="s">
        <v>2221</v>
      </c>
      <c r="E456" s="50">
        <v>53</v>
      </c>
      <c r="F456" s="50">
        <v>37</v>
      </c>
      <c r="G456" s="50">
        <v>18</v>
      </c>
      <c r="H456" s="50" t="s">
        <v>27</v>
      </c>
      <c r="I456" s="44">
        <v>1</v>
      </c>
      <c r="J456" s="50"/>
      <c r="P456" s="41">
        <v>1</v>
      </c>
      <c r="Q456" s="50" t="s">
        <v>54</v>
      </c>
    </row>
    <row r="457" spans="2:17" thickBot="1" x14ac:dyDescent="0.3">
      <c r="B457" s="179">
        <v>458</v>
      </c>
      <c r="C457" s="181" t="s">
        <v>883</v>
      </c>
      <c r="D457" s="49" t="s">
        <v>532</v>
      </c>
      <c r="E457" s="50">
        <v>53</v>
      </c>
      <c r="F457" s="50">
        <v>59</v>
      </c>
      <c r="G457" s="50">
        <v>2</v>
      </c>
      <c r="H457" s="50" t="s">
        <v>27</v>
      </c>
      <c r="I457" s="44">
        <v>1</v>
      </c>
      <c r="J457" s="50"/>
      <c r="P457" s="41">
        <v>1</v>
      </c>
      <c r="Q457" s="50" t="s">
        <v>54</v>
      </c>
    </row>
    <row r="458" spans="2:17" thickBot="1" x14ac:dyDescent="0.3">
      <c r="B458" s="179">
        <v>459</v>
      </c>
      <c r="C458" s="181" t="s">
        <v>664</v>
      </c>
      <c r="D458" s="49" t="s">
        <v>2224</v>
      </c>
      <c r="E458" s="50">
        <v>53</v>
      </c>
      <c r="F458" s="50">
        <v>42</v>
      </c>
      <c r="G458" s="50">
        <v>13</v>
      </c>
      <c r="H458" s="50" t="s">
        <v>27</v>
      </c>
      <c r="I458" s="44">
        <v>1</v>
      </c>
      <c r="J458" s="50"/>
      <c r="P458" s="41">
        <v>1</v>
      </c>
      <c r="Q458" s="50" t="s">
        <v>54</v>
      </c>
    </row>
    <row r="459" spans="2:17" ht="38.25" thickBot="1" x14ac:dyDescent="0.3">
      <c r="B459" s="179">
        <v>460</v>
      </c>
      <c r="C459" s="181" t="s">
        <v>2225</v>
      </c>
      <c r="D459" s="49" t="s">
        <v>3063</v>
      </c>
      <c r="E459" s="50">
        <v>53</v>
      </c>
      <c r="F459" s="50">
        <v>22</v>
      </c>
      <c r="G459" s="50">
        <v>16</v>
      </c>
      <c r="H459" s="50" t="s">
        <v>27</v>
      </c>
      <c r="I459" s="44">
        <v>1</v>
      </c>
      <c r="J459" s="50"/>
      <c r="P459" s="41">
        <v>1</v>
      </c>
      <c r="Q459" s="50" t="s">
        <v>54</v>
      </c>
    </row>
    <row r="460" spans="2:17" thickBot="1" x14ac:dyDescent="0.3">
      <c r="B460" s="179">
        <v>461</v>
      </c>
      <c r="C460" s="181" t="s">
        <v>2227</v>
      </c>
      <c r="D460" s="49" t="s">
        <v>2226</v>
      </c>
      <c r="E460" s="50">
        <v>53</v>
      </c>
      <c r="F460" s="50">
        <v>179</v>
      </c>
      <c r="G460" s="50">
        <v>3</v>
      </c>
      <c r="H460" s="50" t="s">
        <v>27</v>
      </c>
      <c r="I460" s="44">
        <v>1</v>
      </c>
      <c r="J460" s="50"/>
      <c r="P460" s="41">
        <v>1</v>
      </c>
      <c r="Q460" s="50" t="s">
        <v>54</v>
      </c>
    </row>
    <row r="461" spans="2:17" thickBot="1" x14ac:dyDescent="0.3">
      <c r="B461" s="179">
        <v>462</v>
      </c>
      <c r="C461" s="181" t="s">
        <v>122</v>
      </c>
      <c r="D461" s="49" t="s">
        <v>2228</v>
      </c>
      <c r="E461" s="50">
        <v>53</v>
      </c>
      <c r="F461" s="50">
        <v>7</v>
      </c>
      <c r="G461" s="50">
        <v>16</v>
      </c>
      <c r="H461" s="50" t="s">
        <v>27</v>
      </c>
      <c r="I461" s="44">
        <v>1</v>
      </c>
      <c r="J461" s="50"/>
      <c r="P461" s="41">
        <v>1</v>
      </c>
      <c r="Q461" s="50" t="s">
        <v>54</v>
      </c>
    </row>
    <row r="462" spans="2:17" thickBot="1" x14ac:dyDescent="0.3">
      <c r="B462" s="179">
        <v>463</v>
      </c>
      <c r="C462" s="181" t="s">
        <v>122</v>
      </c>
      <c r="D462" s="49" t="s">
        <v>496</v>
      </c>
      <c r="E462" s="50">
        <v>53</v>
      </c>
      <c r="F462" s="50">
        <v>69</v>
      </c>
      <c r="G462" s="50">
        <v>14</v>
      </c>
      <c r="H462" s="50" t="s">
        <v>27</v>
      </c>
      <c r="I462" s="44">
        <v>1</v>
      </c>
      <c r="J462" s="50"/>
      <c r="P462" s="41">
        <v>1</v>
      </c>
      <c r="Q462" s="50" t="s">
        <v>54</v>
      </c>
    </row>
    <row r="463" spans="2:17" ht="38.25" thickBot="1" x14ac:dyDescent="0.3">
      <c r="B463" s="179">
        <v>464</v>
      </c>
      <c r="C463" s="181" t="s">
        <v>143</v>
      </c>
      <c r="D463" s="49" t="s">
        <v>3047</v>
      </c>
      <c r="E463" s="50">
        <v>53</v>
      </c>
      <c r="F463" s="50">
        <v>180</v>
      </c>
      <c r="G463" s="50">
        <v>5</v>
      </c>
      <c r="H463" s="50" t="s">
        <v>27</v>
      </c>
      <c r="I463" s="44">
        <v>1</v>
      </c>
      <c r="J463" s="50"/>
      <c r="P463" s="41">
        <v>1</v>
      </c>
      <c r="Q463" s="50" t="s">
        <v>54</v>
      </c>
    </row>
    <row r="464" spans="2:17" thickBot="1" x14ac:dyDescent="0.3">
      <c r="B464" s="179">
        <v>465</v>
      </c>
      <c r="C464" s="181" t="s">
        <v>143</v>
      </c>
      <c r="D464" s="49" t="s">
        <v>2296</v>
      </c>
      <c r="E464" s="50">
        <v>53</v>
      </c>
      <c r="F464" s="50">
        <v>34</v>
      </c>
      <c r="G464" s="50">
        <v>16</v>
      </c>
      <c r="H464" s="50" t="s">
        <v>27</v>
      </c>
      <c r="I464" s="44">
        <v>1</v>
      </c>
      <c r="J464" s="50"/>
      <c r="P464" s="41">
        <v>1</v>
      </c>
      <c r="Q464" s="50" t="s">
        <v>55</v>
      </c>
    </row>
    <row r="465" spans="2:17" thickBot="1" x14ac:dyDescent="0.3">
      <c r="B465" s="179">
        <v>466</v>
      </c>
      <c r="C465" s="181" t="s">
        <v>143</v>
      </c>
      <c r="D465" s="49" t="s">
        <v>2295</v>
      </c>
      <c r="E465" s="50">
        <v>53</v>
      </c>
      <c r="F465" s="50">
        <v>25</v>
      </c>
      <c r="G465" s="50">
        <v>14</v>
      </c>
      <c r="H465" s="50" t="s">
        <v>27</v>
      </c>
      <c r="I465" s="44">
        <v>1</v>
      </c>
      <c r="J465" s="50"/>
      <c r="P465" s="41">
        <v>1</v>
      </c>
      <c r="Q465" s="50" t="s">
        <v>55</v>
      </c>
    </row>
    <row r="466" spans="2:17" thickBot="1" x14ac:dyDescent="0.3">
      <c r="B466" s="179">
        <v>467</v>
      </c>
      <c r="C466" s="181" t="s">
        <v>143</v>
      </c>
      <c r="D466" s="49" t="s">
        <v>2294</v>
      </c>
      <c r="E466" s="50">
        <v>53</v>
      </c>
      <c r="F466" s="50">
        <v>59</v>
      </c>
      <c r="G466" s="50">
        <v>17</v>
      </c>
      <c r="H466" s="50" t="s">
        <v>27</v>
      </c>
      <c r="I466" s="44">
        <v>1</v>
      </c>
      <c r="J466" s="50"/>
      <c r="P466" s="41">
        <v>1</v>
      </c>
      <c r="Q466" s="50" t="s">
        <v>55</v>
      </c>
    </row>
    <row r="467" spans="2:17" thickBot="1" x14ac:dyDescent="0.3">
      <c r="B467" s="179">
        <v>468</v>
      </c>
      <c r="C467" s="181" t="s">
        <v>2293</v>
      </c>
      <c r="D467" s="49" t="s">
        <v>689</v>
      </c>
      <c r="E467" s="50">
        <v>53</v>
      </c>
      <c r="F467" s="50">
        <v>45</v>
      </c>
      <c r="G467" s="50">
        <v>14</v>
      </c>
      <c r="H467" s="50" t="s">
        <v>27</v>
      </c>
      <c r="I467" s="44">
        <v>1</v>
      </c>
      <c r="J467" s="50"/>
      <c r="P467" s="41">
        <v>1</v>
      </c>
      <c r="Q467" s="50" t="s">
        <v>55</v>
      </c>
    </row>
    <row r="468" spans="2:17" thickBot="1" x14ac:dyDescent="0.3">
      <c r="B468" s="179">
        <v>469</v>
      </c>
      <c r="C468" s="181" t="s">
        <v>166</v>
      </c>
      <c r="D468" s="49" t="s">
        <v>3017</v>
      </c>
      <c r="E468" s="50">
        <v>53</v>
      </c>
      <c r="F468" s="50">
        <v>100</v>
      </c>
      <c r="G468" s="50">
        <v>6</v>
      </c>
      <c r="H468" s="50" t="s">
        <v>27</v>
      </c>
      <c r="I468" s="44">
        <v>1</v>
      </c>
      <c r="J468" s="50"/>
      <c r="P468" s="41">
        <v>1</v>
      </c>
      <c r="Q468" s="50" t="s">
        <v>55</v>
      </c>
    </row>
    <row r="469" spans="2:17" thickBot="1" x14ac:dyDescent="0.3">
      <c r="B469" s="179">
        <v>470</v>
      </c>
      <c r="C469" s="181" t="s">
        <v>166</v>
      </c>
      <c r="D469" s="49" t="s">
        <v>2292</v>
      </c>
      <c r="E469" s="50">
        <v>53</v>
      </c>
      <c r="F469" s="50">
        <v>109</v>
      </c>
      <c r="G469" s="50">
        <v>7</v>
      </c>
      <c r="H469" s="50" t="s">
        <v>27</v>
      </c>
      <c r="I469" s="44">
        <v>1</v>
      </c>
      <c r="J469" s="50"/>
      <c r="P469" s="41">
        <v>1</v>
      </c>
      <c r="Q469" s="50" t="s">
        <v>55</v>
      </c>
    </row>
    <row r="470" spans="2:17" thickBot="1" x14ac:dyDescent="0.3">
      <c r="B470" s="179">
        <v>471</v>
      </c>
      <c r="C470" s="181" t="s">
        <v>166</v>
      </c>
      <c r="D470" s="49" t="s">
        <v>2291</v>
      </c>
      <c r="E470" s="50">
        <v>53</v>
      </c>
      <c r="F470" s="50">
        <v>115</v>
      </c>
      <c r="G470" s="50">
        <v>17</v>
      </c>
      <c r="H470" s="50" t="s">
        <v>27</v>
      </c>
      <c r="I470" s="44">
        <v>1</v>
      </c>
      <c r="J470" s="50"/>
      <c r="P470" s="41">
        <v>1</v>
      </c>
      <c r="Q470" s="50" t="s">
        <v>55</v>
      </c>
    </row>
    <row r="471" spans="2:17" thickBot="1" x14ac:dyDescent="0.3">
      <c r="B471" s="179">
        <v>472</v>
      </c>
      <c r="C471" s="181" t="s">
        <v>166</v>
      </c>
      <c r="D471" s="49" t="s">
        <v>2964</v>
      </c>
      <c r="E471" s="50">
        <v>53</v>
      </c>
      <c r="F471" s="50">
        <v>23</v>
      </c>
      <c r="G471" s="50">
        <v>17</v>
      </c>
      <c r="H471" s="50" t="s">
        <v>27</v>
      </c>
      <c r="I471" s="44">
        <v>1</v>
      </c>
      <c r="J471" s="50"/>
      <c r="P471" s="41">
        <v>1</v>
      </c>
      <c r="Q471" s="50" t="s">
        <v>55</v>
      </c>
    </row>
    <row r="472" spans="2:17" thickBot="1" x14ac:dyDescent="0.3">
      <c r="B472" s="179">
        <v>473</v>
      </c>
      <c r="C472" s="181" t="s">
        <v>166</v>
      </c>
      <c r="D472" s="49" t="s">
        <v>2290</v>
      </c>
      <c r="E472" s="50">
        <v>53</v>
      </c>
      <c r="F472" s="50">
        <v>119</v>
      </c>
      <c r="G472" s="50">
        <v>6</v>
      </c>
      <c r="H472" s="50" t="s">
        <v>27</v>
      </c>
      <c r="I472" s="44">
        <v>1</v>
      </c>
      <c r="J472" s="50"/>
      <c r="P472" s="41">
        <v>1</v>
      </c>
      <c r="Q472" s="50" t="s">
        <v>55</v>
      </c>
    </row>
    <row r="473" spans="2:17" thickBot="1" x14ac:dyDescent="0.3">
      <c r="B473" s="179">
        <v>474</v>
      </c>
      <c r="C473" s="181" t="s">
        <v>166</v>
      </c>
      <c r="D473" s="49" t="s">
        <v>2149</v>
      </c>
      <c r="E473" s="50">
        <v>53</v>
      </c>
      <c r="F473" s="50">
        <v>30</v>
      </c>
      <c r="G473" s="50">
        <v>14</v>
      </c>
      <c r="H473" s="50" t="s">
        <v>27</v>
      </c>
      <c r="I473" s="44">
        <v>1</v>
      </c>
      <c r="J473" s="50"/>
      <c r="P473" s="41">
        <v>1</v>
      </c>
      <c r="Q473" s="50" t="s">
        <v>104</v>
      </c>
    </row>
    <row r="474" spans="2:17" thickBot="1" x14ac:dyDescent="0.3">
      <c r="B474" s="179">
        <v>475</v>
      </c>
      <c r="C474" s="181" t="s">
        <v>677</v>
      </c>
      <c r="D474" s="49" t="s">
        <v>2289</v>
      </c>
      <c r="E474" s="50">
        <v>53</v>
      </c>
      <c r="F474" s="50">
        <v>100</v>
      </c>
      <c r="G474" s="50">
        <v>8</v>
      </c>
      <c r="H474" s="50" t="s">
        <v>27</v>
      </c>
      <c r="I474" s="44">
        <v>1</v>
      </c>
      <c r="J474" s="50"/>
      <c r="P474" s="41">
        <v>1</v>
      </c>
      <c r="Q474" s="50" t="s">
        <v>90</v>
      </c>
    </row>
    <row r="475" spans="2:17" thickBot="1" x14ac:dyDescent="0.3">
      <c r="B475" s="179">
        <v>476</v>
      </c>
      <c r="C475" s="181" t="s">
        <v>677</v>
      </c>
      <c r="D475" s="49" t="s">
        <v>875</v>
      </c>
      <c r="E475" s="50">
        <v>53</v>
      </c>
      <c r="F475" s="50">
        <v>45</v>
      </c>
      <c r="G475" s="50">
        <v>16</v>
      </c>
      <c r="H475" s="50" t="s">
        <v>27</v>
      </c>
      <c r="I475" s="44">
        <v>1</v>
      </c>
      <c r="J475" s="50"/>
      <c r="P475" s="41">
        <v>1</v>
      </c>
      <c r="Q475" s="50" t="s">
        <v>105</v>
      </c>
    </row>
    <row r="476" spans="2:17" thickBot="1" x14ac:dyDescent="0.3">
      <c r="B476" s="179">
        <v>477</v>
      </c>
      <c r="C476" s="181" t="s">
        <v>402</v>
      </c>
      <c r="D476" s="49" t="s">
        <v>2288</v>
      </c>
      <c r="E476" s="50">
        <v>53</v>
      </c>
      <c r="F476" s="50">
        <v>160</v>
      </c>
      <c r="G476" s="50">
        <v>13</v>
      </c>
      <c r="H476" s="50" t="s">
        <v>27</v>
      </c>
      <c r="I476" s="44">
        <v>1</v>
      </c>
      <c r="J476" s="50"/>
      <c r="P476" s="41">
        <v>1</v>
      </c>
      <c r="Q476" s="50" t="s">
        <v>105</v>
      </c>
    </row>
    <row r="477" spans="2:17" thickBot="1" x14ac:dyDescent="0.3">
      <c r="B477" s="179">
        <v>478</v>
      </c>
      <c r="C477" s="181" t="s">
        <v>682</v>
      </c>
      <c r="D477" s="49" t="s">
        <v>2287</v>
      </c>
      <c r="E477" s="50">
        <v>53</v>
      </c>
      <c r="F477" s="50">
        <v>2</v>
      </c>
      <c r="G477" s="50">
        <v>12</v>
      </c>
      <c r="H477" s="50" t="s">
        <v>27</v>
      </c>
      <c r="I477" s="44">
        <v>1</v>
      </c>
      <c r="J477" s="50"/>
      <c r="P477" s="41">
        <v>1</v>
      </c>
      <c r="Q477" s="50" t="s">
        <v>106</v>
      </c>
    </row>
    <row r="478" spans="2:17" thickBot="1" x14ac:dyDescent="0.3">
      <c r="B478" s="179">
        <v>479</v>
      </c>
      <c r="C478" s="181" t="s">
        <v>280</v>
      </c>
      <c r="D478" s="49" t="s">
        <v>2969</v>
      </c>
      <c r="E478" s="50">
        <v>53</v>
      </c>
      <c r="F478" s="50">
        <v>23</v>
      </c>
      <c r="G478" s="50">
        <v>12</v>
      </c>
      <c r="H478" s="50" t="s">
        <v>27</v>
      </c>
      <c r="I478" s="44">
        <v>1</v>
      </c>
      <c r="J478" s="50"/>
      <c r="P478" s="41">
        <v>1</v>
      </c>
      <c r="Q478" s="50" t="s">
        <v>106</v>
      </c>
    </row>
    <row r="479" spans="2:17" thickBot="1" x14ac:dyDescent="0.3">
      <c r="B479" s="179">
        <v>480</v>
      </c>
      <c r="C479" s="181" t="s">
        <v>280</v>
      </c>
      <c r="D479" s="49" t="s">
        <v>3032</v>
      </c>
      <c r="E479" s="50">
        <v>53</v>
      </c>
      <c r="F479" s="50">
        <v>122</v>
      </c>
      <c r="G479" s="50">
        <v>10</v>
      </c>
      <c r="H479" s="50" t="s">
        <v>27</v>
      </c>
      <c r="I479" s="44">
        <v>1</v>
      </c>
      <c r="J479" s="50"/>
      <c r="P479" s="41">
        <v>1</v>
      </c>
      <c r="Q479" s="50" t="s">
        <v>106</v>
      </c>
    </row>
    <row r="480" spans="2:17" ht="21" customHeight="1" thickBot="1" x14ac:dyDescent="0.3">
      <c r="B480" s="179">
        <v>481</v>
      </c>
      <c r="C480" s="181" t="s">
        <v>280</v>
      </c>
      <c r="D480" s="49" t="s">
        <v>1500</v>
      </c>
      <c r="E480" s="50">
        <v>53</v>
      </c>
      <c r="F480" s="50" t="s">
        <v>2985</v>
      </c>
      <c r="G480" s="50">
        <v>15</v>
      </c>
      <c r="H480" s="50" t="s">
        <v>27</v>
      </c>
      <c r="I480" s="44">
        <v>1</v>
      </c>
      <c r="J480" s="50"/>
      <c r="P480" s="41">
        <v>1</v>
      </c>
      <c r="Q480" s="50" t="s">
        <v>106</v>
      </c>
    </row>
    <row r="481" spans="2:17" thickBot="1" x14ac:dyDescent="0.3">
      <c r="B481" s="179">
        <v>482</v>
      </c>
      <c r="C481" s="181" t="s">
        <v>280</v>
      </c>
      <c r="D481" s="49" t="s">
        <v>2286</v>
      </c>
      <c r="E481" s="50">
        <v>53</v>
      </c>
      <c r="F481" s="50">
        <v>74</v>
      </c>
      <c r="G481" s="50">
        <v>1</v>
      </c>
      <c r="H481" s="50" t="s">
        <v>27</v>
      </c>
      <c r="I481" s="44">
        <v>1</v>
      </c>
      <c r="J481" s="50"/>
      <c r="P481" s="41">
        <v>1</v>
      </c>
      <c r="Q481" s="50" t="s">
        <v>106</v>
      </c>
    </row>
    <row r="482" spans="2:17" thickBot="1" x14ac:dyDescent="0.3">
      <c r="B482" s="179">
        <v>483</v>
      </c>
      <c r="C482" s="181" t="s">
        <v>2285</v>
      </c>
      <c r="D482" s="49" t="s">
        <v>2967</v>
      </c>
      <c r="E482" s="50">
        <v>53</v>
      </c>
      <c r="F482" s="50">
        <v>22</v>
      </c>
      <c r="G482" s="50">
        <v>12</v>
      </c>
      <c r="H482" s="50" t="s">
        <v>27</v>
      </c>
      <c r="I482" s="44">
        <v>1</v>
      </c>
      <c r="J482" s="50"/>
      <c r="P482" s="41">
        <v>1</v>
      </c>
      <c r="Q482" s="50" t="s">
        <v>106</v>
      </c>
    </row>
    <row r="483" spans="2:17" thickBot="1" x14ac:dyDescent="0.3">
      <c r="B483" s="179">
        <v>484</v>
      </c>
      <c r="C483" s="181" t="s">
        <v>960</v>
      </c>
      <c r="D483" s="49" t="s">
        <v>2284</v>
      </c>
      <c r="E483" s="50">
        <v>53</v>
      </c>
      <c r="F483" s="50">
        <v>24</v>
      </c>
      <c r="G483" s="50">
        <v>14</v>
      </c>
      <c r="H483" s="50" t="s">
        <v>27</v>
      </c>
      <c r="I483" s="44">
        <v>1</v>
      </c>
      <c r="J483" s="50"/>
      <c r="P483" s="41">
        <v>1</v>
      </c>
      <c r="Q483" s="50" t="s">
        <v>106</v>
      </c>
    </row>
    <row r="484" spans="2:17" thickBot="1" x14ac:dyDescent="0.3">
      <c r="B484" s="179">
        <v>485</v>
      </c>
      <c r="C484" s="181" t="s">
        <v>270</v>
      </c>
      <c r="D484" s="49" t="s">
        <v>2283</v>
      </c>
      <c r="E484" s="50">
        <v>53</v>
      </c>
      <c r="F484" s="50">
        <v>50</v>
      </c>
      <c r="G484" s="50">
        <v>15</v>
      </c>
      <c r="H484" s="50" t="s">
        <v>27</v>
      </c>
      <c r="I484" s="44">
        <v>1</v>
      </c>
      <c r="J484" s="50"/>
      <c r="P484" s="41">
        <v>1</v>
      </c>
      <c r="Q484" s="50" t="s">
        <v>55</v>
      </c>
    </row>
    <row r="485" spans="2:17" thickBot="1" x14ac:dyDescent="0.3">
      <c r="B485" s="179">
        <v>486</v>
      </c>
      <c r="C485" s="181" t="s">
        <v>270</v>
      </c>
      <c r="D485" s="49" t="s">
        <v>2282</v>
      </c>
      <c r="E485" s="50">
        <v>53</v>
      </c>
      <c r="F485" s="50">
        <v>39</v>
      </c>
      <c r="G485" s="50">
        <v>18</v>
      </c>
      <c r="H485" s="50" t="s">
        <v>27</v>
      </c>
      <c r="I485" s="44">
        <v>1</v>
      </c>
      <c r="J485" s="50"/>
      <c r="P485" s="41">
        <v>1</v>
      </c>
      <c r="Q485" s="50" t="s">
        <v>36</v>
      </c>
    </row>
    <row r="486" spans="2:17" thickBot="1" x14ac:dyDescent="0.3">
      <c r="B486" s="179">
        <v>487</v>
      </c>
      <c r="C486" s="181" t="s">
        <v>1181</v>
      </c>
      <c r="D486" s="49" t="s">
        <v>1038</v>
      </c>
      <c r="E486" s="50">
        <v>53</v>
      </c>
      <c r="F486" s="50">
        <v>66</v>
      </c>
      <c r="G486" s="50">
        <v>16</v>
      </c>
      <c r="H486" s="50" t="s">
        <v>27</v>
      </c>
      <c r="I486" s="44">
        <v>1</v>
      </c>
      <c r="J486" s="50"/>
      <c r="P486" s="41">
        <v>1</v>
      </c>
      <c r="Q486" s="50" t="s">
        <v>36</v>
      </c>
    </row>
    <row r="487" spans="2:17" thickBot="1" x14ac:dyDescent="0.3">
      <c r="B487" s="179">
        <v>488</v>
      </c>
      <c r="C487" s="181" t="s">
        <v>2143</v>
      </c>
      <c r="D487" s="49" t="s">
        <v>2962</v>
      </c>
      <c r="E487" s="50">
        <v>53</v>
      </c>
      <c r="F487" s="50">
        <v>29</v>
      </c>
      <c r="G487" s="50">
        <v>18</v>
      </c>
      <c r="H487" s="50" t="s">
        <v>27</v>
      </c>
      <c r="I487" s="44">
        <v>1</v>
      </c>
      <c r="J487" s="50"/>
      <c r="P487" s="41">
        <v>1</v>
      </c>
      <c r="Q487" s="50" t="s">
        <v>36</v>
      </c>
    </row>
    <row r="488" spans="2:17" thickBot="1" x14ac:dyDescent="0.3">
      <c r="B488" s="179">
        <v>489</v>
      </c>
      <c r="C488" s="181" t="s">
        <v>697</v>
      </c>
      <c r="D488" s="49" t="s">
        <v>2204</v>
      </c>
      <c r="E488" s="50">
        <v>53</v>
      </c>
      <c r="F488" s="50">
        <v>175</v>
      </c>
      <c r="G488" s="50">
        <v>13</v>
      </c>
      <c r="H488" s="50" t="s">
        <v>27</v>
      </c>
      <c r="I488" s="44">
        <v>1</v>
      </c>
      <c r="J488" s="50"/>
      <c r="P488" s="41">
        <v>1</v>
      </c>
      <c r="Q488" s="50" t="s">
        <v>36</v>
      </c>
    </row>
    <row r="489" spans="2:17" thickBot="1" x14ac:dyDescent="0.3">
      <c r="B489" s="179">
        <v>490</v>
      </c>
      <c r="C489" s="181" t="s">
        <v>918</v>
      </c>
      <c r="D489" s="49" t="s">
        <v>2167</v>
      </c>
      <c r="E489" s="50">
        <v>53</v>
      </c>
      <c r="F489" s="50">
        <v>112</v>
      </c>
      <c r="G489" s="50">
        <v>18</v>
      </c>
      <c r="H489" s="50" t="s">
        <v>27</v>
      </c>
      <c r="I489" s="44">
        <v>1</v>
      </c>
      <c r="J489" s="50"/>
      <c r="P489" s="41">
        <v>1</v>
      </c>
      <c r="Q489" s="50" t="s">
        <v>36</v>
      </c>
    </row>
    <row r="490" spans="2:17" thickBot="1" x14ac:dyDescent="0.3">
      <c r="B490" s="179">
        <v>491</v>
      </c>
      <c r="C490" s="181" t="s">
        <v>1244</v>
      </c>
      <c r="D490" s="49" t="s">
        <v>2281</v>
      </c>
      <c r="E490" s="50">
        <v>53</v>
      </c>
      <c r="F490" s="50">
        <v>100</v>
      </c>
      <c r="G490" s="50">
        <v>16</v>
      </c>
      <c r="H490" s="50" t="s">
        <v>26</v>
      </c>
      <c r="I490" s="44">
        <v>0</v>
      </c>
      <c r="J490" s="50">
        <v>1</v>
      </c>
      <c r="M490" s="40">
        <v>1</v>
      </c>
      <c r="P490" s="41">
        <v>0</v>
      </c>
      <c r="Q490" s="50" t="s">
        <v>36</v>
      </c>
    </row>
    <row r="491" spans="2:17" thickBot="1" x14ac:dyDescent="0.3">
      <c r="B491" s="179">
        <v>492</v>
      </c>
      <c r="C491" s="181" t="s">
        <v>1369</v>
      </c>
      <c r="D491" s="49" t="s">
        <v>2280</v>
      </c>
      <c r="E491" s="50">
        <v>53</v>
      </c>
      <c r="F491" s="50">
        <v>65</v>
      </c>
      <c r="G491" s="50">
        <v>2</v>
      </c>
      <c r="H491" s="50" t="s">
        <v>27</v>
      </c>
      <c r="I491" s="44">
        <v>1</v>
      </c>
      <c r="J491" s="50"/>
      <c r="P491" s="41">
        <v>1</v>
      </c>
      <c r="Q491" s="50"/>
    </row>
    <row r="492" spans="2:17" thickBot="1" x14ac:dyDescent="0.3">
      <c r="B492" s="179">
        <v>493</v>
      </c>
      <c r="C492" s="181" t="s">
        <v>205</v>
      </c>
      <c r="D492" s="49" t="s">
        <v>2279</v>
      </c>
      <c r="E492" s="50">
        <v>53</v>
      </c>
      <c r="F492" s="50">
        <v>155</v>
      </c>
      <c r="G492" s="50">
        <v>13</v>
      </c>
      <c r="H492" s="50" t="s">
        <v>27</v>
      </c>
      <c r="I492" s="44">
        <v>1</v>
      </c>
      <c r="J492" s="50"/>
      <c r="P492" s="41">
        <v>1</v>
      </c>
      <c r="Q492" s="50"/>
    </row>
    <row r="493" spans="2:17" ht="21.75" customHeight="1" thickBot="1" x14ac:dyDescent="0.3">
      <c r="B493" s="179">
        <v>494</v>
      </c>
      <c r="C493" s="188" t="s">
        <v>2278</v>
      </c>
      <c r="D493" s="51" t="s">
        <v>532</v>
      </c>
      <c r="E493" s="86">
        <v>53</v>
      </c>
      <c r="F493" s="86">
        <v>82</v>
      </c>
      <c r="G493" s="86">
        <v>1</v>
      </c>
      <c r="H493" s="86" t="s">
        <v>27</v>
      </c>
      <c r="I493" s="190">
        <v>1</v>
      </c>
      <c r="J493" s="86"/>
      <c r="K493" s="191"/>
      <c r="L493" s="191"/>
      <c r="M493" s="191"/>
      <c r="N493" s="191"/>
      <c r="O493" s="191"/>
      <c r="P493" s="191"/>
      <c r="Q493" s="86" t="s">
        <v>427</v>
      </c>
    </row>
    <row r="494" spans="2:17" thickBot="1" x14ac:dyDescent="0.3">
      <c r="B494" s="179">
        <v>495</v>
      </c>
      <c r="C494" s="181" t="s">
        <v>135</v>
      </c>
      <c r="D494" s="49" t="s">
        <v>1575</v>
      </c>
      <c r="E494" s="50">
        <v>53</v>
      </c>
      <c r="F494" s="50">
        <v>58</v>
      </c>
      <c r="G494" s="50">
        <v>3</v>
      </c>
      <c r="H494" s="50" t="s">
        <v>27</v>
      </c>
      <c r="I494" s="44">
        <v>0</v>
      </c>
      <c r="J494" s="50">
        <v>1</v>
      </c>
      <c r="P494" s="41">
        <v>1</v>
      </c>
      <c r="Q494" s="50"/>
    </row>
    <row r="495" spans="2:17" thickBot="1" x14ac:dyDescent="0.3">
      <c r="B495" s="179">
        <v>496</v>
      </c>
      <c r="C495" s="181" t="s">
        <v>682</v>
      </c>
      <c r="D495" s="49" t="s">
        <v>1003</v>
      </c>
      <c r="E495" s="50">
        <v>53</v>
      </c>
      <c r="F495" s="50">
        <v>81</v>
      </c>
      <c r="G495" s="50">
        <v>4</v>
      </c>
      <c r="H495" s="50" t="s">
        <v>27</v>
      </c>
      <c r="I495" s="44">
        <v>1</v>
      </c>
      <c r="J495" s="50"/>
      <c r="P495" s="41">
        <v>1</v>
      </c>
      <c r="Q495" s="50"/>
    </row>
    <row r="496" spans="2:17" thickBot="1" x14ac:dyDescent="0.3">
      <c r="B496" s="179">
        <v>497</v>
      </c>
      <c r="C496" s="181" t="s">
        <v>889</v>
      </c>
      <c r="D496" s="49" t="s">
        <v>2277</v>
      </c>
      <c r="E496" s="50">
        <v>53</v>
      </c>
      <c r="F496" s="50">
        <v>86</v>
      </c>
      <c r="G496" s="50">
        <v>5</v>
      </c>
      <c r="H496" s="50" t="s">
        <v>27</v>
      </c>
      <c r="I496" s="44">
        <v>1</v>
      </c>
      <c r="J496" s="50">
        <v>0</v>
      </c>
      <c r="P496" s="41">
        <v>1</v>
      </c>
      <c r="Q496" s="50"/>
    </row>
    <row r="497" spans="1:17" ht="19.5" x14ac:dyDescent="0.25">
      <c r="B497" s="179">
        <v>498</v>
      </c>
      <c r="C497" s="181" t="s">
        <v>1055</v>
      </c>
      <c r="D497" s="49" t="s">
        <v>426</v>
      </c>
      <c r="E497" s="50">
        <v>53</v>
      </c>
      <c r="F497" s="50">
        <v>75</v>
      </c>
      <c r="G497" s="50">
        <v>9</v>
      </c>
      <c r="H497" s="50" t="s">
        <v>27</v>
      </c>
      <c r="I497" s="44">
        <v>1</v>
      </c>
      <c r="J497" s="50"/>
      <c r="K497" s="56"/>
      <c r="L497" s="56"/>
      <c r="M497" s="56"/>
      <c r="N497" s="57"/>
      <c r="O497" s="57"/>
      <c r="P497" s="57">
        <v>1</v>
      </c>
      <c r="Q497" s="50"/>
    </row>
    <row r="498" spans="1:17" ht="23.25" customHeight="1" x14ac:dyDescent="0.25">
      <c r="A498" s="197"/>
      <c r="B498" s="179">
        <v>499</v>
      </c>
      <c r="C498" s="192" t="s">
        <v>1728</v>
      </c>
      <c r="D498" s="193" t="s">
        <v>2276</v>
      </c>
      <c r="E498" s="194">
        <v>53</v>
      </c>
      <c r="F498" s="194">
        <v>45</v>
      </c>
      <c r="G498" s="194">
        <v>5</v>
      </c>
      <c r="H498" s="194" t="s">
        <v>27</v>
      </c>
      <c r="I498" s="189">
        <v>1</v>
      </c>
      <c r="J498" s="194"/>
      <c r="K498" s="195"/>
      <c r="L498" s="195"/>
      <c r="M498" s="195"/>
      <c r="N498" s="195"/>
      <c r="O498" s="195"/>
      <c r="P498" s="195">
        <v>1</v>
      </c>
      <c r="Q498" s="194" t="s">
        <v>427</v>
      </c>
    </row>
    <row r="499" spans="1:17" ht="19.5" x14ac:dyDescent="0.25">
      <c r="B499" s="179">
        <v>500</v>
      </c>
      <c r="C499" s="182" t="s">
        <v>2004</v>
      </c>
      <c r="D499" s="102" t="s">
        <v>2571</v>
      </c>
      <c r="E499" s="61">
        <v>53</v>
      </c>
      <c r="F499" s="61">
        <v>120</v>
      </c>
      <c r="G499" s="61">
        <v>6</v>
      </c>
      <c r="H499" s="61" t="s">
        <v>26</v>
      </c>
      <c r="I499" s="62"/>
      <c r="J499" s="61">
        <v>1</v>
      </c>
      <c r="K499" s="184"/>
      <c r="L499" s="64"/>
      <c r="M499" s="64">
        <v>1</v>
      </c>
      <c r="N499" s="65"/>
      <c r="O499" s="65"/>
      <c r="P499" s="65"/>
      <c r="Q499" s="61"/>
    </row>
    <row r="500" spans="1:17" ht="19.5" x14ac:dyDescent="0.25">
      <c r="B500" s="179">
        <v>501</v>
      </c>
      <c r="C500" s="182" t="s">
        <v>627</v>
      </c>
      <c r="D500" s="50" t="s">
        <v>2959</v>
      </c>
      <c r="E500" s="50">
        <v>53</v>
      </c>
      <c r="F500" s="50">
        <v>30</v>
      </c>
      <c r="G500" s="50">
        <v>18</v>
      </c>
      <c r="H500" s="50" t="s">
        <v>27</v>
      </c>
      <c r="I500" s="46">
        <v>1</v>
      </c>
      <c r="J500" s="50"/>
      <c r="K500" s="64"/>
      <c r="L500" s="64"/>
      <c r="M500" s="64"/>
      <c r="N500" s="65"/>
      <c r="O500" s="65"/>
      <c r="P500" s="65">
        <v>1</v>
      </c>
      <c r="Q500" s="61"/>
    </row>
    <row r="501" spans="1:17" ht="19.5" x14ac:dyDescent="0.25">
      <c r="B501" s="179">
        <v>502</v>
      </c>
      <c r="C501" s="182" t="s">
        <v>640</v>
      </c>
      <c r="D501" s="50" t="s">
        <v>2963</v>
      </c>
      <c r="E501" s="50">
        <v>53</v>
      </c>
      <c r="F501" s="50">
        <v>1</v>
      </c>
      <c r="G501" s="50">
        <v>17</v>
      </c>
      <c r="H501" s="50" t="s">
        <v>27</v>
      </c>
      <c r="I501" s="46">
        <v>1</v>
      </c>
      <c r="J501" s="50"/>
      <c r="K501" s="64"/>
      <c r="L501" s="64"/>
      <c r="M501" s="64"/>
      <c r="N501" s="65"/>
      <c r="O501" s="65"/>
      <c r="P501" s="65"/>
      <c r="Q501" s="61" t="s">
        <v>2989</v>
      </c>
    </row>
    <row r="502" spans="1:17" ht="19.5" x14ac:dyDescent="0.25">
      <c r="B502" s="179">
        <v>503</v>
      </c>
      <c r="C502" s="182" t="s">
        <v>781</v>
      </c>
      <c r="D502" s="50" t="s">
        <v>2965</v>
      </c>
      <c r="E502" s="50">
        <v>53</v>
      </c>
      <c r="F502" s="50">
        <v>15</v>
      </c>
      <c r="G502" s="50">
        <v>16</v>
      </c>
      <c r="H502" s="50" t="s">
        <v>27</v>
      </c>
      <c r="I502" s="46">
        <v>1</v>
      </c>
      <c r="J502" s="50"/>
      <c r="K502" s="64"/>
      <c r="L502" s="64"/>
      <c r="M502" s="64"/>
      <c r="N502" s="65"/>
      <c r="O502" s="65"/>
      <c r="P502" s="65">
        <v>1</v>
      </c>
      <c r="Q502" s="61"/>
    </row>
    <row r="503" spans="1:17" ht="19.5" x14ac:dyDescent="0.25">
      <c r="B503" s="179">
        <v>504</v>
      </c>
      <c r="C503" s="182" t="s">
        <v>125</v>
      </c>
      <c r="D503" s="50" t="s">
        <v>2968</v>
      </c>
      <c r="E503" s="50">
        <v>53</v>
      </c>
      <c r="F503" s="50">
        <v>25</v>
      </c>
      <c r="G503" s="50">
        <v>13</v>
      </c>
      <c r="H503" s="50" t="s">
        <v>27</v>
      </c>
      <c r="I503" s="46">
        <v>1</v>
      </c>
      <c r="J503" s="50"/>
      <c r="K503" s="64"/>
      <c r="L503" s="64"/>
      <c r="M503" s="64"/>
      <c r="N503" s="65"/>
      <c r="O503" s="65"/>
      <c r="P503" s="65">
        <v>1</v>
      </c>
      <c r="Q503" s="61"/>
    </row>
    <row r="504" spans="1:17" ht="19.5" x14ac:dyDescent="0.25">
      <c r="B504" s="179">
        <v>505</v>
      </c>
      <c r="C504" s="182" t="s">
        <v>2976</v>
      </c>
      <c r="D504" s="50" t="s">
        <v>2977</v>
      </c>
      <c r="E504" s="50">
        <v>53</v>
      </c>
      <c r="F504" s="50">
        <v>1</v>
      </c>
      <c r="G504" s="50">
        <v>5</v>
      </c>
      <c r="H504" s="50" t="s">
        <v>27</v>
      </c>
      <c r="I504" s="46">
        <v>1</v>
      </c>
      <c r="J504" s="50"/>
      <c r="K504" s="64"/>
      <c r="L504" s="64"/>
      <c r="M504" s="64"/>
      <c r="N504" s="65"/>
      <c r="O504" s="65"/>
      <c r="P504" s="65">
        <v>1</v>
      </c>
      <c r="Q504" s="61"/>
    </row>
    <row r="505" spans="1:17" ht="19.5" x14ac:dyDescent="0.25">
      <c r="B505" s="179">
        <v>506</v>
      </c>
      <c r="C505" s="182" t="s">
        <v>125</v>
      </c>
      <c r="D505" s="50" t="s">
        <v>211</v>
      </c>
      <c r="E505" s="50">
        <v>53</v>
      </c>
      <c r="F505" s="50">
        <v>19</v>
      </c>
      <c r="G505" s="50">
        <v>2</v>
      </c>
      <c r="H505" s="50" t="s">
        <v>26</v>
      </c>
      <c r="I505" s="46"/>
      <c r="J505" s="50">
        <v>1</v>
      </c>
      <c r="K505" s="64"/>
      <c r="L505" s="64"/>
      <c r="M505" s="64"/>
      <c r="N505" s="65"/>
      <c r="O505" s="65"/>
      <c r="P505" s="65"/>
      <c r="Q505" s="61"/>
    </row>
    <row r="506" spans="1:17" ht="19.5" x14ac:dyDescent="0.25">
      <c r="B506" s="179">
        <v>507</v>
      </c>
      <c r="C506" s="182" t="s">
        <v>891</v>
      </c>
      <c r="D506" s="179" t="s">
        <v>2979</v>
      </c>
      <c r="E506" s="50">
        <v>53</v>
      </c>
      <c r="F506" s="50">
        <v>28</v>
      </c>
      <c r="G506" s="50">
        <v>5</v>
      </c>
      <c r="H506" s="50" t="s">
        <v>27</v>
      </c>
      <c r="I506" s="46">
        <v>1</v>
      </c>
      <c r="J506" s="50"/>
      <c r="K506" s="64"/>
      <c r="L506" s="64"/>
      <c r="M506" s="64"/>
      <c r="N506" s="65"/>
      <c r="O506" s="65"/>
      <c r="P506" s="65">
        <v>1</v>
      </c>
      <c r="Q506" s="61"/>
    </row>
    <row r="507" spans="1:17" ht="19.5" x14ac:dyDescent="0.25">
      <c r="B507" s="179">
        <v>508</v>
      </c>
      <c r="C507" s="182" t="s">
        <v>462</v>
      </c>
      <c r="D507" s="50" t="s">
        <v>1443</v>
      </c>
      <c r="E507" s="50">
        <v>53</v>
      </c>
      <c r="F507" s="50">
        <v>49</v>
      </c>
      <c r="G507" s="50">
        <v>8</v>
      </c>
      <c r="H507" s="50" t="s">
        <v>26</v>
      </c>
      <c r="I507" s="46"/>
      <c r="J507" s="50">
        <v>1</v>
      </c>
      <c r="K507" s="64"/>
      <c r="L507" s="64"/>
      <c r="M507" s="64"/>
      <c r="N507" s="65"/>
      <c r="O507" s="65"/>
      <c r="P507" s="65"/>
      <c r="Q507" s="61"/>
    </row>
    <row r="508" spans="1:17" ht="21" customHeight="1" x14ac:dyDescent="0.25">
      <c r="B508" s="179">
        <v>509</v>
      </c>
      <c r="C508" s="182" t="s">
        <v>2981</v>
      </c>
      <c r="D508" s="50" t="s">
        <v>2982</v>
      </c>
      <c r="E508" s="50">
        <v>53</v>
      </c>
      <c r="F508" s="50">
        <v>53</v>
      </c>
      <c r="G508" s="50">
        <v>7</v>
      </c>
      <c r="H508" s="50" t="s">
        <v>26</v>
      </c>
      <c r="I508" s="46"/>
      <c r="J508" s="50">
        <v>1</v>
      </c>
      <c r="K508" s="64"/>
      <c r="L508" s="64"/>
      <c r="M508" s="64"/>
      <c r="N508" s="65"/>
      <c r="O508" s="65"/>
      <c r="P508" s="65"/>
      <c r="Q508" s="61"/>
    </row>
    <row r="509" spans="1:17" ht="19.5" x14ac:dyDescent="0.25">
      <c r="B509" s="179">
        <v>510</v>
      </c>
      <c r="C509" s="182" t="s">
        <v>138</v>
      </c>
      <c r="D509" s="50" t="s">
        <v>2983</v>
      </c>
      <c r="E509" s="50">
        <v>53</v>
      </c>
      <c r="F509" s="50">
        <v>34</v>
      </c>
      <c r="G509" s="50">
        <v>16</v>
      </c>
      <c r="H509" s="50" t="s">
        <v>27</v>
      </c>
      <c r="I509" s="46">
        <v>1</v>
      </c>
      <c r="J509" s="50"/>
      <c r="K509" s="64"/>
      <c r="L509" s="64"/>
      <c r="M509" s="64"/>
      <c r="N509" s="65"/>
      <c r="O509" s="65"/>
      <c r="P509" s="65">
        <v>1</v>
      </c>
      <c r="Q509" s="61"/>
    </row>
    <row r="510" spans="1:17" ht="19.5" x14ac:dyDescent="0.25">
      <c r="B510" s="179">
        <v>511</v>
      </c>
      <c r="C510" s="182" t="s">
        <v>138</v>
      </c>
      <c r="D510" s="50" t="s">
        <v>377</v>
      </c>
      <c r="E510" s="50">
        <v>53</v>
      </c>
      <c r="F510" s="50">
        <v>40</v>
      </c>
      <c r="G510" s="50">
        <v>14</v>
      </c>
      <c r="H510" s="50" t="s">
        <v>26</v>
      </c>
      <c r="I510" s="46"/>
      <c r="J510" s="50">
        <v>1</v>
      </c>
      <c r="K510" s="64"/>
      <c r="L510" s="64"/>
      <c r="M510" s="64"/>
      <c r="N510" s="65"/>
      <c r="O510" s="65"/>
      <c r="P510" s="65"/>
      <c r="Q510" s="61"/>
    </row>
    <row r="511" spans="1:17" ht="19.5" x14ac:dyDescent="0.25">
      <c r="B511" s="179">
        <v>512</v>
      </c>
      <c r="C511" s="182" t="s">
        <v>640</v>
      </c>
      <c r="D511" s="50" t="s">
        <v>2986</v>
      </c>
      <c r="E511" s="50">
        <v>53</v>
      </c>
      <c r="F511" s="50">
        <v>43</v>
      </c>
      <c r="G511" s="50">
        <v>14</v>
      </c>
      <c r="H511" s="50" t="s">
        <v>27</v>
      </c>
      <c r="I511" s="46">
        <v>1</v>
      </c>
      <c r="J511" s="50"/>
      <c r="K511" s="64"/>
      <c r="L511" s="64"/>
      <c r="M511" s="64"/>
      <c r="N511" s="65"/>
      <c r="O511" s="65"/>
      <c r="P511" s="65"/>
      <c r="Q511" s="61"/>
    </row>
    <row r="512" spans="1:17" ht="19.5" x14ac:dyDescent="0.25">
      <c r="B512" s="179">
        <v>513</v>
      </c>
      <c r="C512" s="182" t="s">
        <v>402</v>
      </c>
      <c r="D512" s="50" t="s">
        <v>2972</v>
      </c>
      <c r="E512" s="50">
        <v>53</v>
      </c>
      <c r="F512" s="50">
        <v>6</v>
      </c>
      <c r="G512" s="50">
        <v>10</v>
      </c>
      <c r="H512" s="50" t="s">
        <v>118</v>
      </c>
      <c r="I512" s="46"/>
      <c r="J512" s="61"/>
      <c r="K512" s="64"/>
      <c r="L512" s="64"/>
      <c r="M512" s="64"/>
      <c r="N512" s="65"/>
      <c r="O512" s="65"/>
      <c r="P512" s="65"/>
      <c r="Q512" s="61"/>
    </row>
    <row r="513" spans="2:17" ht="19.5" x14ac:dyDescent="0.25">
      <c r="B513" s="179">
        <v>514</v>
      </c>
      <c r="C513" s="182" t="s">
        <v>183</v>
      </c>
      <c r="D513" s="50" t="s">
        <v>2963</v>
      </c>
      <c r="E513" s="50">
        <v>53</v>
      </c>
      <c r="F513" s="50">
        <v>46</v>
      </c>
      <c r="G513" s="50">
        <v>13</v>
      </c>
      <c r="H513" s="50" t="s">
        <v>27</v>
      </c>
      <c r="I513" s="46">
        <v>1</v>
      </c>
      <c r="J513" s="61"/>
      <c r="K513" s="64"/>
      <c r="L513" s="64"/>
      <c r="M513" s="64"/>
      <c r="N513" s="65"/>
      <c r="O513" s="65"/>
      <c r="P513" s="65"/>
      <c r="Q513" s="61"/>
    </row>
    <row r="514" spans="2:17" ht="19.5" x14ac:dyDescent="0.25">
      <c r="B514" s="179">
        <v>516</v>
      </c>
      <c r="C514" s="182" t="s">
        <v>1478</v>
      </c>
      <c r="D514" s="50" t="s">
        <v>2991</v>
      </c>
      <c r="E514" s="50">
        <v>53</v>
      </c>
      <c r="F514" s="50">
        <v>33</v>
      </c>
      <c r="G514" s="50">
        <v>12</v>
      </c>
      <c r="H514" s="50" t="s">
        <v>26</v>
      </c>
      <c r="I514" s="46"/>
      <c r="J514" s="61">
        <v>1</v>
      </c>
      <c r="K514" s="64"/>
      <c r="L514" s="64"/>
      <c r="M514" s="64"/>
      <c r="N514" s="65"/>
      <c r="O514" s="65"/>
      <c r="P514" s="65"/>
      <c r="Q514" s="61"/>
    </row>
    <row r="515" spans="2:17" ht="19.5" x14ac:dyDescent="0.25">
      <c r="B515" s="179">
        <v>517</v>
      </c>
      <c r="C515" s="182" t="s">
        <v>2992</v>
      </c>
      <c r="D515" s="50" t="s">
        <v>2993</v>
      </c>
      <c r="E515" s="50">
        <v>53</v>
      </c>
      <c r="F515" s="50">
        <v>46</v>
      </c>
      <c r="G515" s="50">
        <v>10</v>
      </c>
      <c r="H515" s="50" t="s">
        <v>26</v>
      </c>
      <c r="I515" s="46"/>
      <c r="J515" s="61">
        <v>1</v>
      </c>
      <c r="K515" s="64"/>
      <c r="L515" s="64"/>
      <c r="M515" s="64"/>
      <c r="N515" s="65"/>
      <c r="O515" s="65"/>
      <c r="P515" s="65"/>
      <c r="Q515" s="61"/>
    </row>
    <row r="516" spans="2:17" ht="19.5" x14ac:dyDescent="0.25">
      <c r="B516" s="179">
        <v>518</v>
      </c>
      <c r="C516" s="182" t="s">
        <v>2995</v>
      </c>
      <c r="D516" s="50" t="s">
        <v>2381</v>
      </c>
      <c r="E516" s="50">
        <v>53</v>
      </c>
      <c r="F516" s="50">
        <v>35</v>
      </c>
      <c r="G516" s="50">
        <v>9</v>
      </c>
      <c r="H516" s="50" t="s">
        <v>27</v>
      </c>
      <c r="I516" s="46">
        <v>1</v>
      </c>
      <c r="J516" s="61"/>
      <c r="K516" s="64"/>
      <c r="L516" s="64"/>
      <c r="M516" s="64"/>
      <c r="N516" s="65"/>
      <c r="O516" s="65"/>
      <c r="P516" s="65"/>
      <c r="Q516" s="61"/>
    </row>
    <row r="517" spans="2:17" ht="19.5" x14ac:dyDescent="0.25">
      <c r="B517" s="179">
        <v>519</v>
      </c>
      <c r="C517" s="182" t="s">
        <v>181</v>
      </c>
      <c r="D517" s="50" t="s">
        <v>1443</v>
      </c>
      <c r="E517" s="50">
        <v>53</v>
      </c>
      <c r="F517" s="50">
        <v>64</v>
      </c>
      <c r="G517" s="50">
        <v>1</v>
      </c>
      <c r="H517" s="50" t="s">
        <v>26</v>
      </c>
      <c r="I517" s="46"/>
      <c r="J517" s="61">
        <v>1</v>
      </c>
      <c r="K517" s="64"/>
      <c r="L517" s="64"/>
      <c r="M517" s="64"/>
      <c r="N517" s="65"/>
      <c r="O517" s="65"/>
      <c r="P517" s="65"/>
      <c r="Q517" s="61"/>
    </row>
    <row r="518" spans="2:17" ht="19.5" x14ac:dyDescent="0.25">
      <c r="B518" s="179">
        <v>520</v>
      </c>
      <c r="C518" s="182" t="s">
        <v>402</v>
      </c>
      <c r="D518" s="50" t="s">
        <v>172</v>
      </c>
      <c r="E518" s="50">
        <v>53</v>
      </c>
      <c r="F518" s="50">
        <v>71</v>
      </c>
      <c r="G518" s="50">
        <v>2</v>
      </c>
      <c r="H518" s="50" t="s">
        <v>26</v>
      </c>
      <c r="I518" s="46"/>
      <c r="J518" s="61">
        <v>1</v>
      </c>
      <c r="K518" s="64"/>
      <c r="L518" s="64"/>
      <c r="M518" s="64"/>
      <c r="N518" s="65"/>
      <c r="O518" s="65"/>
      <c r="P518" s="65"/>
      <c r="Q518" s="61"/>
    </row>
    <row r="519" spans="2:17" ht="19.5" x14ac:dyDescent="0.25">
      <c r="B519" s="179">
        <v>521</v>
      </c>
      <c r="C519" s="182" t="s">
        <v>335</v>
      </c>
      <c r="D519" s="50" t="s">
        <v>2996</v>
      </c>
      <c r="E519" s="50">
        <v>53</v>
      </c>
      <c r="F519" s="50">
        <v>70</v>
      </c>
      <c r="G519" s="50">
        <v>2</v>
      </c>
      <c r="H519" s="50" t="s">
        <v>26</v>
      </c>
      <c r="I519" s="46"/>
      <c r="J519" s="61">
        <v>1</v>
      </c>
      <c r="K519" s="64"/>
      <c r="L519" s="64"/>
      <c r="M519" s="64"/>
      <c r="N519" s="65"/>
      <c r="O519" s="65"/>
      <c r="P519" s="65"/>
      <c r="Q519" s="61"/>
    </row>
    <row r="520" spans="2:17" ht="19.5" x14ac:dyDescent="0.25">
      <c r="B520" s="179">
        <v>522</v>
      </c>
      <c r="C520" s="182" t="s">
        <v>617</v>
      </c>
      <c r="D520" s="50" t="s">
        <v>2147</v>
      </c>
      <c r="E520" s="50">
        <v>53</v>
      </c>
      <c r="F520" s="50">
        <v>83</v>
      </c>
      <c r="G520" s="50">
        <v>3</v>
      </c>
      <c r="H520" s="50" t="s">
        <v>26</v>
      </c>
      <c r="I520" s="46"/>
      <c r="J520" s="61">
        <v>1</v>
      </c>
      <c r="K520" s="64"/>
      <c r="L520" s="64"/>
      <c r="M520" s="64"/>
      <c r="N520" s="65"/>
      <c r="O520" s="65"/>
      <c r="P520" s="65"/>
      <c r="Q520" s="61"/>
    </row>
    <row r="521" spans="2:17" ht="24" customHeight="1" x14ac:dyDescent="0.25">
      <c r="B521" s="179">
        <v>523</v>
      </c>
      <c r="C521" s="182" t="s">
        <v>2997</v>
      </c>
      <c r="D521" s="50" t="s">
        <v>2998</v>
      </c>
      <c r="E521" s="50">
        <v>53</v>
      </c>
      <c r="F521" s="50">
        <v>62</v>
      </c>
      <c r="G521" s="50">
        <v>3</v>
      </c>
      <c r="H521" s="50" t="s">
        <v>27</v>
      </c>
      <c r="I521" s="46">
        <v>1</v>
      </c>
      <c r="J521" s="61"/>
      <c r="K521" s="64"/>
      <c r="L521" s="64"/>
      <c r="M521" s="64"/>
      <c r="N521" s="65"/>
      <c r="O521" s="65"/>
      <c r="P521" s="65">
        <v>1</v>
      </c>
      <c r="Q521" s="61"/>
    </row>
    <row r="522" spans="2:17" ht="19.5" x14ac:dyDescent="0.25">
      <c r="B522" s="179">
        <v>524</v>
      </c>
      <c r="C522" s="182" t="s">
        <v>131</v>
      </c>
      <c r="D522" s="50" t="s">
        <v>365</v>
      </c>
      <c r="E522" s="50">
        <v>53</v>
      </c>
      <c r="F522" s="50">
        <v>61</v>
      </c>
      <c r="G522" s="50">
        <v>3</v>
      </c>
      <c r="H522" s="50" t="s">
        <v>26</v>
      </c>
      <c r="I522" s="46"/>
      <c r="J522" s="61">
        <v>1</v>
      </c>
      <c r="K522" s="64"/>
      <c r="L522" s="64"/>
      <c r="M522" s="64"/>
      <c r="N522" s="65"/>
      <c r="O522" s="65"/>
      <c r="P522" s="65"/>
      <c r="Q522" s="61"/>
    </row>
    <row r="523" spans="2:17" ht="19.5" x14ac:dyDescent="0.25">
      <c r="B523" s="179">
        <v>525</v>
      </c>
      <c r="C523" s="182"/>
      <c r="D523" s="50" t="s">
        <v>2999</v>
      </c>
      <c r="E523" s="50">
        <v>53</v>
      </c>
      <c r="F523" s="50">
        <v>75</v>
      </c>
      <c r="G523" s="50">
        <v>4</v>
      </c>
      <c r="H523" s="50" t="s">
        <v>26</v>
      </c>
      <c r="I523" s="46"/>
      <c r="J523" s="61">
        <v>1</v>
      </c>
      <c r="K523" s="64"/>
      <c r="L523" s="64"/>
      <c r="M523" s="64"/>
      <c r="N523" s="65"/>
      <c r="O523" s="65"/>
      <c r="P523" s="65"/>
      <c r="Q523" s="61"/>
    </row>
    <row r="524" spans="2:17" ht="19.5" x14ac:dyDescent="0.25">
      <c r="B524" s="179">
        <v>526</v>
      </c>
      <c r="C524" s="182" t="s">
        <v>677</v>
      </c>
      <c r="D524" s="50" t="s">
        <v>339</v>
      </c>
      <c r="E524" s="50">
        <v>53</v>
      </c>
      <c r="F524" s="50">
        <v>71</v>
      </c>
      <c r="G524" s="50">
        <v>4</v>
      </c>
      <c r="H524" s="50" t="s">
        <v>26</v>
      </c>
      <c r="I524" s="46"/>
      <c r="J524" s="61">
        <v>1</v>
      </c>
      <c r="K524" s="64"/>
      <c r="L524" s="64"/>
      <c r="M524" s="64"/>
      <c r="N524" s="65"/>
      <c r="O524" s="65"/>
      <c r="P524" s="65"/>
      <c r="Q524" s="61"/>
    </row>
    <row r="525" spans="2:17" ht="19.5" x14ac:dyDescent="0.25">
      <c r="B525" s="179">
        <v>527</v>
      </c>
      <c r="C525" s="182" t="s">
        <v>136</v>
      </c>
      <c r="D525" s="50" t="s">
        <v>3000</v>
      </c>
      <c r="E525" s="50">
        <v>53</v>
      </c>
      <c r="F525" s="50">
        <v>71</v>
      </c>
      <c r="G525" s="50">
        <v>5</v>
      </c>
      <c r="H525" s="50" t="s">
        <v>26</v>
      </c>
      <c r="I525" s="46"/>
      <c r="J525" s="61">
        <v>1</v>
      </c>
      <c r="K525" s="64"/>
      <c r="L525" s="64"/>
      <c r="M525" s="64"/>
      <c r="N525" s="65"/>
      <c r="O525" s="65"/>
      <c r="P525" s="65"/>
      <c r="Q525" s="61"/>
    </row>
    <row r="526" spans="2:17" ht="19.5" x14ac:dyDescent="0.25">
      <c r="B526" s="179">
        <v>528</v>
      </c>
      <c r="C526" s="182" t="s">
        <v>2002</v>
      </c>
      <c r="D526" s="50" t="s">
        <v>2521</v>
      </c>
      <c r="E526" s="50">
        <v>53</v>
      </c>
      <c r="F526" s="50">
        <v>79</v>
      </c>
      <c r="G526" s="50">
        <v>5</v>
      </c>
      <c r="H526" s="50" t="s">
        <v>26</v>
      </c>
      <c r="I526" s="46"/>
      <c r="J526" s="61">
        <v>1</v>
      </c>
      <c r="K526" s="64"/>
      <c r="L526" s="64"/>
      <c r="M526" s="64"/>
      <c r="N526" s="65"/>
      <c r="O526" s="65"/>
      <c r="P526" s="65"/>
      <c r="Q526" s="61"/>
    </row>
    <row r="527" spans="2:17" ht="19.5" x14ac:dyDescent="0.25">
      <c r="B527" s="179">
        <v>529</v>
      </c>
      <c r="C527" s="182" t="s">
        <v>1478</v>
      </c>
      <c r="D527" s="50" t="s">
        <v>686</v>
      </c>
      <c r="E527" s="50">
        <v>53</v>
      </c>
      <c r="F527" s="50">
        <v>77</v>
      </c>
      <c r="G527" s="50">
        <v>7</v>
      </c>
      <c r="H527" s="50" t="s">
        <v>26</v>
      </c>
      <c r="I527" s="46"/>
      <c r="J527" s="61">
        <v>1</v>
      </c>
      <c r="K527" s="64"/>
      <c r="L527" s="64"/>
      <c r="M527" s="64"/>
      <c r="N527" s="65"/>
      <c r="O527" s="65"/>
      <c r="P527" s="65"/>
      <c r="Q527" s="61"/>
    </row>
    <row r="528" spans="2:17" ht="19.5" x14ac:dyDescent="0.25">
      <c r="B528" s="179">
        <v>530</v>
      </c>
      <c r="C528" s="175" t="s">
        <v>1478</v>
      </c>
      <c r="D528" s="50" t="s">
        <v>3004</v>
      </c>
      <c r="E528" s="50">
        <v>53</v>
      </c>
      <c r="F528" s="50">
        <v>77</v>
      </c>
      <c r="G528" s="50">
        <v>8</v>
      </c>
      <c r="H528" s="50" t="s">
        <v>26</v>
      </c>
      <c r="I528" s="46"/>
      <c r="J528" s="61">
        <v>1</v>
      </c>
      <c r="K528" s="64"/>
      <c r="L528" s="64"/>
      <c r="M528" s="64"/>
      <c r="N528" s="65"/>
      <c r="O528" s="65"/>
      <c r="P528" s="65"/>
      <c r="Q528" s="61"/>
    </row>
    <row r="529" spans="2:17" ht="19.5" x14ac:dyDescent="0.25">
      <c r="B529" s="179">
        <v>531</v>
      </c>
      <c r="C529" s="182" t="s">
        <v>125</v>
      </c>
      <c r="D529" s="50" t="s">
        <v>3006</v>
      </c>
      <c r="E529" s="50">
        <v>53</v>
      </c>
      <c r="F529" s="50">
        <v>71</v>
      </c>
      <c r="G529" s="50">
        <v>16</v>
      </c>
      <c r="H529" s="50" t="s">
        <v>26</v>
      </c>
      <c r="I529" s="46"/>
      <c r="J529" s="61">
        <v>1</v>
      </c>
      <c r="K529" s="64"/>
      <c r="L529" s="64"/>
      <c r="M529" s="64"/>
      <c r="N529" s="65"/>
      <c r="O529" s="65"/>
      <c r="P529" s="65"/>
      <c r="Q529" s="61"/>
    </row>
    <row r="530" spans="2:17" ht="19.5" x14ac:dyDescent="0.25">
      <c r="B530" s="179">
        <v>532</v>
      </c>
      <c r="C530" s="182" t="s">
        <v>125</v>
      </c>
      <c r="D530" s="50" t="s">
        <v>3007</v>
      </c>
      <c r="E530" s="50">
        <v>53</v>
      </c>
      <c r="F530" s="50">
        <v>64</v>
      </c>
      <c r="G530" s="50">
        <v>16</v>
      </c>
      <c r="H530" s="50" t="s">
        <v>27</v>
      </c>
      <c r="I530" s="46">
        <v>1</v>
      </c>
      <c r="J530" s="61"/>
      <c r="K530" s="64"/>
      <c r="L530" s="64"/>
      <c r="M530" s="64"/>
      <c r="N530" s="65"/>
      <c r="O530" s="65"/>
      <c r="P530" s="65"/>
      <c r="Q530" s="61"/>
    </row>
    <row r="531" spans="2:17" ht="19.5" x14ac:dyDescent="0.25">
      <c r="B531" s="179">
        <v>533</v>
      </c>
      <c r="C531" s="182" t="s">
        <v>362</v>
      </c>
      <c r="D531" s="50" t="s">
        <v>3008</v>
      </c>
      <c r="E531" s="50">
        <v>53</v>
      </c>
      <c r="F531" s="50">
        <v>66</v>
      </c>
      <c r="G531" s="50">
        <v>15</v>
      </c>
      <c r="H531" s="50" t="s">
        <v>27</v>
      </c>
      <c r="I531" s="46">
        <v>1</v>
      </c>
      <c r="J531" s="61"/>
      <c r="K531" s="64"/>
      <c r="L531" s="64"/>
      <c r="M531" s="64"/>
      <c r="N531" s="65"/>
      <c r="O531" s="65"/>
      <c r="P531" s="65"/>
      <c r="Q531" s="61"/>
    </row>
    <row r="532" spans="2:17" ht="19.5" x14ac:dyDescent="0.25">
      <c r="B532" s="179">
        <v>534</v>
      </c>
      <c r="C532" s="182" t="s">
        <v>280</v>
      </c>
      <c r="D532" s="50" t="s">
        <v>2968</v>
      </c>
      <c r="E532" s="50">
        <v>53</v>
      </c>
      <c r="F532" s="50">
        <v>82</v>
      </c>
      <c r="G532" s="50">
        <v>13</v>
      </c>
      <c r="H532" s="50" t="s">
        <v>26</v>
      </c>
      <c r="I532" s="46"/>
      <c r="J532" s="61">
        <v>1</v>
      </c>
      <c r="K532" s="64"/>
      <c r="L532" s="64"/>
      <c r="M532" s="64"/>
      <c r="N532" s="65"/>
      <c r="O532" s="65"/>
      <c r="P532" s="65"/>
      <c r="Q532" s="61"/>
    </row>
    <row r="533" spans="2:17" ht="19.5" x14ac:dyDescent="0.25">
      <c r="B533" s="179">
        <v>535</v>
      </c>
      <c r="C533" s="182" t="s">
        <v>137</v>
      </c>
      <c r="D533" s="50" t="s">
        <v>3009</v>
      </c>
      <c r="E533" s="50">
        <v>53</v>
      </c>
      <c r="F533" s="50">
        <v>83</v>
      </c>
      <c r="G533" s="50">
        <v>11</v>
      </c>
      <c r="H533" s="50" t="s">
        <v>26</v>
      </c>
      <c r="I533" s="46"/>
      <c r="J533" s="61">
        <v>1</v>
      </c>
      <c r="K533" s="64"/>
      <c r="L533" s="64"/>
      <c r="M533" s="64"/>
      <c r="N533" s="65"/>
      <c r="O533" s="65"/>
      <c r="P533" s="65"/>
      <c r="Q533" s="61"/>
    </row>
    <row r="534" spans="2:17" ht="19.5" x14ac:dyDescent="0.25">
      <c r="B534" s="179">
        <v>536</v>
      </c>
      <c r="C534" s="182" t="s">
        <v>3001</v>
      </c>
      <c r="D534" s="50" t="s">
        <v>3009</v>
      </c>
      <c r="E534" s="50">
        <v>53</v>
      </c>
      <c r="F534" s="50">
        <v>84</v>
      </c>
      <c r="G534" s="50">
        <v>11</v>
      </c>
      <c r="H534" s="50" t="s">
        <v>26</v>
      </c>
      <c r="I534" s="46"/>
      <c r="J534" s="61">
        <v>1</v>
      </c>
      <c r="K534" s="64"/>
      <c r="L534" s="64"/>
      <c r="M534" s="64"/>
      <c r="N534" s="65"/>
      <c r="O534" s="65"/>
      <c r="P534" s="65"/>
      <c r="Q534" s="61"/>
    </row>
    <row r="535" spans="2:17" ht="19.5" x14ac:dyDescent="0.25">
      <c r="B535" s="179">
        <v>537</v>
      </c>
      <c r="C535" s="182" t="s">
        <v>600</v>
      </c>
      <c r="D535" s="50" t="s">
        <v>6</v>
      </c>
      <c r="E535" s="50">
        <v>53</v>
      </c>
      <c r="F535" s="50">
        <v>63</v>
      </c>
      <c r="G535" s="50">
        <v>10</v>
      </c>
      <c r="H535" s="50" t="s">
        <v>27</v>
      </c>
      <c r="I535" s="46">
        <v>1</v>
      </c>
      <c r="J535" s="61"/>
      <c r="K535" s="64"/>
      <c r="L535" s="64"/>
      <c r="M535" s="64"/>
      <c r="N535" s="65"/>
      <c r="O535" s="65"/>
      <c r="P535" s="65">
        <v>1</v>
      </c>
      <c r="Q535" s="61"/>
    </row>
    <row r="536" spans="2:17" ht="19.5" x14ac:dyDescent="0.25">
      <c r="B536" s="179">
        <v>538</v>
      </c>
      <c r="C536" s="182" t="s">
        <v>781</v>
      </c>
      <c r="D536" s="50" t="s">
        <v>2701</v>
      </c>
      <c r="E536" s="50">
        <v>53</v>
      </c>
      <c r="F536" s="50">
        <v>109</v>
      </c>
      <c r="G536" s="50">
        <v>2</v>
      </c>
      <c r="H536" s="50" t="s">
        <v>26</v>
      </c>
      <c r="I536" s="46"/>
      <c r="J536" s="61">
        <v>1</v>
      </c>
      <c r="K536" s="64"/>
      <c r="L536" s="64"/>
      <c r="M536" s="64"/>
      <c r="N536" s="65"/>
      <c r="O536" s="65"/>
      <c r="P536" s="65"/>
      <c r="Q536" s="61"/>
    </row>
    <row r="537" spans="2:17" ht="19.5" x14ac:dyDescent="0.25">
      <c r="B537" s="179">
        <v>539</v>
      </c>
      <c r="C537" s="182" t="s">
        <v>123</v>
      </c>
      <c r="D537" s="50" t="s">
        <v>3011</v>
      </c>
      <c r="E537" s="50">
        <v>53</v>
      </c>
      <c r="F537" s="50">
        <v>119</v>
      </c>
      <c r="G537" s="50">
        <v>18</v>
      </c>
      <c r="H537" s="50" t="s">
        <v>27</v>
      </c>
      <c r="I537" s="46">
        <v>1</v>
      </c>
      <c r="J537" s="61"/>
      <c r="K537" s="64"/>
      <c r="L537" s="64"/>
      <c r="M537" s="64"/>
      <c r="N537" s="65"/>
      <c r="O537" s="65"/>
      <c r="P537" s="65">
        <v>1</v>
      </c>
      <c r="Q537" s="61"/>
    </row>
    <row r="538" spans="2:17" ht="19.5" x14ac:dyDescent="0.25">
      <c r="B538" s="179">
        <v>541</v>
      </c>
      <c r="C538" s="182" t="s">
        <v>781</v>
      </c>
      <c r="D538" s="50" t="s">
        <v>3013</v>
      </c>
      <c r="E538" s="50">
        <v>53</v>
      </c>
      <c r="F538" s="50">
        <v>124</v>
      </c>
      <c r="G538" s="50">
        <v>18</v>
      </c>
      <c r="H538" s="50" t="s">
        <v>27</v>
      </c>
      <c r="I538" s="46">
        <v>1</v>
      </c>
      <c r="J538" s="61"/>
      <c r="K538" s="64"/>
      <c r="L538" s="64"/>
      <c r="M538" s="64"/>
      <c r="N538" s="65"/>
      <c r="O538" s="65"/>
      <c r="P538" s="65">
        <v>1</v>
      </c>
      <c r="Q538" s="61"/>
    </row>
    <row r="539" spans="2:17" ht="19.5" x14ac:dyDescent="0.25">
      <c r="B539" s="179">
        <v>543</v>
      </c>
      <c r="C539" s="182" t="s">
        <v>166</v>
      </c>
      <c r="D539" s="50" t="s">
        <v>3016</v>
      </c>
      <c r="E539" s="50">
        <v>53</v>
      </c>
      <c r="F539" s="50">
        <v>90</v>
      </c>
      <c r="G539" s="50">
        <v>8</v>
      </c>
      <c r="H539" s="50" t="s">
        <v>27</v>
      </c>
      <c r="I539" s="46">
        <v>1</v>
      </c>
      <c r="J539" s="61"/>
      <c r="K539" s="64"/>
      <c r="L539" s="64"/>
      <c r="M539" s="64"/>
      <c r="N539" s="65"/>
      <c r="O539" s="65"/>
      <c r="P539" s="65"/>
      <c r="Q539" s="61"/>
    </row>
    <row r="540" spans="2:17" ht="19.5" x14ac:dyDescent="0.25">
      <c r="B540" s="179">
        <v>544</v>
      </c>
      <c r="C540" s="182" t="s">
        <v>677</v>
      </c>
      <c r="D540" s="50" t="s">
        <v>3020</v>
      </c>
      <c r="E540" s="50">
        <v>53</v>
      </c>
      <c r="F540" s="50">
        <v>117</v>
      </c>
      <c r="G540" s="50">
        <v>3</v>
      </c>
      <c r="H540" s="50" t="s">
        <v>27</v>
      </c>
      <c r="I540" s="46">
        <v>1</v>
      </c>
      <c r="J540" s="61"/>
      <c r="K540" s="64"/>
      <c r="L540" s="64"/>
      <c r="M540" s="64"/>
      <c r="N540" s="65"/>
      <c r="O540" s="65"/>
      <c r="P540" s="65"/>
      <c r="Q540" s="61"/>
    </row>
    <row r="541" spans="2:17" ht="19.5" x14ac:dyDescent="0.25">
      <c r="B541" s="179">
        <v>545</v>
      </c>
      <c r="C541" s="182" t="s">
        <v>677</v>
      </c>
      <c r="D541" s="50" t="s">
        <v>3021</v>
      </c>
      <c r="E541" s="50">
        <v>53</v>
      </c>
      <c r="F541" s="50">
        <v>107</v>
      </c>
      <c r="G541" s="50">
        <v>17</v>
      </c>
      <c r="H541" s="50" t="s">
        <v>26</v>
      </c>
      <c r="I541" s="46"/>
      <c r="J541" s="61">
        <v>1</v>
      </c>
      <c r="K541" s="64"/>
      <c r="L541" s="64"/>
      <c r="M541" s="64">
        <v>1</v>
      </c>
      <c r="N541" s="65"/>
      <c r="O541" s="65"/>
      <c r="P541" s="65"/>
      <c r="Q541" s="61"/>
    </row>
    <row r="542" spans="2:17" ht="19.5" x14ac:dyDescent="0.25">
      <c r="B542" s="179">
        <v>546</v>
      </c>
      <c r="C542" s="182" t="s">
        <v>362</v>
      </c>
      <c r="D542" s="50" t="s">
        <v>3022</v>
      </c>
      <c r="E542" s="50">
        <v>53</v>
      </c>
      <c r="F542" s="50">
        <v>105</v>
      </c>
      <c r="G542" s="50">
        <v>14</v>
      </c>
      <c r="H542" s="50" t="s">
        <v>26</v>
      </c>
      <c r="I542" s="46"/>
      <c r="J542" s="61">
        <v>1</v>
      </c>
      <c r="K542" s="64"/>
      <c r="L542" s="64"/>
      <c r="M542" s="64">
        <v>1</v>
      </c>
      <c r="N542" s="65"/>
      <c r="O542" s="65"/>
      <c r="P542" s="65"/>
      <c r="Q542" s="61"/>
    </row>
    <row r="543" spans="2:17" ht="19.5" x14ac:dyDescent="0.25">
      <c r="B543" s="179">
        <v>548</v>
      </c>
      <c r="C543" s="182" t="s">
        <v>2231</v>
      </c>
      <c r="D543" s="50" t="s">
        <v>3024</v>
      </c>
      <c r="E543" s="50">
        <v>53</v>
      </c>
      <c r="F543" s="50">
        <v>110</v>
      </c>
      <c r="G543" s="50">
        <v>13</v>
      </c>
      <c r="H543" s="50" t="s">
        <v>26</v>
      </c>
      <c r="I543" s="46"/>
      <c r="J543" s="61">
        <v>1</v>
      </c>
      <c r="K543" s="64"/>
      <c r="L543" s="64"/>
      <c r="M543" s="64"/>
      <c r="N543" s="65"/>
      <c r="O543" s="65"/>
      <c r="P543" s="65"/>
      <c r="Q543" s="61"/>
    </row>
    <row r="544" spans="2:17" ht="19.5" x14ac:dyDescent="0.25">
      <c r="B544" s="179">
        <v>549</v>
      </c>
      <c r="C544" s="182" t="s">
        <v>731</v>
      </c>
      <c r="D544" s="50" t="s">
        <v>2927</v>
      </c>
      <c r="E544" s="50">
        <v>53</v>
      </c>
      <c r="F544" s="50">
        <v>101</v>
      </c>
      <c r="G544" s="50">
        <v>13</v>
      </c>
      <c r="H544" s="50" t="s">
        <v>26</v>
      </c>
      <c r="I544" s="46"/>
      <c r="J544" s="61">
        <v>1</v>
      </c>
      <c r="K544" s="64"/>
      <c r="L544" s="64"/>
      <c r="M544" s="64"/>
      <c r="N544" s="65"/>
      <c r="O544" s="65"/>
      <c r="P544" s="65"/>
      <c r="Q544" s="61"/>
    </row>
    <row r="545" spans="1:17" ht="19.5" x14ac:dyDescent="0.25">
      <c r="B545" s="179">
        <v>550</v>
      </c>
      <c r="C545" s="182" t="s">
        <v>137</v>
      </c>
      <c r="D545" s="50" t="s">
        <v>3016</v>
      </c>
      <c r="E545" s="50">
        <v>53</v>
      </c>
      <c r="F545" s="50">
        <v>102</v>
      </c>
      <c r="G545" s="50">
        <v>10</v>
      </c>
      <c r="H545" s="50" t="s">
        <v>27</v>
      </c>
      <c r="I545" s="46">
        <v>1</v>
      </c>
      <c r="J545" s="61"/>
      <c r="K545" s="64"/>
      <c r="L545" s="64"/>
      <c r="M545" s="64"/>
      <c r="N545" s="65"/>
      <c r="O545" s="65"/>
      <c r="P545" s="65"/>
      <c r="Q545" s="61"/>
    </row>
    <row r="546" spans="1:17" ht="19.5" x14ac:dyDescent="0.25">
      <c r="B546" s="179">
        <v>551</v>
      </c>
      <c r="C546" s="182" t="s">
        <v>682</v>
      </c>
      <c r="D546" s="50" t="s">
        <v>3025</v>
      </c>
      <c r="E546" s="50">
        <v>53</v>
      </c>
      <c r="F546" s="50">
        <v>129</v>
      </c>
      <c r="G546" s="50">
        <v>1</v>
      </c>
      <c r="H546" s="50" t="s">
        <v>27</v>
      </c>
      <c r="I546" s="46">
        <v>1</v>
      </c>
      <c r="J546" s="61"/>
      <c r="K546" s="64"/>
      <c r="L546" s="64"/>
      <c r="M546" s="64"/>
      <c r="N546" s="65"/>
      <c r="O546" s="65"/>
      <c r="P546" s="65">
        <v>1</v>
      </c>
      <c r="Q546" s="61"/>
    </row>
    <row r="547" spans="1:17" ht="19.5" x14ac:dyDescent="0.25">
      <c r="B547" s="179">
        <v>552</v>
      </c>
      <c r="C547" s="175" t="s">
        <v>125</v>
      </c>
      <c r="D547" s="50" t="s">
        <v>3012</v>
      </c>
      <c r="E547" s="50">
        <v>53</v>
      </c>
      <c r="F547" s="50">
        <v>91</v>
      </c>
      <c r="G547" s="50">
        <v>18</v>
      </c>
      <c r="H547" s="50" t="s">
        <v>26</v>
      </c>
      <c r="I547" s="46"/>
      <c r="J547" s="61">
        <v>1</v>
      </c>
      <c r="K547" s="64"/>
      <c r="L547" s="64"/>
      <c r="M547" s="64">
        <v>1</v>
      </c>
      <c r="N547" s="65"/>
      <c r="O547" s="65"/>
      <c r="P547" s="65"/>
      <c r="Q547" s="61"/>
    </row>
    <row r="548" spans="1:17" ht="19.5" x14ac:dyDescent="0.25">
      <c r="B548" s="179">
        <v>553</v>
      </c>
      <c r="C548" s="182" t="s">
        <v>135</v>
      </c>
      <c r="D548" s="50" t="s">
        <v>3030</v>
      </c>
      <c r="E548" s="50">
        <v>53</v>
      </c>
      <c r="F548" s="50">
        <v>125</v>
      </c>
      <c r="G548" s="50">
        <v>7</v>
      </c>
      <c r="H548" s="50" t="s">
        <v>27</v>
      </c>
      <c r="I548" s="46">
        <v>1</v>
      </c>
      <c r="J548" s="61"/>
      <c r="K548" s="64"/>
      <c r="L548" s="64"/>
      <c r="M548" s="64"/>
      <c r="N548" s="65"/>
      <c r="O548" s="65"/>
      <c r="P548" s="65">
        <v>1</v>
      </c>
      <c r="Q548" s="61"/>
    </row>
    <row r="549" spans="1:17" ht="19.5" x14ac:dyDescent="0.25">
      <c r="B549" s="179">
        <v>554</v>
      </c>
      <c r="C549" s="182" t="s">
        <v>815</v>
      </c>
      <c r="D549" s="50" t="s">
        <v>3035</v>
      </c>
      <c r="E549" s="50">
        <v>53</v>
      </c>
      <c r="F549" s="50">
        <v>143</v>
      </c>
      <c r="G549" s="50">
        <v>15</v>
      </c>
      <c r="H549" s="50" t="s">
        <v>26</v>
      </c>
      <c r="I549" s="46"/>
      <c r="J549" s="61">
        <v>1</v>
      </c>
      <c r="K549" s="64"/>
      <c r="L549" s="64"/>
      <c r="M549" s="64"/>
      <c r="N549" s="65"/>
      <c r="O549" s="65"/>
      <c r="P549" s="65"/>
      <c r="Q549" s="61"/>
    </row>
    <row r="550" spans="1:17" ht="19.5" x14ac:dyDescent="0.25">
      <c r="B550" s="179">
        <v>555</v>
      </c>
      <c r="C550" s="182" t="s">
        <v>3036</v>
      </c>
      <c r="D550" s="50" t="s">
        <v>3037</v>
      </c>
      <c r="E550" s="50">
        <v>53</v>
      </c>
      <c r="F550" s="50">
        <v>129</v>
      </c>
      <c r="G550" s="50">
        <v>13</v>
      </c>
      <c r="H550" s="50" t="s">
        <v>27</v>
      </c>
      <c r="I550" s="46">
        <v>1</v>
      </c>
      <c r="J550" s="61"/>
      <c r="K550" s="64"/>
      <c r="L550" s="64"/>
      <c r="M550" s="64"/>
      <c r="N550" s="65"/>
      <c r="O550" s="65"/>
      <c r="P550" s="65">
        <v>1</v>
      </c>
      <c r="Q550" s="61"/>
    </row>
    <row r="551" spans="1:17" ht="33" customHeight="1" x14ac:dyDescent="0.25">
      <c r="B551" s="179">
        <v>556</v>
      </c>
      <c r="C551" s="182" t="s">
        <v>3038</v>
      </c>
      <c r="D551" s="50" t="s">
        <v>3039</v>
      </c>
      <c r="E551" s="50">
        <v>53</v>
      </c>
      <c r="F551" s="50">
        <v>2</v>
      </c>
      <c r="G551" s="50">
        <v>152</v>
      </c>
      <c r="H551" s="50" t="s">
        <v>27</v>
      </c>
      <c r="I551" s="46">
        <v>1</v>
      </c>
      <c r="J551" s="61"/>
      <c r="K551" s="64"/>
      <c r="L551" s="64"/>
      <c r="M551" s="64"/>
      <c r="N551" s="65"/>
      <c r="O551" s="65"/>
      <c r="P551" s="65"/>
      <c r="Q551" s="61"/>
    </row>
    <row r="552" spans="1:17" ht="19.5" x14ac:dyDescent="0.25">
      <c r="B552" s="179">
        <v>557</v>
      </c>
      <c r="C552" s="182" t="s">
        <v>599</v>
      </c>
      <c r="D552" s="50" t="s">
        <v>3042</v>
      </c>
      <c r="E552" s="50">
        <v>53</v>
      </c>
      <c r="F552" s="50">
        <v>179</v>
      </c>
      <c r="G552" s="50">
        <v>2</v>
      </c>
      <c r="H552" s="50" t="s">
        <v>27</v>
      </c>
      <c r="I552" s="46">
        <v>1</v>
      </c>
      <c r="J552" s="61"/>
      <c r="K552" s="64"/>
      <c r="L552" s="64"/>
      <c r="M552" s="64"/>
      <c r="N552" s="65"/>
      <c r="O552" s="65"/>
      <c r="P552" s="65"/>
      <c r="Q552" s="61"/>
    </row>
    <row r="553" spans="1:17" ht="19.5" x14ac:dyDescent="0.25">
      <c r="B553" s="179">
        <v>558</v>
      </c>
      <c r="C553" s="182" t="s">
        <v>131</v>
      </c>
      <c r="D553" s="50" t="s">
        <v>3043</v>
      </c>
      <c r="E553" s="50">
        <v>53</v>
      </c>
      <c r="F553" s="50">
        <v>156</v>
      </c>
      <c r="G553" s="50">
        <v>3</v>
      </c>
      <c r="H553" s="50" t="s">
        <v>27</v>
      </c>
      <c r="I553" s="46">
        <v>1</v>
      </c>
      <c r="J553" s="61"/>
      <c r="K553" s="64"/>
      <c r="L553" s="64"/>
      <c r="M553" s="64"/>
      <c r="N553" s="65"/>
      <c r="O553" s="65"/>
      <c r="P553" s="65">
        <v>1</v>
      </c>
      <c r="Q553" s="61"/>
    </row>
    <row r="554" spans="1:17" ht="19.5" x14ac:dyDescent="0.25">
      <c r="B554" s="179">
        <v>559</v>
      </c>
      <c r="C554" s="182" t="s">
        <v>138</v>
      </c>
      <c r="D554" s="199" t="s">
        <v>3053</v>
      </c>
      <c r="E554" s="200">
        <v>53</v>
      </c>
      <c r="F554" s="200">
        <v>33</v>
      </c>
      <c r="G554" s="200">
        <v>3</v>
      </c>
      <c r="H554" s="200" t="s">
        <v>26</v>
      </c>
      <c r="I554" s="44">
        <v>0</v>
      </c>
      <c r="J554" s="61">
        <v>1</v>
      </c>
      <c r="K554" s="64"/>
      <c r="L554" s="64"/>
      <c r="M554" s="64">
        <v>0</v>
      </c>
      <c r="N554" s="65"/>
      <c r="O554" s="65"/>
      <c r="P554" s="65">
        <v>0</v>
      </c>
      <c r="Q554" s="61"/>
    </row>
    <row r="555" spans="1:17" ht="22.5" x14ac:dyDescent="0.25">
      <c r="A555" s="63"/>
      <c r="B555" s="176"/>
      <c r="C555" s="186" t="s">
        <v>449</v>
      </c>
      <c r="D555" s="187"/>
      <c r="E555" s="176"/>
      <c r="F555" s="176"/>
      <c r="G555" s="176"/>
      <c r="H555" s="176"/>
      <c r="I555" s="183">
        <f>SUM(I2:I554)</f>
        <v>359</v>
      </c>
      <c r="J555" s="53">
        <f>SUM(J2:J554)</f>
        <v>193</v>
      </c>
      <c r="K555" s="64">
        <f>SUM(K2:K498)</f>
        <v>0</v>
      </c>
      <c r="L555" s="64">
        <f>SUM(L2:L498)</f>
        <v>0</v>
      </c>
      <c r="M555" s="64">
        <f>SUM(M2:M554)</f>
        <v>6</v>
      </c>
      <c r="N555" s="65">
        <f>SUM(N2:N498)</f>
        <v>0</v>
      </c>
      <c r="O555" s="65"/>
      <c r="P555" s="65">
        <f>SUM(P2:P554)</f>
        <v>342</v>
      </c>
      <c r="Q555" s="63"/>
    </row>
    <row r="556" spans="1:17" s="55" customFormat="1" ht="176.25" customHeight="1" x14ac:dyDescent="0.25">
      <c r="B556" s="54"/>
      <c r="C556" s="54"/>
      <c r="J556" s="54"/>
      <c r="K556" s="60"/>
      <c r="L556" s="60"/>
      <c r="M556" s="60"/>
      <c r="N556" s="60"/>
      <c r="O556" s="60"/>
      <c r="P556" s="60"/>
      <c r="Q556" s="54"/>
    </row>
    <row r="557" spans="1:17" thickBot="1" x14ac:dyDescent="0.3">
      <c r="K557" s="58"/>
      <c r="L557" s="58"/>
      <c r="M557" s="58"/>
      <c r="N557" s="59"/>
      <c r="O557" s="59"/>
      <c r="P557" s="59"/>
    </row>
    <row r="558" spans="1:17" ht="19.5" x14ac:dyDescent="0.25"/>
    <row r="559" spans="1:17" ht="19.5" x14ac:dyDescent="0.25"/>
    <row r="560" spans="1:17" ht="19.5" x14ac:dyDescent="0.25"/>
    <row r="561" ht="19.5" x14ac:dyDescent="0.25"/>
    <row r="562" ht="19.5" x14ac:dyDescent="0.25"/>
    <row r="563" ht="19.5" x14ac:dyDescent="0.25"/>
    <row r="564" ht="19.5" x14ac:dyDescent="0.25"/>
    <row r="565" ht="19.5" x14ac:dyDescent="0.25"/>
    <row r="566" ht="19.5" x14ac:dyDescent="0.25"/>
    <row r="567" ht="19.5" x14ac:dyDescent="0.25"/>
    <row r="568" ht="19.5" x14ac:dyDescent="0.25"/>
    <row r="569" ht="19.5" x14ac:dyDescent="0.25"/>
    <row r="570" ht="19.5" x14ac:dyDescent="0.25"/>
    <row r="571" ht="19.5" x14ac:dyDescent="0.25"/>
    <row r="572" ht="19.5" x14ac:dyDescent="0.25"/>
    <row r="573" ht="19.5" x14ac:dyDescent="0.25"/>
    <row r="574" ht="19.5" x14ac:dyDescent="0.25"/>
    <row r="575" ht="19.5" x14ac:dyDescent="0.25"/>
    <row r="576" ht="19.5" x14ac:dyDescent="0.25"/>
    <row r="577" ht="19.5" x14ac:dyDescent="0.25"/>
    <row r="578" ht="19.5" x14ac:dyDescent="0.25"/>
    <row r="579" ht="19.5" x14ac:dyDescent="0.25"/>
    <row r="580" ht="19.5" x14ac:dyDescent="0.25"/>
    <row r="581" ht="19.5" x14ac:dyDescent="0.25"/>
  </sheetData>
  <autoFilter ref="D1:Q555" xr:uid="{F17606DF-8689-453D-931E-4D548BA017CC}"/>
  <pageMargins left="0.7" right="0.7" top="0.75" bottom="0.75" header="0.3" footer="0.3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D4B4A2-4CD4-442F-9435-C9C701F9B8DD}">
  <sheetPr>
    <pageSetUpPr fitToPage="1"/>
  </sheetPr>
  <dimension ref="B1:M108"/>
  <sheetViews>
    <sheetView rightToLeft="1" zoomScale="130" zoomScaleNormal="130" workbookViewId="0">
      <pane ySplit="1" topLeftCell="A2" activePane="bottomLeft" state="frozen"/>
      <selection pane="bottomLeft" activeCell="I105" sqref="I105"/>
    </sheetView>
  </sheetViews>
  <sheetFormatPr defaultRowHeight="18.75" x14ac:dyDescent="0.25"/>
  <cols>
    <col min="1" max="1" width="9.140625" style="23" customWidth="1"/>
    <col min="2" max="2" width="5.5703125" style="23" bestFit="1" customWidth="1"/>
    <col min="3" max="3" width="13.140625" style="23" bestFit="1" customWidth="1"/>
    <col min="4" max="4" width="19" style="23" bestFit="1" customWidth="1"/>
    <col min="5" max="5" width="11.5703125" style="23" bestFit="1" customWidth="1"/>
    <col min="6" max="6" width="9.140625" style="23" bestFit="1" customWidth="1"/>
    <col min="7" max="7" width="9.42578125" style="23" bestFit="1" customWidth="1"/>
    <col min="8" max="8" width="9.7109375" style="23" bestFit="1" customWidth="1"/>
    <col min="9" max="9" width="11.140625" style="23" bestFit="1" customWidth="1"/>
    <col min="10" max="10" width="23" style="23" bestFit="1" customWidth="1"/>
    <col min="11" max="11" width="8.85546875" style="23" bestFit="1" customWidth="1"/>
    <col min="12" max="12" width="9.140625" style="23" bestFit="1" customWidth="1"/>
    <col min="13" max="13" width="17.42578125" style="23" bestFit="1" customWidth="1"/>
    <col min="14" max="16384" width="9.140625" style="23"/>
  </cols>
  <sheetData>
    <row r="1" spans="2:13" ht="30.75" customHeight="1" x14ac:dyDescent="0.25">
      <c r="B1" s="27" t="s">
        <v>0</v>
      </c>
      <c r="C1" s="27" t="s">
        <v>420</v>
      </c>
      <c r="D1" s="27" t="s">
        <v>419</v>
      </c>
      <c r="E1" s="22" t="s">
        <v>124</v>
      </c>
      <c r="F1" s="22" t="s">
        <v>1</v>
      </c>
      <c r="G1" s="22" t="s">
        <v>0</v>
      </c>
      <c r="H1" s="22" t="s">
        <v>2</v>
      </c>
      <c r="I1" s="27" t="s">
        <v>117</v>
      </c>
      <c r="J1" s="22" t="s">
        <v>116</v>
      </c>
      <c r="K1" s="22" t="s">
        <v>160</v>
      </c>
      <c r="L1" s="22" t="s">
        <v>161</v>
      </c>
      <c r="M1" s="22" t="s">
        <v>5</v>
      </c>
    </row>
    <row r="2" spans="2:13" x14ac:dyDescent="0.25">
      <c r="B2" s="22">
        <v>1</v>
      </c>
      <c r="C2" s="22" t="s">
        <v>326</v>
      </c>
      <c r="D2" s="22" t="s">
        <v>3083</v>
      </c>
      <c r="E2" s="22"/>
      <c r="F2" s="22"/>
      <c r="G2" s="22"/>
      <c r="H2" s="22"/>
      <c r="I2" s="22" t="s">
        <v>114</v>
      </c>
      <c r="J2" s="22" t="s">
        <v>114</v>
      </c>
      <c r="K2" s="22" t="s">
        <v>114</v>
      </c>
      <c r="L2" s="22"/>
      <c r="M2" s="22"/>
    </row>
    <row r="3" spans="2:13" x14ac:dyDescent="0.25">
      <c r="B3" s="22">
        <v>2</v>
      </c>
      <c r="C3" s="22" t="s">
        <v>3085</v>
      </c>
      <c r="D3" s="22" t="s">
        <v>3086</v>
      </c>
      <c r="E3" s="22"/>
      <c r="F3" s="22"/>
      <c r="G3" s="22"/>
      <c r="H3" s="22"/>
      <c r="I3" s="22" t="s">
        <v>114</v>
      </c>
      <c r="J3" s="22" t="s">
        <v>114</v>
      </c>
      <c r="K3" s="22" t="s">
        <v>114</v>
      </c>
      <c r="L3" s="22"/>
      <c r="M3" s="22"/>
    </row>
    <row r="4" spans="2:13" x14ac:dyDescent="0.25">
      <c r="B4" s="22">
        <v>3</v>
      </c>
      <c r="C4" s="22" t="s">
        <v>3084</v>
      </c>
      <c r="D4" s="22" t="s">
        <v>2796</v>
      </c>
      <c r="E4" s="22"/>
      <c r="F4" s="22"/>
      <c r="G4" s="22"/>
      <c r="H4" s="22"/>
      <c r="I4" s="22" t="s">
        <v>114</v>
      </c>
      <c r="J4" s="22" t="s">
        <v>114</v>
      </c>
      <c r="K4" s="22" t="s">
        <v>114</v>
      </c>
      <c r="L4" s="22"/>
      <c r="M4" s="22"/>
    </row>
    <row r="5" spans="2:13" x14ac:dyDescent="0.25">
      <c r="B5" s="22">
        <v>4</v>
      </c>
      <c r="C5" s="22" t="s">
        <v>181</v>
      </c>
      <c r="D5" s="22" t="s">
        <v>3087</v>
      </c>
      <c r="E5" s="22"/>
      <c r="F5" s="22"/>
      <c r="G5" s="22"/>
      <c r="H5" s="22"/>
      <c r="I5" s="22" t="s">
        <v>114</v>
      </c>
      <c r="J5" s="22" t="s">
        <v>114</v>
      </c>
      <c r="K5" s="22" t="s">
        <v>114</v>
      </c>
      <c r="L5" s="22"/>
      <c r="M5" s="22"/>
    </row>
    <row r="6" spans="2:13" x14ac:dyDescent="0.25">
      <c r="B6" s="22">
        <v>5</v>
      </c>
      <c r="C6" s="22" t="s">
        <v>181</v>
      </c>
      <c r="D6" s="22" t="s">
        <v>3088</v>
      </c>
      <c r="E6" s="22"/>
      <c r="F6" s="22"/>
      <c r="G6" s="22"/>
      <c r="H6" s="22"/>
      <c r="I6" s="22" t="s">
        <v>114</v>
      </c>
      <c r="J6" s="22" t="s">
        <v>114</v>
      </c>
      <c r="K6" s="22" t="s">
        <v>114</v>
      </c>
      <c r="L6" s="22"/>
      <c r="M6" s="22"/>
    </row>
    <row r="7" spans="2:13" x14ac:dyDescent="0.25">
      <c r="B7" s="22">
        <v>6</v>
      </c>
      <c r="C7" s="22" t="s">
        <v>344</v>
      </c>
      <c r="D7" s="22" t="s">
        <v>2208</v>
      </c>
      <c r="E7" s="22"/>
      <c r="F7" s="22"/>
      <c r="G7" s="22"/>
      <c r="H7" s="22"/>
      <c r="I7" s="22" t="s">
        <v>114</v>
      </c>
      <c r="J7" s="22" t="s">
        <v>114</v>
      </c>
      <c r="K7" s="22" t="s">
        <v>114</v>
      </c>
      <c r="L7" s="22"/>
      <c r="M7" s="22"/>
    </row>
    <row r="8" spans="2:13" x14ac:dyDescent="0.25">
      <c r="B8" s="22">
        <v>7</v>
      </c>
      <c r="C8" s="22" t="s">
        <v>201</v>
      </c>
      <c r="D8" s="22" t="s">
        <v>1698</v>
      </c>
      <c r="E8" s="22"/>
      <c r="F8" s="22"/>
      <c r="G8" s="22"/>
      <c r="H8" s="22"/>
      <c r="I8" s="22" t="s">
        <v>114</v>
      </c>
      <c r="J8" s="22" t="s">
        <v>114</v>
      </c>
      <c r="K8" s="22" t="s">
        <v>114</v>
      </c>
      <c r="L8" s="22"/>
      <c r="M8" s="22"/>
    </row>
    <row r="9" spans="2:13" x14ac:dyDescent="0.25">
      <c r="B9" s="22">
        <v>8</v>
      </c>
      <c r="C9" s="22" t="s">
        <v>348</v>
      </c>
      <c r="D9" s="22" t="s">
        <v>801</v>
      </c>
      <c r="E9" s="22"/>
      <c r="F9" s="22"/>
      <c r="G9" s="22"/>
      <c r="H9" s="22"/>
      <c r="I9" s="22" t="s">
        <v>114</v>
      </c>
      <c r="J9" s="22" t="s">
        <v>114</v>
      </c>
      <c r="K9" s="22" t="s">
        <v>114</v>
      </c>
      <c r="L9" s="22"/>
      <c r="M9" s="22"/>
    </row>
    <row r="10" spans="2:13" x14ac:dyDescent="0.25">
      <c r="B10" s="22">
        <v>9</v>
      </c>
      <c r="C10" s="22" t="s">
        <v>247</v>
      </c>
      <c r="D10" s="22" t="s">
        <v>3089</v>
      </c>
      <c r="E10" s="22"/>
      <c r="F10" s="22"/>
      <c r="G10" s="22"/>
      <c r="H10" s="22"/>
      <c r="I10" s="22" t="s">
        <v>114</v>
      </c>
      <c r="J10" s="22" t="s">
        <v>114</v>
      </c>
      <c r="K10" s="22" t="s">
        <v>114</v>
      </c>
      <c r="L10" s="22"/>
      <c r="M10" s="22"/>
    </row>
    <row r="11" spans="2:13" x14ac:dyDescent="0.25">
      <c r="B11" s="22">
        <v>10</v>
      </c>
      <c r="C11" s="22" t="s">
        <v>344</v>
      </c>
      <c r="D11" s="22" t="s">
        <v>3090</v>
      </c>
      <c r="E11" s="22"/>
      <c r="F11" s="22"/>
      <c r="G11" s="22"/>
      <c r="H11" s="22"/>
      <c r="I11" s="22" t="s">
        <v>114</v>
      </c>
      <c r="J11" s="22" t="s">
        <v>114</v>
      </c>
      <c r="K11" s="22" t="s">
        <v>114</v>
      </c>
      <c r="L11" s="22"/>
      <c r="M11" s="22"/>
    </row>
    <row r="12" spans="2:13" x14ac:dyDescent="0.25">
      <c r="B12" s="22">
        <v>11</v>
      </c>
      <c r="C12" s="22" t="s">
        <v>302</v>
      </c>
      <c r="D12" s="22" t="s">
        <v>2978</v>
      </c>
      <c r="E12" s="22"/>
      <c r="F12" s="22"/>
      <c r="G12" s="22"/>
      <c r="H12" s="22"/>
      <c r="I12" s="22" t="s">
        <v>114</v>
      </c>
      <c r="J12" s="22" t="s">
        <v>114</v>
      </c>
      <c r="K12" s="22" t="s">
        <v>114</v>
      </c>
      <c r="L12" s="22"/>
      <c r="M12" s="22"/>
    </row>
    <row r="13" spans="2:13" x14ac:dyDescent="0.25">
      <c r="B13" s="22">
        <v>12</v>
      </c>
      <c r="C13" s="22" t="s">
        <v>131</v>
      </c>
      <c r="D13" s="22" t="s">
        <v>775</v>
      </c>
      <c r="E13" s="22"/>
      <c r="F13" s="22"/>
      <c r="G13" s="22"/>
      <c r="H13" s="22"/>
      <c r="I13" s="22" t="s">
        <v>114</v>
      </c>
      <c r="J13" s="22" t="s">
        <v>114</v>
      </c>
      <c r="K13" s="22" t="s">
        <v>114</v>
      </c>
      <c r="L13" s="22"/>
      <c r="M13" s="22"/>
    </row>
    <row r="14" spans="2:13" x14ac:dyDescent="0.25">
      <c r="B14" s="22">
        <v>13</v>
      </c>
      <c r="C14" s="22" t="s">
        <v>197</v>
      </c>
      <c r="D14" s="22" t="s">
        <v>3091</v>
      </c>
      <c r="E14" s="22"/>
      <c r="F14" s="22"/>
      <c r="G14" s="22"/>
      <c r="H14" s="22"/>
      <c r="I14" s="22" t="s">
        <v>114</v>
      </c>
      <c r="J14" s="22" t="s">
        <v>114</v>
      </c>
      <c r="K14" s="22" t="s">
        <v>114</v>
      </c>
      <c r="L14" s="22"/>
      <c r="M14" s="22"/>
    </row>
    <row r="15" spans="2:13" x14ac:dyDescent="0.25">
      <c r="B15" s="22">
        <v>14</v>
      </c>
      <c r="C15" s="22" t="s">
        <v>3092</v>
      </c>
      <c r="D15" s="22" t="s">
        <v>3093</v>
      </c>
      <c r="E15" s="22"/>
      <c r="F15" s="22"/>
      <c r="G15" s="22"/>
      <c r="H15" s="22"/>
      <c r="I15" s="22" t="s">
        <v>114</v>
      </c>
      <c r="J15" s="22" t="s">
        <v>114</v>
      </c>
      <c r="K15" s="22" t="s">
        <v>114</v>
      </c>
      <c r="L15" s="22"/>
      <c r="M15" s="22"/>
    </row>
    <row r="16" spans="2:13" x14ac:dyDescent="0.25">
      <c r="B16" s="22">
        <v>15</v>
      </c>
      <c r="C16" s="22" t="s">
        <v>203</v>
      </c>
      <c r="D16" s="22" t="s">
        <v>3094</v>
      </c>
      <c r="E16" s="22"/>
      <c r="F16" s="22"/>
      <c r="G16" s="22"/>
      <c r="H16" s="22"/>
      <c r="I16" s="22" t="s">
        <v>114</v>
      </c>
      <c r="J16" s="22" t="s">
        <v>114</v>
      </c>
      <c r="K16" s="22" t="s">
        <v>114</v>
      </c>
      <c r="L16" s="22"/>
      <c r="M16" s="22"/>
    </row>
    <row r="17" spans="2:13" x14ac:dyDescent="0.25">
      <c r="B17" s="22">
        <v>16</v>
      </c>
      <c r="C17" s="22" t="s">
        <v>302</v>
      </c>
      <c r="D17" s="22" t="s">
        <v>339</v>
      </c>
      <c r="E17" s="22"/>
      <c r="F17" s="22"/>
      <c r="G17" s="22"/>
      <c r="H17" s="22"/>
      <c r="I17" s="22" t="s">
        <v>114</v>
      </c>
      <c r="J17" s="22" t="s">
        <v>114</v>
      </c>
      <c r="K17" s="22" t="s">
        <v>114</v>
      </c>
      <c r="L17" s="22"/>
      <c r="M17" s="22"/>
    </row>
    <row r="18" spans="2:13" x14ac:dyDescent="0.25">
      <c r="B18" s="22">
        <v>17</v>
      </c>
      <c r="C18" s="22" t="s">
        <v>3095</v>
      </c>
      <c r="D18" s="22" t="s">
        <v>3096</v>
      </c>
      <c r="E18" s="22"/>
      <c r="F18" s="22"/>
      <c r="G18" s="22"/>
      <c r="H18" s="22"/>
      <c r="I18" s="22" t="s">
        <v>114</v>
      </c>
      <c r="J18" s="22" t="s">
        <v>114</v>
      </c>
      <c r="K18" s="22" t="s">
        <v>114</v>
      </c>
      <c r="L18" s="22"/>
      <c r="M18" s="22"/>
    </row>
    <row r="19" spans="2:13" x14ac:dyDescent="0.25">
      <c r="B19" s="22">
        <v>18</v>
      </c>
      <c r="C19" s="22" t="s">
        <v>3097</v>
      </c>
      <c r="D19" s="22" t="s">
        <v>3098</v>
      </c>
      <c r="E19" s="7" t="s">
        <v>156</v>
      </c>
      <c r="F19" s="7">
        <v>29</v>
      </c>
      <c r="G19" s="7">
        <v>45</v>
      </c>
      <c r="H19" s="7">
        <v>8</v>
      </c>
      <c r="I19" s="22" t="s">
        <v>114</v>
      </c>
      <c r="J19" s="22" t="s">
        <v>114</v>
      </c>
      <c r="K19" s="22" t="s">
        <v>114</v>
      </c>
      <c r="L19" s="22"/>
      <c r="M19" s="22"/>
    </row>
    <row r="20" spans="2:13" x14ac:dyDescent="0.25">
      <c r="B20" s="22">
        <v>19</v>
      </c>
      <c r="C20" s="22" t="s">
        <v>232</v>
      </c>
      <c r="D20" s="22" t="s">
        <v>3099</v>
      </c>
      <c r="E20" s="22"/>
      <c r="F20" s="22"/>
      <c r="G20" s="22"/>
      <c r="H20" s="22"/>
      <c r="I20" s="22" t="s">
        <v>114</v>
      </c>
      <c r="J20" s="22" t="s">
        <v>114</v>
      </c>
      <c r="K20" s="22" t="s">
        <v>114</v>
      </c>
      <c r="L20" s="22"/>
      <c r="M20" s="22"/>
    </row>
    <row r="21" spans="2:13" x14ac:dyDescent="0.25">
      <c r="B21" s="22">
        <v>20</v>
      </c>
      <c r="C21" s="22" t="s">
        <v>315</v>
      </c>
      <c r="D21" s="22" t="s">
        <v>3100</v>
      </c>
      <c r="E21" s="22"/>
      <c r="F21" s="22"/>
      <c r="G21" s="22"/>
      <c r="H21" s="22"/>
      <c r="I21" s="22" t="s">
        <v>114</v>
      </c>
      <c r="J21" s="22" t="s">
        <v>114</v>
      </c>
      <c r="K21" s="22" t="s">
        <v>114</v>
      </c>
      <c r="L21" s="22"/>
      <c r="M21" s="22"/>
    </row>
    <row r="22" spans="2:13" x14ac:dyDescent="0.25">
      <c r="B22" s="22">
        <v>21</v>
      </c>
      <c r="C22" s="22" t="s">
        <v>3101</v>
      </c>
      <c r="D22" s="22" t="s">
        <v>3102</v>
      </c>
      <c r="E22" s="22"/>
      <c r="F22" s="22"/>
      <c r="G22" s="22"/>
      <c r="H22" s="22"/>
      <c r="I22" s="22" t="s">
        <v>114</v>
      </c>
      <c r="J22" s="22" t="s">
        <v>114</v>
      </c>
      <c r="K22" s="22" t="s">
        <v>114</v>
      </c>
      <c r="L22" s="22"/>
      <c r="M22" s="22"/>
    </row>
    <row r="23" spans="2:13" x14ac:dyDescent="0.25">
      <c r="B23" s="22">
        <v>22</v>
      </c>
      <c r="C23" s="22" t="s">
        <v>809</v>
      </c>
      <c r="D23" s="22" t="s">
        <v>3103</v>
      </c>
      <c r="E23" s="22"/>
      <c r="F23" s="22"/>
      <c r="G23" s="22"/>
      <c r="H23" s="22"/>
      <c r="I23" s="22" t="s">
        <v>114</v>
      </c>
      <c r="J23" s="22" t="s">
        <v>114</v>
      </c>
      <c r="K23" s="22" t="s">
        <v>114</v>
      </c>
      <c r="L23" s="22"/>
      <c r="M23" s="22"/>
    </row>
    <row r="24" spans="2:13" x14ac:dyDescent="0.25">
      <c r="B24" s="22">
        <v>23</v>
      </c>
      <c r="C24" s="22" t="s">
        <v>3105</v>
      </c>
      <c r="D24" s="22" t="s">
        <v>3104</v>
      </c>
      <c r="E24" s="22"/>
      <c r="F24" s="22"/>
      <c r="G24" s="22"/>
      <c r="H24" s="22"/>
      <c r="I24" s="22" t="s">
        <v>114</v>
      </c>
      <c r="J24" s="22" t="s">
        <v>114</v>
      </c>
      <c r="K24" s="22" t="s">
        <v>114</v>
      </c>
      <c r="L24" s="22"/>
      <c r="M24" s="22"/>
    </row>
    <row r="25" spans="2:13" x14ac:dyDescent="0.25">
      <c r="B25" s="22">
        <v>24</v>
      </c>
      <c r="C25" s="22" t="s">
        <v>3164</v>
      </c>
      <c r="D25" s="22" t="s">
        <v>3106</v>
      </c>
      <c r="E25" s="22" t="s">
        <v>3165</v>
      </c>
      <c r="F25" s="22">
        <v>26</v>
      </c>
      <c r="G25" s="22">
        <v>53</v>
      </c>
      <c r="H25" s="22">
        <v>15</v>
      </c>
      <c r="I25" s="22" t="s">
        <v>114</v>
      </c>
      <c r="J25" s="22" t="s">
        <v>114</v>
      </c>
      <c r="K25" s="22" t="s">
        <v>114</v>
      </c>
      <c r="L25" s="22"/>
      <c r="M25" s="22"/>
    </row>
    <row r="26" spans="2:13" x14ac:dyDescent="0.25">
      <c r="B26" s="22">
        <v>25</v>
      </c>
      <c r="C26" s="22" t="s">
        <v>214</v>
      </c>
      <c r="D26" s="22" t="s">
        <v>3107</v>
      </c>
      <c r="E26" s="22"/>
      <c r="F26" s="22"/>
      <c r="G26" s="22"/>
      <c r="H26" s="22"/>
      <c r="I26" s="22" t="s">
        <v>114</v>
      </c>
      <c r="J26" s="22" t="s">
        <v>114</v>
      </c>
      <c r="K26" s="22" t="s">
        <v>114</v>
      </c>
      <c r="L26" s="22"/>
      <c r="M26" s="22"/>
    </row>
    <row r="27" spans="2:13" x14ac:dyDescent="0.25">
      <c r="B27" s="22">
        <v>26</v>
      </c>
      <c r="C27" s="22" t="s">
        <v>346</v>
      </c>
      <c r="D27" s="22" t="s">
        <v>347</v>
      </c>
      <c r="E27" s="22"/>
      <c r="F27" s="22"/>
      <c r="G27" s="22"/>
      <c r="H27" s="22"/>
      <c r="I27" s="22" t="s">
        <v>114</v>
      </c>
      <c r="J27" s="22" t="s">
        <v>114</v>
      </c>
      <c r="K27" s="22" t="s">
        <v>114</v>
      </c>
      <c r="L27" s="22"/>
      <c r="M27" s="22"/>
    </row>
    <row r="28" spans="2:13" x14ac:dyDescent="0.25">
      <c r="B28" s="22">
        <v>27</v>
      </c>
      <c r="C28" s="22" t="s">
        <v>214</v>
      </c>
      <c r="D28" s="22" t="s">
        <v>3108</v>
      </c>
      <c r="E28" s="22"/>
      <c r="F28" s="22"/>
      <c r="G28" s="22"/>
      <c r="H28" s="22"/>
      <c r="I28" s="22" t="s">
        <v>114</v>
      </c>
      <c r="J28" s="22" t="s">
        <v>114</v>
      </c>
      <c r="K28" s="22" t="s">
        <v>114</v>
      </c>
      <c r="L28" s="22"/>
      <c r="M28" s="22"/>
    </row>
    <row r="29" spans="2:13" x14ac:dyDescent="0.25">
      <c r="B29" s="22">
        <v>28</v>
      </c>
      <c r="C29" s="22" t="s">
        <v>344</v>
      </c>
      <c r="D29" s="22" t="s">
        <v>476</v>
      </c>
      <c r="E29" s="22"/>
      <c r="F29" s="22"/>
      <c r="G29" s="22"/>
      <c r="H29" s="22"/>
      <c r="I29" s="22" t="s">
        <v>114</v>
      </c>
      <c r="J29" s="22" t="s">
        <v>114</v>
      </c>
      <c r="K29" s="22" t="s">
        <v>114</v>
      </c>
      <c r="L29" s="22"/>
      <c r="M29" s="22"/>
    </row>
    <row r="30" spans="2:13" x14ac:dyDescent="0.25">
      <c r="B30" s="22">
        <v>29</v>
      </c>
      <c r="C30" s="22" t="s">
        <v>203</v>
      </c>
      <c r="D30" s="22" t="s">
        <v>3109</v>
      </c>
      <c r="E30" s="22" t="s">
        <v>119</v>
      </c>
      <c r="F30" s="22"/>
      <c r="G30" s="22"/>
      <c r="H30" s="22"/>
      <c r="I30" s="22"/>
      <c r="J30" s="22"/>
      <c r="K30" s="22"/>
      <c r="L30" s="22"/>
      <c r="M30" s="22"/>
    </row>
    <row r="31" spans="2:13" x14ac:dyDescent="0.25">
      <c r="B31" s="22">
        <v>30</v>
      </c>
      <c r="C31" s="22" t="s">
        <v>181</v>
      </c>
      <c r="D31" s="22" t="s">
        <v>1268</v>
      </c>
      <c r="E31" s="22"/>
      <c r="F31" s="22"/>
      <c r="G31" s="22"/>
      <c r="H31" s="22"/>
      <c r="I31" s="22" t="s">
        <v>114</v>
      </c>
      <c r="J31" s="22" t="s">
        <v>114</v>
      </c>
      <c r="K31" s="22" t="s">
        <v>114</v>
      </c>
      <c r="L31" s="22"/>
      <c r="M31" s="22"/>
    </row>
    <row r="32" spans="2:13" x14ac:dyDescent="0.25">
      <c r="B32" s="22">
        <v>31</v>
      </c>
      <c r="C32" s="22" t="s">
        <v>179</v>
      </c>
      <c r="D32" s="22" t="s">
        <v>3065</v>
      </c>
      <c r="E32" s="22"/>
      <c r="F32" s="22"/>
      <c r="G32" s="22"/>
      <c r="H32" s="22"/>
      <c r="I32" s="22" t="s">
        <v>114</v>
      </c>
      <c r="J32" s="22" t="s">
        <v>114</v>
      </c>
      <c r="K32" s="22" t="s">
        <v>114</v>
      </c>
      <c r="L32" s="22"/>
      <c r="M32" s="22"/>
    </row>
    <row r="33" spans="2:13" x14ac:dyDescent="0.25">
      <c r="B33" s="22">
        <v>32</v>
      </c>
      <c r="C33" s="22" t="s">
        <v>3110</v>
      </c>
      <c r="D33" s="22" t="s">
        <v>3111</v>
      </c>
      <c r="E33" s="22"/>
      <c r="F33" s="22"/>
      <c r="G33" s="22"/>
      <c r="H33" s="22"/>
      <c r="I33" s="22" t="s">
        <v>114</v>
      </c>
      <c r="J33" s="22" t="s">
        <v>114</v>
      </c>
      <c r="K33" s="22" t="s">
        <v>114</v>
      </c>
      <c r="L33" s="22"/>
      <c r="M33" s="22"/>
    </row>
    <row r="34" spans="2:13" x14ac:dyDescent="0.25">
      <c r="B34" s="22">
        <v>33</v>
      </c>
      <c r="C34" s="22" t="s">
        <v>918</v>
      </c>
      <c r="D34" s="22" t="s">
        <v>3123</v>
      </c>
      <c r="E34" s="22"/>
      <c r="F34" s="22"/>
      <c r="G34" s="22"/>
      <c r="H34" s="22"/>
      <c r="I34" s="22" t="s">
        <v>114</v>
      </c>
      <c r="J34" s="22" t="s">
        <v>114</v>
      </c>
      <c r="K34" s="22" t="s">
        <v>114</v>
      </c>
      <c r="L34" s="22"/>
      <c r="M34" s="22"/>
    </row>
    <row r="35" spans="2:13" x14ac:dyDescent="0.25">
      <c r="B35" s="22">
        <v>34</v>
      </c>
      <c r="C35" s="22" t="s">
        <v>138</v>
      </c>
      <c r="D35" s="22" t="s">
        <v>2232</v>
      </c>
      <c r="E35" s="22"/>
      <c r="F35" s="22"/>
      <c r="G35" s="22"/>
      <c r="H35" s="22"/>
      <c r="I35" s="22" t="s">
        <v>114</v>
      </c>
      <c r="J35" s="22" t="s">
        <v>114</v>
      </c>
      <c r="K35" s="22" t="s">
        <v>114</v>
      </c>
      <c r="L35" s="22"/>
      <c r="M35" s="22"/>
    </row>
    <row r="36" spans="2:13" x14ac:dyDescent="0.25">
      <c r="B36" s="22">
        <v>35</v>
      </c>
      <c r="C36" s="22" t="s">
        <v>456</v>
      </c>
      <c r="D36" s="22" t="s">
        <v>3112</v>
      </c>
      <c r="E36" s="22"/>
      <c r="F36" s="22"/>
      <c r="G36" s="22"/>
      <c r="H36" s="22"/>
      <c r="I36" s="22" t="s">
        <v>114</v>
      </c>
      <c r="J36" s="22" t="s">
        <v>114</v>
      </c>
      <c r="K36" s="22" t="s">
        <v>114</v>
      </c>
      <c r="L36" s="22"/>
      <c r="M36" s="22"/>
    </row>
    <row r="37" spans="2:13" x14ac:dyDescent="0.25">
      <c r="B37" s="22">
        <v>36</v>
      </c>
      <c r="C37" s="22" t="s">
        <v>572</v>
      </c>
      <c r="D37" s="22" t="s">
        <v>3113</v>
      </c>
      <c r="E37" s="22"/>
      <c r="F37" s="22"/>
      <c r="G37" s="22"/>
      <c r="H37" s="22"/>
      <c r="I37" s="22" t="s">
        <v>114</v>
      </c>
      <c r="J37" s="22" t="s">
        <v>114</v>
      </c>
      <c r="K37" s="22" t="s">
        <v>114</v>
      </c>
      <c r="L37" s="22"/>
      <c r="M37" s="22"/>
    </row>
    <row r="38" spans="2:13" x14ac:dyDescent="0.25">
      <c r="B38" s="22">
        <v>37</v>
      </c>
      <c r="C38" s="22" t="s">
        <v>396</v>
      </c>
      <c r="D38" s="22" t="s">
        <v>259</v>
      </c>
      <c r="E38" s="22"/>
      <c r="F38" s="22"/>
      <c r="G38" s="22"/>
      <c r="H38" s="22"/>
      <c r="I38" s="22" t="s">
        <v>114</v>
      </c>
      <c r="J38" s="22" t="s">
        <v>114</v>
      </c>
      <c r="K38" s="22" t="s">
        <v>114</v>
      </c>
      <c r="L38" s="22"/>
      <c r="M38" s="22"/>
    </row>
    <row r="39" spans="2:13" x14ac:dyDescent="0.25">
      <c r="B39" s="22">
        <v>38</v>
      </c>
      <c r="C39" s="22" t="s">
        <v>183</v>
      </c>
      <c r="D39" s="22" t="s">
        <v>405</v>
      </c>
      <c r="E39" s="22"/>
      <c r="F39" s="22"/>
      <c r="G39" s="22"/>
      <c r="H39" s="22"/>
      <c r="I39" s="22" t="s">
        <v>114</v>
      </c>
      <c r="J39" s="22" t="s">
        <v>114</v>
      </c>
      <c r="K39" s="22" t="s">
        <v>114</v>
      </c>
      <c r="L39" s="22"/>
      <c r="M39" s="22"/>
    </row>
    <row r="40" spans="2:13" x14ac:dyDescent="0.25">
      <c r="B40" s="22">
        <v>39</v>
      </c>
      <c r="C40" s="22" t="s">
        <v>422</v>
      </c>
      <c r="D40" s="22" t="s">
        <v>423</v>
      </c>
      <c r="E40" s="22"/>
      <c r="F40" s="22"/>
      <c r="G40" s="22"/>
      <c r="H40" s="22"/>
      <c r="I40" s="22" t="s">
        <v>114</v>
      </c>
      <c r="J40" s="22" t="s">
        <v>114</v>
      </c>
      <c r="K40" s="22" t="s">
        <v>114</v>
      </c>
      <c r="L40" s="22"/>
      <c r="M40" s="22"/>
    </row>
    <row r="41" spans="2:13" x14ac:dyDescent="0.25">
      <c r="B41" s="22">
        <v>40</v>
      </c>
      <c r="C41" s="22" t="s">
        <v>219</v>
      </c>
      <c r="D41" s="22" t="s">
        <v>3114</v>
      </c>
      <c r="E41" s="22"/>
      <c r="F41" s="22"/>
      <c r="G41" s="22"/>
      <c r="H41" s="22"/>
      <c r="I41" s="22"/>
      <c r="J41" s="22"/>
      <c r="K41" s="22"/>
      <c r="L41" s="22"/>
      <c r="M41" s="22"/>
    </row>
    <row r="42" spans="2:13" x14ac:dyDescent="0.25">
      <c r="B42" s="22">
        <v>41</v>
      </c>
      <c r="C42" s="22" t="s">
        <v>219</v>
      </c>
      <c r="D42" s="22" t="s">
        <v>3115</v>
      </c>
      <c r="E42" s="22"/>
      <c r="F42" s="22"/>
      <c r="G42" s="22"/>
      <c r="H42" s="22"/>
      <c r="I42" s="22" t="s">
        <v>114</v>
      </c>
      <c r="J42" s="22" t="s">
        <v>114</v>
      </c>
      <c r="K42" s="22" t="s">
        <v>114</v>
      </c>
      <c r="L42" s="22"/>
      <c r="M42" s="22"/>
    </row>
    <row r="43" spans="2:13" x14ac:dyDescent="0.25">
      <c r="B43" s="22">
        <v>42</v>
      </c>
      <c r="C43" s="22" t="s">
        <v>201</v>
      </c>
      <c r="D43" s="22" t="s">
        <v>3116</v>
      </c>
      <c r="E43" s="22" t="s">
        <v>126</v>
      </c>
      <c r="F43" s="22">
        <v>53</v>
      </c>
      <c r="G43" s="22"/>
      <c r="H43" s="22"/>
      <c r="I43" s="22"/>
      <c r="J43" s="22"/>
      <c r="K43" s="22" t="s">
        <v>114</v>
      </c>
      <c r="L43" s="22"/>
      <c r="M43" s="22"/>
    </row>
    <row r="44" spans="2:13" x14ac:dyDescent="0.25">
      <c r="B44" s="22">
        <v>43</v>
      </c>
      <c r="C44" s="22" t="s">
        <v>326</v>
      </c>
      <c r="D44" s="22" t="s">
        <v>401</v>
      </c>
      <c r="E44" s="22"/>
      <c r="F44" s="22"/>
      <c r="G44" s="22"/>
      <c r="H44" s="22"/>
      <c r="I44" s="22" t="s">
        <v>114</v>
      </c>
      <c r="J44" s="22" t="s">
        <v>114</v>
      </c>
      <c r="K44" s="22" t="s">
        <v>114</v>
      </c>
      <c r="L44" s="22"/>
      <c r="M44" s="22"/>
    </row>
    <row r="45" spans="2:13" x14ac:dyDescent="0.25">
      <c r="B45" s="22">
        <v>44</v>
      </c>
      <c r="C45" s="22" t="s">
        <v>3117</v>
      </c>
      <c r="D45" s="22" t="s">
        <v>385</v>
      </c>
      <c r="E45" s="22"/>
      <c r="F45" s="22"/>
      <c r="G45" s="22"/>
      <c r="H45" s="22"/>
      <c r="I45" s="22" t="s">
        <v>114</v>
      </c>
      <c r="J45" s="22" t="s">
        <v>114</v>
      </c>
      <c r="K45" s="22" t="s">
        <v>114</v>
      </c>
      <c r="L45" s="22"/>
      <c r="M45" s="22"/>
    </row>
    <row r="46" spans="2:13" x14ac:dyDescent="0.25">
      <c r="B46" s="22">
        <v>45</v>
      </c>
      <c r="C46" s="22" t="s">
        <v>1904</v>
      </c>
      <c r="D46" s="22" t="s">
        <v>353</v>
      </c>
      <c r="E46" s="22"/>
      <c r="F46" s="22"/>
      <c r="G46" s="22"/>
      <c r="H46" s="22"/>
      <c r="I46" s="22" t="s">
        <v>114</v>
      </c>
      <c r="J46" s="22" t="s">
        <v>114</v>
      </c>
      <c r="K46" s="22" t="s">
        <v>114</v>
      </c>
      <c r="L46" s="22"/>
      <c r="M46" s="22"/>
    </row>
    <row r="47" spans="2:13" x14ac:dyDescent="0.25">
      <c r="B47" s="22">
        <v>46</v>
      </c>
      <c r="C47" s="22" t="s">
        <v>335</v>
      </c>
      <c r="D47" s="22" t="s">
        <v>1305</v>
      </c>
      <c r="E47" s="22" t="s">
        <v>127</v>
      </c>
      <c r="F47" s="22">
        <v>53</v>
      </c>
      <c r="G47" s="22"/>
      <c r="H47" s="22"/>
      <c r="I47" s="22"/>
      <c r="J47" s="22"/>
      <c r="K47" s="22"/>
      <c r="L47" s="22"/>
      <c r="M47" s="22" t="s">
        <v>121</v>
      </c>
    </row>
    <row r="48" spans="2:13" x14ac:dyDescent="0.25">
      <c r="B48" s="22">
        <v>47</v>
      </c>
      <c r="C48" s="22" t="s">
        <v>3118</v>
      </c>
      <c r="D48" s="22" t="s">
        <v>240</v>
      </c>
      <c r="E48" s="22" t="s">
        <v>122</v>
      </c>
      <c r="F48" s="22"/>
      <c r="G48" s="22"/>
      <c r="H48" s="22"/>
      <c r="I48" s="22"/>
      <c r="J48" s="22"/>
      <c r="K48" s="22"/>
      <c r="L48" s="22"/>
      <c r="M48" s="22"/>
    </row>
    <row r="49" spans="2:13" x14ac:dyDescent="0.25">
      <c r="B49" s="22">
        <v>48</v>
      </c>
      <c r="C49" s="22" t="s">
        <v>177</v>
      </c>
      <c r="D49" s="22" t="s">
        <v>3119</v>
      </c>
      <c r="E49" s="22"/>
      <c r="F49" s="22"/>
      <c r="G49" s="22"/>
      <c r="H49" s="22"/>
      <c r="I49" s="22" t="s">
        <v>114</v>
      </c>
      <c r="J49" s="22" t="s">
        <v>114</v>
      </c>
      <c r="K49" s="22" t="s">
        <v>114</v>
      </c>
      <c r="L49" s="22"/>
      <c r="M49" s="22"/>
    </row>
    <row r="50" spans="2:13" x14ac:dyDescent="0.25">
      <c r="B50" s="22">
        <v>49</v>
      </c>
      <c r="C50" s="22" t="s">
        <v>260</v>
      </c>
      <c r="D50" s="22" t="s">
        <v>3120</v>
      </c>
      <c r="E50" s="22"/>
      <c r="F50" s="22"/>
      <c r="G50" s="22"/>
      <c r="H50" s="22"/>
      <c r="I50" s="22" t="s">
        <v>114</v>
      </c>
      <c r="J50" s="22" t="s">
        <v>114</v>
      </c>
      <c r="K50" s="22" t="s">
        <v>114</v>
      </c>
      <c r="L50" s="22"/>
      <c r="M50" s="22"/>
    </row>
    <row r="51" spans="2:13" x14ac:dyDescent="0.25">
      <c r="B51" s="22">
        <v>50</v>
      </c>
      <c r="C51" s="22" t="s">
        <v>617</v>
      </c>
      <c r="D51" s="22" t="s">
        <v>849</v>
      </c>
      <c r="E51" s="7" t="s">
        <v>148</v>
      </c>
      <c r="F51" s="7">
        <v>29</v>
      </c>
      <c r="G51" s="7">
        <v>18</v>
      </c>
      <c r="H51" s="7">
        <v>4</v>
      </c>
      <c r="I51" s="22" t="s">
        <v>114</v>
      </c>
      <c r="J51" s="22" t="s">
        <v>114</v>
      </c>
      <c r="K51" s="22" t="s">
        <v>114</v>
      </c>
      <c r="L51" s="22"/>
      <c r="M51" s="22"/>
    </row>
    <row r="52" spans="2:13" x14ac:dyDescent="0.25">
      <c r="B52" s="22">
        <v>51</v>
      </c>
      <c r="C52" s="22" t="s">
        <v>324</v>
      </c>
      <c r="D52" s="22" t="s">
        <v>3121</v>
      </c>
      <c r="E52" s="22"/>
      <c r="F52" s="22"/>
      <c r="G52" s="22"/>
      <c r="H52" s="22"/>
      <c r="I52" s="22" t="s">
        <v>114</v>
      </c>
      <c r="J52" s="22" t="s">
        <v>114</v>
      </c>
      <c r="K52" s="22" t="s">
        <v>114</v>
      </c>
      <c r="L52" s="22"/>
      <c r="M52" s="22"/>
    </row>
    <row r="53" spans="2:13" x14ac:dyDescent="0.25">
      <c r="B53" s="22">
        <v>52</v>
      </c>
      <c r="C53" s="22" t="s">
        <v>1603</v>
      </c>
      <c r="D53" s="22" t="s">
        <v>3122</v>
      </c>
      <c r="E53" s="22"/>
      <c r="F53" s="22"/>
      <c r="G53" s="22"/>
      <c r="H53" s="22"/>
      <c r="I53" s="22" t="s">
        <v>114</v>
      </c>
      <c r="J53" s="22" t="s">
        <v>114</v>
      </c>
      <c r="K53" s="22" t="s">
        <v>114</v>
      </c>
      <c r="L53" s="22"/>
      <c r="M53" s="22"/>
    </row>
    <row r="54" spans="2:13" x14ac:dyDescent="0.25">
      <c r="B54" s="22">
        <v>53</v>
      </c>
      <c r="C54" s="22" t="s">
        <v>456</v>
      </c>
      <c r="D54" s="22" t="s">
        <v>3125</v>
      </c>
      <c r="E54" s="22"/>
      <c r="F54" s="22"/>
      <c r="G54" s="22"/>
      <c r="H54" s="22"/>
      <c r="I54" s="22" t="s">
        <v>114</v>
      </c>
      <c r="J54" s="22" t="s">
        <v>114</v>
      </c>
      <c r="K54" s="22" t="s">
        <v>114</v>
      </c>
      <c r="L54" s="22"/>
      <c r="M54" s="22"/>
    </row>
    <row r="55" spans="2:13" x14ac:dyDescent="0.25">
      <c r="B55" s="22">
        <v>54</v>
      </c>
      <c r="C55" s="22" t="s">
        <v>197</v>
      </c>
      <c r="D55" s="22" t="s">
        <v>3126</v>
      </c>
      <c r="E55" s="22"/>
      <c r="F55" s="22"/>
      <c r="G55" s="22"/>
      <c r="H55" s="22"/>
      <c r="I55" s="22" t="s">
        <v>114</v>
      </c>
      <c r="J55" s="22" t="s">
        <v>114</v>
      </c>
      <c r="K55" s="22" t="s">
        <v>114</v>
      </c>
      <c r="L55" s="22"/>
      <c r="M55" s="22"/>
    </row>
    <row r="56" spans="2:13" x14ac:dyDescent="0.25">
      <c r="B56" s="22">
        <v>55</v>
      </c>
      <c r="C56" s="22" t="s">
        <v>335</v>
      </c>
      <c r="D56" s="22" t="s">
        <v>3127</v>
      </c>
      <c r="E56" s="22"/>
      <c r="F56" s="22"/>
      <c r="G56" s="22"/>
      <c r="H56" s="22"/>
      <c r="I56" s="22" t="s">
        <v>114</v>
      </c>
      <c r="J56" s="22" t="s">
        <v>114</v>
      </c>
      <c r="K56" s="22" t="s">
        <v>114</v>
      </c>
      <c r="L56" s="22"/>
      <c r="M56" s="22"/>
    </row>
    <row r="57" spans="2:13" x14ac:dyDescent="0.25">
      <c r="B57" s="22">
        <v>56</v>
      </c>
      <c r="C57" s="22" t="s">
        <v>247</v>
      </c>
      <c r="D57" s="22" t="s">
        <v>3128</v>
      </c>
      <c r="E57" s="22"/>
      <c r="F57" s="22"/>
      <c r="G57" s="22"/>
      <c r="H57" s="22"/>
      <c r="I57" s="22" t="s">
        <v>114</v>
      </c>
      <c r="J57" s="22" t="s">
        <v>114</v>
      </c>
      <c r="K57" s="22" t="s">
        <v>114</v>
      </c>
      <c r="L57" s="22"/>
      <c r="M57" s="22"/>
    </row>
    <row r="58" spans="2:13" x14ac:dyDescent="0.25">
      <c r="B58" s="22">
        <v>57</v>
      </c>
      <c r="C58" s="22" t="s">
        <v>3129</v>
      </c>
      <c r="D58" s="22" t="s">
        <v>2339</v>
      </c>
      <c r="E58" s="22" t="s">
        <v>128</v>
      </c>
      <c r="F58" s="22">
        <v>27</v>
      </c>
      <c r="G58" s="22" t="s">
        <v>2366</v>
      </c>
      <c r="H58" s="22">
        <v>6</v>
      </c>
      <c r="I58" s="22" t="s">
        <v>114</v>
      </c>
      <c r="J58" s="22" t="s">
        <v>114</v>
      </c>
      <c r="K58" s="22" t="s">
        <v>114</v>
      </c>
      <c r="L58" s="22"/>
      <c r="M58" s="209" t="s">
        <v>3168</v>
      </c>
    </row>
    <row r="59" spans="2:13" x14ac:dyDescent="0.25">
      <c r="B59" s="22">
        <v>58</v>
      </c>
      <c r="C59" s="22" t="s">
        <v>201</v>
      </c>
      <c r="D59" s="22" t="s">
        <v>3130</v>
      </c>
      <c r="E59" s="22" t="s">
        <v>131</v>
      </c>
      <c r="F59" s="22">
        <v>27</v>
      </c>
      <c r="G59" s="22">
        <v>38</v>
      </c>
      <c r="H59" s="22">
        <v>6</v>
      </c>
      <c r="I59" s="22" t="s">
        <v>114</v>
      </c>
      <c r="J59" s="22" t="s">
        <v>114</v>
      </c>
      <c r="K59" s="22" t="s">
        <v>114</v>
      </c>
      <c r="L59" s="22"/>
      <c r="M59" s="22"/>
    </row>
    <row r="60" spans="2:13" x14ac:dyDescent="0.25">
      <c r="B60" s="22">
        <v>59</v>
      </c>
      <c r="C60" s="22" t="s">
        <v>3131</v>
      </c>
      <c r="D60" s="22" t="s">
        <v>2667</v>
      </c>
      <c r="E60" s="22" t="s">
        <v>134</v>
      </c>
      <c r="F60" s="22">
        <v>27</v>
      </c>
      <c r="G60" s="22">
        <v>46</v>
      </c>
      <c r="H60" s="22" t="s">
        <v>17</v>
      </c>
      <c r="I60" s="22" t="s">
        <v>114</v>
      </c>
      <c r="J60" s="22" t="s">
        <v>114</v>
      </c>
      <c r="K60" s="22" t="s">
        <v>114</v>
      </c>
      <c r="L60" s="22"/>
      <c r="M60" s="22"/>
    </row>
    <row r="61" spans="2:13" x14ac:dyDescent="0.25">
      <c r="B61" s="22">
        <v>60</v>
      </c>
      <c r="C61" s="22" t="s">
        <v>3132</v>
      </c>
      <c r="D61" s="22" t="s">
        <v>3133</v>
      </c>
      <c r="E61" s="22" t="s">
        <v>135</v>
      </c>
      <c r="F61" s="22">
        <v>27</v>
      </c>
      <c r="G61" s="22">
        <v>57</v>
      </c>
      <c r="H61" s="22">
        <v>1</v>
      </c>
      <c r="I61" s="22" t="s">
        <v>114</v>
      </c>
      <c r="J61" s="22" t="s">
        <v>114</v>
      </c>
      <c r="K61" s="22" t="s">
        <v>114</v>
      </c>
      <c r="L61" s="22"/>
      <c r="M61" s="22"/>
    </row>
    <row r="62" spans="2:13" x14ac:dyDescent="0.25">
      <c r="B62" s="22">
        <v>61</v>
      </c>
      <c r="C62" s="7" t="s">
        <v>1951</v>
      </c>
      <c r="D62" s="7" t="s">
        <v>3134</v>
      </c>
      <c r="E62" s="22" t="s">
        <v>137</v>
      </c>
      <c r="F62" s="22">
        <v>53</v>
      </c>
      <c r="G62" s="22">
        <v>168</v>
      </c>
      <c r="H62" s="22">
        <v>4</v>
      </c>
      <c r="I62" s="22"/>
      <c r="J62" s="22"/>
      <c r="K62" s="22"/>
      <c r="L62" s="22"/>
      <c r="M62" s="22"/>
    </row>
    <row r="63" spans="2:13" x14ac:dyDescent="0.25">
      <c r="B63" s="22">
        <v>62</v>
      </c>
      <c r="C63" s="7" t="s">
        <v>3135</v>
      </c>
      <c r="D63" s="7" t="s">
        <v>3136</v>
      </c>
      <c r="E63" s="22" t="s">
        <v>139</v>
      </c>
      <c r="F63" s="22">
        <v>53</v>
      </c>
      <c r="G63" s="7">
        <v>170</v>
      </c>
      <c r="H63" s="7">
        <v>10</v>
      </c>
      <c r="I63" s="22"/>
      <c r="J63" s="22"/>
      <c r="K63" s="22"/>
      <c r="L63" s="22"/>
      <c r="M63" s="22"/>
    </row>
    <row r="64" spans="2:13" x14ac:dyDescent="0.25">
      <c r="B64" s="22">
        <v>63</v>
      </c>
      <c r="C64" s="7" t="s">
        <v>1603</v>
      </c>
      <c r="D64" s="7" t="s">
        <v>3137</v>
      </c>
      <c r="E64" s="22"/>
      <c r="F64" s="22">
        <v>53</v>
      </c>
      <c r="G64" s="22">
        <v>152</v>
      </c>
      <c r="H64" s="22">
        <v>10</v>
      </c>
      <c r="I64" s="22"/>
      <c r="J64" s="22"/>
      <c r="K64" s="22"/>
      <c r="L64" s="22"/>
      <c r="M64" s="22"/>
    </row>
    <row r="65" spans="2:13" x14ac:dyDescent="0.25">
      <c r="B65" s="22">
        <v>64</v>
      </c>
      <c r="C65" s="7" t="s">
        <v>179</v>
      </c>
      <c r="D65" s="7" t="s">
        <v>3138</v>
      </c>
      <c r="E65" s="7" t="s">
        <v>141</v>
      </c>
      <c r="F65" s="7">
        <v>29</v>
      </c>
      <c r="G65" s="7">
        <v>46</v>
      </c>
      <c r="H65" s="7">
        <v>3</v>
      </c>
      <c r="I65" s="7"/>
      <c r="J65" s="7"/>
      <c r="K65" s="22" t="s">
        <v>114</v>
      </c>
      <c r="L65" s="22"/>
      <c r="M65" s="7"/>
    </row>
    <row r="66" spans="2:13" x14ac:dyDescent="0.25">
      <c r="B66" s="22">
        <v>65</v>
      </c>
      <c r="C66" s="7" t="s">
        <v>337</v>
      </c>
      <c r="D66" s="7" t="s">
        <v>338</v>
      </c>
      <c r="E66" s="7" t="s">
        <v>133</v>
      </c>
      <c r="F66" s="7">
        <v>40</v>
      </c>
      <c r="G66" s="7">
        <v>26</v>
      </c>
      <c r="H66" s="7">
        <v>8</v>
      </c>
      <c r="I66" s="7"/>
      <c r="J66" s="7"/>
      <c r="K66" s="7"/>
      <c r="L66" s="7"/>
      <c r="M66" s="7"/>
    </row>
    <row r="67" spans="2:13" x14ac:dyDescent="0.25">
      <c r="B67" s="22">
        <v>66</v>
      </c>
      <c r="C67" s="7" t="s">
        <v>203</v>
      </c>
      <c r="D67" s="7" t="s">
        <v>3139</v>
      </c>
      <c r="E67" s="7" t="s">
        <v>140</v>
      </c>
      <c r="F67" s="7">
        <v>53</v>
      </c>
      <c r="G67" s="7">
        <v>155</v>
      </c>
      <c r="H67" s="7">
        <v>6</v>
      </c>
      <c r="I67" s="7"/>
      <c r="J67" s="7"/>
      <c r="K67" s="7"/>
      <c r="L67" s="7"/>
      <c r="M67" s="7"/>
    </row>
    <row r="68" spans="2:13" x14ac:dyDescent="0.25">
      <c r="B68" s="22">
        <v>67</v>
      </c>
      <c r="C68" s="7" t="s">
        <v>315</v>
      </c>
      <c r="D68" s="7" t="s">
        <v>3140</v>
      </c>
      <c r="E68" s="7" t="s">
        <v>132</v>
      </c>
      <c r="F68" s="7">
        <v>40</v>
      </c>
      <c r="G68" s="7">
        <v>58</v>
      </c>
      <c r="H68" s="7">
        <v>80</v>
      </c>
      <c r="I68" s="7"/>
      <c r="J68" s="7"/>
      <c r="K68" s="7"/>
      <c r="L68" s="7"/>
      <c r="M68" s="7"/>
    </row>
    <row r="69" spans="2:13" x14ac:dyDescent="0.25">
      <c r="B69" s="22">
        <v>68</v>
      </c>
      <c r="C69" s="7" t="s">
        <v>3141</v>
      </c>
      <c r="D69" s="7" t="s">
        <v>176</v>
      </c>
      <c r="E69" s="7" t="s">
        <v>130</v>
      </c>
      <c r="F69" s="7">
        <v>40</v>
      </c>
      <c r="G69" s="7">
        <v>29</v>
      </c>
      <c r="H69" s="7">
        <v>9</v>
      </c>
      <c r="I69" s="7"/>
      <c r="J69" s="7"/>
      <c r="K69" s="7"/>
      <c r="L69" s="7"/>
      <c r="M69" s="7"/>
    </row>
    <row r="70" spans="2:13" x14ac:dyDescent="0.25">
      <c r="B70" s="22">
        <v>69</v>
      </c>
      <c r="C70" s="7" t="s">
        <v>302</v>
      </c>
      <c r="D70" s="7" t="s">
        <v>3142</v>
      </c>
      <c r="E70" s="7" t="s">
        <v>129</v>
      </c>
      <c r="F70" s="7">
        <v>40</v>
      </c>
      <c r="G70" s="7">
        <v>50</v>
      </c>
      <c r="H70" s="7">
        <v>1</v>
      </c>
      <c r="I70" s="7" t="s">
        <v>114</v>
      </c>
      <c r="J70" s="7" t="s">
        <v>114</v>
      </c>
      <c r="K70" s="7" t="s">
        <v>114</v>
      </c>
      <c r="L70" s="7"/>
      <c r="M70" s="7"/>
    </row>
    <row r="71" spans="2:13" x14ac:dyDescent="0.25">
      <c r="B71" s="22">
        <v>70</v>
      </c>
      <c r="C71" s="7" t="s">
        <v>136</v>
      </c>
      <c r="D71" s="7" t="s">
        <v>3161</v>
      </c>
      <c r="E71" s="7" t="s">
        <v>131</v>
      </c>
      <c r="F71" s="7">
        <v>40</v>
      </c>
      <c r="G71" s="7">
        <v>36</v>
      </c>
      <c r="H71" s="7">
        <v>6</v>
      </c>
      <c r="I71" s="7" t="s">
        <v>114</v>
      </c>
      <c r="J71" s="7" t="s">
        <v>114</v>
      </c>
      <c r="K71" s="7" t="s">
        <v>114</v>
      </c>
      <c r="L71" s="7"/>
      <c r="M71" s="7"/>
    </row>
    <row r="72" spans="2:13" x14ac:dyDescent="0.25">
      <c r="B72" s="22">
        <v>71</v>
      </c>
      <c r="C72" s="7" t="s">
        <v>646</v>
      </c>
      <c r="D72" s="7" t="s">
        <v>67</v>
      </c>
      <c r="E72" s="7" t="s">
        <v>142</v>
      </c>
      <c r="F72" s="7">
        <v>28</v>
      </c>
      <c r="G72" s="7">
        <v>38</v>
      </c>
      <c r="H72" s="7">
        <v>10</v>
      </c>
      <c r="I72" s="22" t="s">
        <v>114</v>
      </c>
      <c r="J72" s="22" t="s">
        <v>114</v>
      </c>
      <c r="K72" s="22" t="s">
        <v>114</v>
      </c>
      <c r="L72" s="7"/>
      <c r="M72" s="7"/>
    </row>
    <row r="73" spans="2:13" x14ac:dyDescent="0.25">
      <c r="B73" s="22">
        <v>72</v>
      </c>
      <c r="C73" s="7" t="s">
        <v>177</v>
      </c>
      <c r="D73" s="7" t="s">
        <v>461</v>
      </c>
      <c r="E73" s="7" t="s">
        <v>143</v>
      </c>
      <c r="F73" s="7">
        <v>24</v>
      </c>
      <c r="G73" s="7">
        <v>101</v>
      </c>
      <c r="H73" s="7">
        <v>1</v>
      </c>
      <c r="I73" s="7"/>
      <c r="J73" s="7"/>
      <c r="K73" s="7"/>
      <c r="L73" s="7"/>
      <c r="M73" s="7"/>
    </row>
    <row r="74" spans="2:13" x14ac:dyDescent="0.25">
      <c r="B74" s="22">
        <v>73</v>
      </c>
      <c r="C74" s="7" t="s">
        <v>477</v>
      </c>
      <c r="D74" s="7" t="s">
        <v>240</v>
      </c>
      <c r="E74" s="7" t="s">
        <v>122</v>
      </c>
      <c r="F74" s="7">
        <v>53</v>
      </c>
      <c r="G74" s="7">
        <v>31</v>
      </c>
      <c r="H74" s="7">
        <v>10</v>
      </c>
      <c r="I74" s="7"/>
      <c r="J74" s="7"/>
      <c r="K74" s="7"/>
      <c r="L74" s="7"/>
      <c r="M74" s="7"/>
    </row>
    <row r="75" spans="2:13" x14ac:dyDescent="0.25">
      <c r="B75" s="22">
        <v>74</v>
      </c>
      <c r="C75" s="7" t="s">
        <v>3143</v>
      </c>
      <c r="D75" s="7" t="s">
        <v>849</v>
      </c>
      <c r="E75" s="7" t="s">
        <v>144</v>
      </c>
      <c r="F75" s="7">
        <v>29</v>
      </c>
      <c r="G75" s="7">
        <v>20</v>
      </c>
      <c r="H75" s="7">
        <v>16</v>
      </c>
      <c r="I75" s="7" t="s">
        <v>114</v>
      </c>
      <c r="J75" s="7" t="s">
        <v>114</v>
      </c>
      <c r="K75" s="7" t="s">
        <v>114</v>
      </c>
      <c r="L75" s="7"/>
      <c r="M75" s="7"/>
    </row>
    <row r="76" spans="2:13" x14ac:dyDescent="0.25">
      <c r="B76" s="22">
        <v>75</v>
      </c>
      <c r="C76" s="7" t="s">
        <v>574</v>
      </c>
      <c r="D76" s="7" t="s">
        <v>1485</v>
      </c>
      <c r="E76" s="7" t="s">
        <v>123</v>
      </c>
      <c r="F76" s="7">
        <v>29</v>
      </c>
      <c r="G76" s="7">
        <v>174</v>
      </c>
      <c r="H76" s="7">
        <v>9</v>
      </c>
      <c r="I76" s="7"/>
      <c r="J76" s="7"/>
      <c r="K76" s="7"/>
      <c r="L76" s="7"/>
      <c r="M76" s="7"/>
    </row>
    <row r="77" spans="2:13" x14ac:dyDescent="0.25">
      <c r="B77" s="22">
        <v>76</v>
      </c>
      <c r="C77" s="7" t="s">
        <v>3162</v>
      </c>
      <c r="D77" s="7" t="s">
        <v>3144</v>
      </c>
      <c r="E77" s="7" t="s">
        <v>136</v>
      </c>
      <c r="F77" s="7">
        <v>53</v>
      </c>
      <c r="G77" s="7">
        <v>124</v>
      </c>
      <c r="H77" s="7">
        <v>17</v>
      </c>
      <c r="I77" s="7" t="s">
        <v>114</v>
      </c>
      <c r="J77" s="7" t="s">
        <v>114</v>
      </c>
      <c r="K77" s="22" t="s">
        <v>114</v>
      </c>
      <c r="L77" s="22"/>
      <c r="M77" s="7"/>
    </row>
    <row r="78" spans="2:13" x14ac:dyDescent="0.25">
      <c r="B78" s="22">
        <v>77</v>
      </c>
      <c r="C78" s="7" t="s">
        <v>302</v>
      </c>
      <c r="D78" s="7" t="s">
        <v>3145</v>
      </c>
      <c r="E78" s="7" t="s">
        <v>123</v>
      </c>
      <c r="F78" s="7">
        <v>53</v>
      </c>
      <c r="G78" s="7">
        <v>2</v>
      </c>
      <c r="H78" s="7">
        <v>4</v>
      </c>
      <c r="I78" s="7" t="s">
        <v>114</v>
      </c>
      <c r="J78" s="7" t="s">
        <v>114</v>
      </c>
      <c r="K78" s="7" t="s">
        <v>114</v>
      </c>
      <c r="L78" s="7"/>
      <c r="M78" s="7"/>
    </row>
    <row r="79" spans="2:13" x14ac:dyDescent="0.25">
      <c r="B79" s="22">
        <v>78</v>
      </c>
      <c r="C79" s="7" t="s">
        <v>815</v>
      </c>
      <c r="D79" s="7" t="s">
        <v>1502</v>
      </c>
      <c r="E79" s="7" t="s">
        <v>145</v>
      </c>
      <c r="F79" s="7">
        <v>29</v>
      </c>
      <c r="G79" s="7">
        <v>79</v>
      </c>
      <c r="H79" s="7">
        <v>17</v>
      </c>
      <c r="I79" s="7"/>
      <c r="J79" s="7"/>
      <c r="K79" s="7"/>
      <c r="L79" s="7"/>
      <c r="M79" s="7"/>
    </row>
    <row r="80" spans="2:13" x14ac:dyDescent="0.25">
      <c r="B80" s="22">
        <v>79</v>
      </c>
      <c r="C80" s="7" t="s">
        <v>3146</v>
      </c>
      <c r="D80" s="7" t="s">
        <v>3147</v>
      </c>
      <c r="E80" s="7" t="s">
        <v>146</v>
      </c>
      <c r="F80" s="7">
        <v>27</v>
      </c>
      <c r="G80" s="7">
        <v>56</v>
      </c>
      <c r="H80" s="7">
        <v>10</v>
      </c>
      <c r="I80" s="7"/>
      <c r="J80" s="7"/>
      <c r="K80" s="22" t="s">
        <v>114</v>
      </c>
      <c r="L80" s="22"/>
      <c r="M80" s="7"/>
    </row>
    <row r="81" spans="2:13" x14ac:dyDescent="0.25">
      <c r="B81" s="22">
        <v>80</v>
      </c>
      <c r="C81" s="7" t="s">
        <v>203</v>
      </c>
      <c r="D81" s="7" t="s">
        <v>1305</v>
      </c>
      <c r="E81" s="7" t="s">
        <v>137</v>
      </c>
      <c r="F81" s="7">
        <v>53</v>
      </c>
      <c r="G81" s="7">
        <v>16</v>
      </c>
      <c r="H81" s="7">
        <v>4</v>
      </c>
      <c r="I81" s="7"/>
      <c r="J81" s="7"/>
      <c r="K81" s="7"/>
      <c r="L81" s="7"/>
      <c r="M81" s="7"/>
    </row>
    <row r="82" spans="2:13" x14ac:dyDescent="0.25">
      <c r="B82" s="22">
        <v>81</v>
      </c>
      <c r="C82" s="7" t="s">
        <v>315</v>
      </c>
      <c r="D82" s="7" t="s">
        <v>3148</v>
      </c>
      <c r="E82" s="7" t="s">
        <v>147</v>
      </c>
      <c r="F82" s="7">
        <v>26</v>
      </c>
      <c r="G82" s="7">
        <v>69</v>
      </c>
      <c r="H82" s="7">
        <v>17</v>
      </c>
      <c r="I82" s="22" t="s">
        <v>114</v>
      </c>
      <c r="J82" s="22" t="s">
        <v>114</v>
      </c>
      <c r="K82" s="22" t="s">
        <v>114</v>
      </c>
      <c r="L82" s="7"/>
      <c r="M82" s="7"/>
    </row>
    <row r="83" spans="2:13" x14ac:dyDescent="0.25">
      <c r="B83" s="22">
        <v>82</v>
      </c>
      <c r="C83" s="7" t="s">
        <v>589</v>
      </c>
      <c r="D83" s="7" t="s">
        <v>3149</v>
      </c>
      <c r="E83" s="7" t="s">
        <v>149</v>
      </c>
      <c r="F83" s="7">
        <v>53</v>
      </c>
      <c r="G83" s="7">
        <v>14</v>
      </c>
      <c r="H83" s="7">
        <v>6</v>
      </c>
      <c r="I83" s="22" t="s">
        <v>114</v>
      </c>
      <c r="J83" s="22" t="s">
        <v>114</v>
      </c>
      <c r="K83" s="22" t="s">
        <v>114</v>
      </c>
      <c r="L83" s="7"/>
      <c r="M83" s="7"/>
    </row>
    <row r="84" spans="2:13" x14ac:dyDescent="0.25">
      <c r="B84" s="22">
        <v>83</v>
      </c>
      <c r="C84" s="7" t="s">
        <v>258</v>
      </c>
      <c r="D84" s="7" t="s">
        <v>3124</v>
      </c>
      <c r="E84" s="7" t="s">
        <v>150</v>
      </c>
      <c r="F84" s="7">
        <v>29</v>
      </c>
      <c r="G84" s="7">
        <v>125</v>
      </c>
      <c r="H84" s="7">
        <v>5</v>
      </c>
      <c r="I84" s="7" t="s">
        <v>114</v>
      </c>
      <c r="J84" s="7" t="s">
        <v>114</v>
      </c>
      <c r="K84" s="7" t="s">
        <v>114</v>
      </c>
      <c r="L84" s="7"/>
      <c r="M84" s="7"/>
    </row>
    <row r="85" spans="2:13" x14ac:dyDescent="0.25">
      <c r="B85" s="22">
        <v>84</v>
      </c>
      <c r="C85" s="7" t="s">
        <v>306</v>
      </c>
      <c r="D85" s="7" t="s">
        <v>3116</v>
      </c>
      <c r="E85" s="7" t="s">
        <v>151</v>
      </c>
      <c r="F85" s="7">
        <v>29</v>
      </c>
      <c r="G85" s="7">
        <v>17</v>
      </c>
      <c r="H85" s="7">
        <v>12</v>
      </c>
      <c r="I85" s="7"/>
      <c r="J85" s="7"/>
      <c r="K85" s="7"/>
      <c r="L85" s="7"/>
      <c r="M85" s="7"/>
    </row>
    <row r="86" spans="2:13" x14ac:dyDescent="0.25">
      <c r="B86" s="22">
        <v>85</v>
      </c>
      <c r="C86" s="7" t="s">
        <v>255</v>
      </c>
      <c r="D86" s="7" t="s">
        <v>2667</v>
      </c>
      <c r="E86" s="7" t="s">
        <v>138</v>
      </c>
      <c r="F86" s="7">
        <v>53</v>
      </c>
      <c r="G86" s="7">
        <v>166</v>
      </c>
      <c r="H86" s="7">
        <v>5</v>
      </c>
      <c r="I86" s="7"/>
      <c r="J86" s="7"/>
      <c r="K86" s="7"/>
      <c r="L86" s="7"/>
      <c r="M86" s="7"/>
    </row>
    <row r="87" spans="2:13" x14ac:dyDescent="0.25">
      <c r="B87" s="22">
        <v>86</v>
      </c>
      <c r="C87" s="7" t="s">
        <v>181</v>
      </c>
      <c r="D87" s="7" t="s">
        <v>3163</v>
      </c>
      <c r="E87" s="7" t="s">
        <v>133</v>
      </c>
      <c r="F87" s="7">
        <v>53</v>
      </c>
      <c r="G87" s="7">
        <v>164</v>
      </c>
      <c r="H87" s="7">
        <v>5</v>
      </c>
      <c r="I87" s="7" t="s">
        <v>114</v>
      </c>
      <c r="J87" s="7" t="s">
        <v>114</v>
      </c>
      <c r="K87" s="7" t="s">
        <v>114</v>
      </c>
      <c r="L87" s="7"/>
      <c r="M87" s="7"/>
    </row>
    <row r="88" spans="2:13" x14ac:dyDescent="0.25">
      <c r="B88" s="22">
        <v>87</v>
      </c>
      <c r="C88" s="7" t="s">
        <v>177</v>
      </c>
      <c r="D88" s="7" t="s">
        <v>3150</v>
      </c>
      <c r="E88" s="7" t="s">
        <v>152</v>
      </c>
      <c r="F88" s="7">
        <v>53</v>
      </c>
      <c r="G88" s="7">
        <v>163</v>
      </c>
      <c r="H88" s="7">
        <v>14</v>
      </c>
      <c r="I88" s="7"/>
      <c r="J88" s="7"/>
      <c r="K88" s="7"/>
      <c r="L88" s="7"/>
      <c r="M88" s="7"/>
    </row>
    <row r="89" spans="2:13" x14ac:dyDescent="0.25">
      <c r="B89" s="22">
        <v>88</v>
      </c>
      <c r="C89" s="7" t="s">
        <v>203</v>
      </c>
      <c r="D89" s="7" t="s">
        <v>3151</v>
      </c>
      <c r="E89" s="7" t="s">
        <v>153</v>
      </c>
      <c r="F89" s="7">
        <v>53</v>
      </c>
      <c r="G89" s="7">
        <v>170</v>
      </c>
      <c r="H89" s="7">
        <v>8</v>
      </c>
      <c r="I89" s="7"/>
      <c r="J89" s="7"/>
      <c r="K89" s="7"/>
      <c r="L89" s="7"/>
      <c r="M89" s="7"/>
    </row>
    <row r="90" spans="2:13" x14ac:dyDescent="0.25">
      <c r="B90" s="22">
        <v>89</v>
      </c>
      <c r="C90" s="7" t="s">
        <v>274</v>
      </c>
      <c r="D90" s="7" t="s">
        <v>3152</v>
      </c>
      <c r="E90" s="7" t="s">
        <v>154</v>
      </c>
      <c r="F90" s="7">
        <v>53</v>
      </c>
      <c r="G90" s="7">
        <v>135</v>
      </c>
      <c r="H90" s="7">
        <v>10</v>
      </c>
      <c r="I90" s="7"/>
      <c r="J90" s="7"/>
      <c r="K90" s="7"/>
      <c r="L90" s="7"/>
      <c r="M90" s="7"/>
    </row>
    <row r="91" spans="2:13" x14ac:dyDescent="0.25">
      <c r="B91" s="22">
        <v>90</v>
      </c>
      <c r="C91" s="7" t="s">
        <v>199</v>
      </c>
      <c r="D91" s="7" t="s">
        <v>2603</v>
      </c>
      <c r="E91" s="7" t="s">
        <v>125</v>
      </c>
      <c r="F91" s="7">
        <v>29</v>
      </c>
      <c r="G91" s="7">
        <v>72</v>
      </c>
      <c r="H91" s="7">
        <v>1</v>
      </c>
      <c r="I91" s="22" t="s">
        <v>114</v>
      </c>
      <c r="J91" s="22" t="s">
        <v>114</v>
      </c>
      <c r="K91" s="22" t="s">
        <v>114</v>
      </c>
      <c r="L91" s="7"/>
      <c r="M91" s="7"/>
    </row>
    <row r="92" spans="2:13" x14ac:dyDescent="0.25">
      <c r="B92" s="22">
        <v>91</v>
      </c>
      <c r="C92" s="7" t="s">
        <v>214</v>
      </c>
      <c r="D92" s="7" t="s">
        <v>2741</v>
      </c>
      <c r="E92" s="7" t="s">
        <v>155</v>
      </c>
      <c r="F92" s="7">
        <v>24</v>
      </c>
      <c r="G92" s="7">
        <v>104</v>
      </c>
      <c r="H92" s="7">
        <v>9</v>
      </c>
      <c r="I92" s="7" t="s">
        <v>114</v>
      </c>
      <c r="J92" s="7" t="s">
        <v>114</v>
      </c>
      <c r="K92" s="7" t="s">
        <v>114</v>
      </c>
      <c r="L92" s="7"/>
      <c r="M92" s="7"/>
    </row>
    <row r="93" spans="2:13" x14ac:dyDescent="0.25">
      <c r="B93" s="22">
        <v>92</v>
      </c>
      <c r="C93" s="7" t="s">
        <v>3153</v>
      </c>
      <c r="D93" s="7" t="s">
        <v>3154</v>
      </c>
      <c r="E93" s="7" t="s">
        <v>136</v>
      </c>
      <c r="F93" s="7">
        <v>53</v>
      </c>
      <c r="G93" s="7">
        <v>157</v>
      </c>
      <c r="H93" s="7">
        <v>5</v>
      </c>
      <c r="I93" s="7" t="s">
        <v>114</v>
      </c>
      <c r="J93" s="7" t="s">
        <v>114</v>
      </c>
      <c r="K93" s="7" t="s">
        <v>114</v>
      </c>
      <c r="L93" s="7"/>
      <c r="M93" s="7"/>
    </row>
    <row r="94" spans="2:13" x14ac:dyDescent="0.25">
      <c r="B94" s="22">
        <v>93</v>
      </c>
      <c r="C94" s="7" t="s">
        <v>3155</v>
      </c>
      <c r="D94" s="7" t="s">
        <v>3137</v>
      </c>
      <c r="E94" s="7"/>
      <c r="F94" s="7">
        <v>53</v>
      </c>
      <c r="G94" s="7">
        <v>152</v>
      </c>
      <c r="H94" s="7">
        <v>10</v>
      </c>
      <c r="I94" s="7"/>
      <c r="J94" s="7"/>
      <c r="K94" s="7"/>
      <c r="L94" s="7"/>
      <c r="M94" s="7"/>
    </row>
    <row r="95" spans="2:13" x14ac:dyDescent="0.25">
      <c r="B95" s="22">
        <v>94</v>
      </c>
      <c r="C95" s="7" t="s">
        <v>181</v>
      </c>
      <c r="D95" s="7" t="s">
        <v>3166</v>
      </c>
      <c r="E95" s="7" t="s">
        <v>136</v>
      </c>
      <c r="F95" s="7">
        <v>53</v>
      </c>
      <c r="G95" s="7">
        <v>180</v>
      </c>
      <c r="H95" s="7">
        <v>12</v>
      </c>
      <c r="I95" s="7" t="s">
        <v>114</v>
      </c>
      <c r="J95" s="7" t="s">
        <v>114</v>
      </c>
      <c r="K95" s="7" t="s">
        <v>114</v>
      </c>
      <c r="L95" s="7"/>
      <c r="M95" s="209" t="s">
        <v>3167</v>
      </c>
    </row>
    <row r="96" spans="2:13" x14ac:dyDescent="0.25">
      <c r="B96" s="22">
        <v>95</v>
      </c>
      <c r="C96" s="7" t="s">
        <v>3156</v>
      </c>
      <c r="D96" s="7" t="s">
        <v>3157</v>
      </c>
      <c r="E96" s="7" t="s">
        <v>132</v>
      </c>
      <c r="F96" s="7">
        <v>53</v>
      </c>
      <c r="G96" s="7">
        <v>154</v>
      </c>
      <c r="H96" s="7">
        <v>8</v>
      </c>
      <c r="I96" s="7" t="s">
        <v>114</v>
      </c>
      <c r="J96" s="7" t="s">
        <v>114</v>
      </c>
      <c r="K96" s="7" t="s">
        <v>114</v>
      </c>
      <c r="L96" s="7"/>
      <c r="M96" s="7"/>
    </row>
    <row r="97" spans="2:13" x14ac:dyDescent="0.25">
      <c r="B97" s="22">
        <v>96</v>
      </c>
      <c r="C97" s="7" t="s">
        <v>263</v>
      </c>
      <c r="D97" s="7" t="s">
        <v>1128</v>
      </c>
      <c r="E97" s="7" t="s">
        <v>125</v>
      </c>
      <c r="F97" s="7">
        <v>24</v>
      </c>
      <c r="G97" s="7">
        <v>116</v>
      </c>
      <c r="H97" s="7">
        <v>42</v>
      </c>
      <c r="I97" s="7" t="s">
        <v>114</v>
      </c>
      <c r="J97" s="7" t="s">
        <v>114</v>
      </c>
      <c r="K97" s="7" t="s">
        <v>114</v>
      </c>
      <c r="L97" s="7"/>
      <c r="M97" s="7"/>
    </row>
    <row r="98" spans="2:13" x14ac:dyDescent="0.25">
      <c r="B98" s="22">
        <v>97</v>
      </c>
      <c r="C98" s="7" t="s">
        <v>203</v>
      </c>
      <c r="D98" s="7" t="s">
        <v>725</v>
      </c>
      <c r="E98" s="7"/>
      <c r="F98" s="7">
        <v>24</v>
      </c>
      <c r="G98" s="7">
        <v>78</v>
      </c>
      <c r="H98" s="7">
        <v>39</v>
      </c>
      <c r="I98" s="7" t="s">
        <v>114</v>
      </c>
      <c r="J98" s="7" t="s">
        <v>114</v>
      </c>
      <c r="K98" s="7" t="s">
        <v>114</v>
      </c>
      <c r="L98" s="7"/>
      <c r="M98" s="7"/>
    </row>
    <row r="99" spans="2:13" x14ac:dyDescent="0.25">
      <c r="B99" s="22">
        <v>98</v>
      </c>
      <c r="C99" s="7" t="s">
        <v>181</v>
      </c>
      <c r="D99" s="7" t="s">
        <v>354</v>
      </c>
      <c r="E99" s="7" t="s">
        <v>136</v>
      </c>
      <c r="F99" s="7">
        <v>40</v>
      </c>
      <c r="G99" s="7">
        <v>35</v>
      </c>
      <c r="H99" s="7">
        <v>4</v>
      </c>
      <c r="I99" s="7"/>
      <c r="J99" s="7"/>
      <c r="K99" s="7"/>
      <c r="L99" s="7"/>
      <c r="M99" s="7"/>
    </row>
    <row r="100" spans="2:13" x14ac:dyDescent="0.25">
      <c r="B100" s="22">
        <v>99</v>
      </c>
      <c r="C100" s="7" t="s">
        <v>219</v>
      </c>
      <c r="D100" s="7" t="s">
        <v>1114</v>
      </c>
      <c r="E100" s="7" t="s">
        <v>157</v>
      </c>
      <c r="F100" s="7">
        <v>40</v>
      </c>
      <c r="G100" s="7">
        <v>60</v>
      </c>
      <c r="H100" s="7">
        <v>4</v>
      </c>
      <c r="I100" s="7"/>
      <c r="J100" s="7"/>
      <c r="K100" s="7"/>
      <c r="L100" s="7"/>
      <c r="M100" s="7"/>
    </row>
    <row r="101" spans="2:13" x14ac:dyDescent="0.25">
      <c r="B101" s="22">
        <v>100</v>
      </c>
      <c r="C101" s="7" t="s">
        <v>181</v>
      </c>
      <c r="D101" s="7" t="s">
        <v>3116</v>
      </c>
      <c r="E101" s="7" t="s">
        <v>132</v>
      </c>
      <c r="F101" s="7">
        <v>53</v>
      </c>
      <c r="G101" s="7">
        <v>92</v>
      </c>
      <c r="H101" s="7">
        <v>15</v>
      </c>
      <c r="I101" s="7"/>
      <c r="J101" s="7"/>
      <c r="K101" s="7"/>
      <c r="L101" s="7"/>
      <c r="M101" s="7"/>
    </row>
    <row r="102" spans="2:13" x14ac:dyDescent="0.25">
      <c r="B102" s="22">
        <v>101</v>
      </c>
      <c r="C102" s="7" t="s">
        <v>3158</v>
      </c>
      <c r="D102" s="7" t="s">
        <v>3159</v>
      </c>
      <c r="E102" s="7" t="s">
        <v>119</v>
      </c>
      <c r="F102" s="7">
        <v>29</v>
      </c>
      <c r="G102" s="7">
        <v>5</v>
      </c>
      <c r="H102" s="7">
        <v>5</v>
      </c>
      <c r="I102" s="7"/>
      <c r="J102" s="7"/>
      <c r="K102" s="7"/>
      <c r="L102" s="7"/>
      <c r="M102" s="7"/>
    </row>
    <row r="103" spans="2:13" x14ac:dyDescent="0.25">
      <c r="B103" s="22">
        <v>102</v>
      </c>
      <c r="C103" s="7" t="s">
        <v>3160</v>
      </c>
      <c r="D103" s="7" t="s">
        <v>642</v>
      </c>
      <c r="E103" s="7" t="s">
        <v>120</v>
      </c>
      <c r="F103" s="7">
        <v>40</v>
      </c>
      <c r="G103" s="7">
        <v>65</v>
      </c>
      <c r="H103" s="7">
        <v>6</v>
      </c>
      <c r="I103" s="7"/>
      <c r="J103" s="7"/>
      <c r="K103" s="22" t="s">
        <v>114</v>
      </c>
      <c r="L103" s="22"/>
      <c r="M103" s="7"/>
    </row>
    <row r="104" spans="2:13" x14ac:dyDescent="0.25">
      <c r="B104" s="22">
        <v>103</v>
      </c>
      <c r="C104" s="7" t="s">
        <v>183</v>
      </c>
      <c r="D104" s="7" t="s">
        <v>404</v>
      </c>
      <c r="E104" s="7" t="s">
        <v>158</v>
      </c>
      <c r="F104" s="7">
        <v>40</v>
      </c>
      <c r="G104" s="7">
        <v>62</v>
      </c>
      <c r="H104" s="7">
        <v>6</v>
      </c>
      <c r="I104" s="22"/>
      <c r="J104" s="7"/>
      <c r="K104" s="7"/>
      <c r="L104" s="7"/>
      <c r="M104" s="7" t="s">
        <v>121</v>
      </c>
    </row>
    <row r="105" spans="2:13" x14ac:dyDescent="0.25">
      <c r="B105" s="22">
        <v>104</v>
      </c>
      <c r="C105" s="7" t="s">
        <v>190</v>
      </c>
      <c r="D105" s="7" t="s">
        <v>1486</v>
      </c>
      <c r="E105" s="7" t="s">
        <v>159</v>
      </c>
      <c r="F105" s="7">
        <v>29</v>
      </c>
      <c r="G105" s="7">
        <v>166</v>
      </c>
      <c r="H105" s="7">
        <v>10</v>
      </c>
      <c r="I105" s="22"/>
      <c r="J105" s="22"/>
      <c r="K105" s="22"/>
      <c r="L105" s="7"/>
      <c r="M105" s="7"/>
    </row>
    <row r="106" spans="2:13" x14ac:dyDescent="0.25">
      <c r="B106" s="22">
        <v>105</v>
      </c>
      <c r="C106" s="7" t="s">
        <v>274</v>
      </c>
      <c r="D106" s="7" t="s">
        <v>455</v>
      </c>
      <c r="E106" s="7" t="s">
        <v>138</v>
      </c>
      <c r="F106" s="7">
        <v>53</v>
      </c>
      <c r="G106" s="7">
        <v>172</v>
      </c>
      <c r="H106" s="7">
        <v>8</v>
      </c>
      <c r="I106" s="22"/>
      <c r="J106" s="22"/>
      <c r="K106" s="22"/>
      <c r="L106" s="7"/>
      <c r="M106" s="7"/>
    </row>
    <row r="107" spans="2:13" x14ac:dyDescent="0.25">
      <c r="B107" s="22">
        <v>106</v>
      </c>
      <c r="C107" s="7" t="s">
        <v>589</v>
      </c>
      <c r="D107" s="7" t="s">
        <v>2998</v>
      </c>
      <c r="E107" s="7" t="s">
        <v>883</v>
      </c>
      <c r="F107" s="7">
        <v>53</v>
      </c>
      <c r="G107" s="7">
        <v>78</v>
      </c>
      <c r="H107" s="7">
        <v>3</v>
      </c>
      <c r="I107" s="22" t="s">
        <v>114</v>
      </c>
      <c r="J107" s="22" t="s">
        <v>114</v>
      </c>
      <c r="K107" s="22" t="s">
        <v>114</v>
      </c>
      <c r="L107" s="7"/>
      <c r="M107" s="7"/>
    </row>
    <row r="108" spans="2:13" x14ac:dyDescent="0.25">
      <c r="B108" s="22">
        <v>107</v>
      </c>
      <c r="C108" s="7" t="s">
        <v>190</v>
      </c>
      <c r="D108" s="7" t="s">
        <v>3169</v>
      </c>
      <c r="E108" s="7" t="s">
        <v>3170</v>
      </c>
      <c r="F108" s="7">
        <v>27</v>
      </c>
      <c r="G108" s="7">
        <v>46</v>
      </c>
      <c r="H108" s="7" t="s">
        <v>17</v>
      </c>
      <c r="I108" s="7" t="s">
        <v>114</v>
      </c>
      <c r="J108" s="7" t="s">
        <v>114</v>
      </c>
      <c r="K108" s="7" t="s">
        <v>114</v>
      </c>
      <c r="L108" s="7"/>
      <c r="M108" s="7"/>
    </row>
  </sheetData>
  <autoFilter ref="B1:M108" xr:uid="{2398BC52-CAA6-47BD-B7AD-9034986296C8}">
    <sortState xmlns:xlrd2="http://schemas.microsoft.com/office/spreadsheetml/2017/richdata2" ref="B2:M108">
      <sortCondition ref="B1:B108"/>
    </sortState>
  </autoFilter>
  <pageMargins left="0.25" right="0.25" top="0.75" bottom="0.75" header="0.3" footer="0.3"/>
  <pageSetup scale="85" fitToHeight="0" orientation="landscape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5975EE-1309-4599-91A8-5A392AD8E757}">
  <sheetPr>
    <pageSetUpPr fitToPage="1"/>
  </sheetPr>
  <dimension ref="B1:M13"/>
  <sheetViews>
    <sheetView rightToLeft="1" tabSelected="1" zoomScale="90" zoomScaleNormal="90" workbookViewId="0">
      <pane ySplit="1" topLeftCell="A2" activePane="bottomLeft" state="frozen"/>
      <selection pane="bottomLeft" activeCell="R9" sqref="R9"/>
    </sheetView>
  </sheetViews>
  <sheetFormatPr defaultRowHeight="18.75" x14ac:dyDescent="0.25"/>
  <cols>
    <col min="1" max="1" width="15" style="211" customWidth="1"/>
    <col min="2" max="2" width="10.5703125" style="211" customWidth="1"/>
    <col min="3" max="3" width="19.85546875" style="211" customWidth="1"/>
    <col min="4" max="4" width="10.28515625" style="211" bestFit="1" customWidth="1"/>
    <col min="5" max="5" width="10.5703125" style="211" bestFit="1" customWidth="1"/>
    <col min="6" max="6" width="13.85546875" style="211" customWidth="1"/>
    <col min="7" max="7" width="9.5703125" style="211" bestFit="1" customWidth="1"/>
    <col min="8" max="8" width="14.42578125" style="211" customWidth="1"/>
    <col min="9" max="9" width="12.5703125" style="211" customWidth="1"/>
    <col min="10" max="10" width="17.140625" style="211" customWidth="1"/>
    <col min="11" max="11" width="19.85546875" style="211" bestFit="1" customWidth="1"/>
    <col min="12" max="12" width="20.140625" style="211" bestFit="1" customWidth="1"/>
    <col min="13" max="13" width="12.140625" style="211" bestFit="1" customWidth="1"/>
    <col min="14" max="14" width="12.7109375" style="211" customWidth="1"/>
    <col min="15" max="16384" width="9.140625" style="211"/>
  </cols>
  <sheetData>
    <row r="1" spans="2:13" ht="6" hidden="1" customHeight="1" x14ac:dyDescent="0.25"/>
    <row r="2" spans="2:13" ht="58.5" customHeight="1" x14ac:dyDescent="0.25">
      <c r="B2" s="218" t="s">
        <v>453</v>
      </c>
      <c r="C2" s="210" t="s">
        <v>3176</v>
      </c>
      <c r="D2" s="236" t="s">
        <v>3172</v>
      </c>
      <c r="E2" s="236"/>
      <c r="F2" s="236"/>
      <c r="G2" s="237" t="s">
        <v>3171</v>
      </c>
      <c r="H2" s="237"/>
      <c r="I2" s="237"/>
      <c r="J2" s="217" t="s">
        <v>3174</v>
      </c>
      <c r="K2" s="238" t="s">
        <v>3173</v>
      </c>
      <c r="L2" s="238"/>
      <c r="M2" s="238"/>
    </row>
    <row r="3" spans="2:13" ht="26.25" x14ac:dyDescent="0.25">
      <c r="B3" s="218" t="s">
        <v>1</v>
      </c>
      <c r="C3" s="212" t="s">
        <v>3177</v>
      </c>
      <c r="D3" s="213" t="s">
        <v>446</v>
      </c>
      <c r="E3" s="213" t="s">
        <v>445</v>
      </c>
      <c r="F3" s="213" t="s">
        <v>447</v>
      </c>
      <c r="G3" s="214" t="s">
        <v>448</v>
      </c>
      <c r="H3" s="214" t="s">
        <v>444</v>
      </c>
      <c r="I3" s="214" t="s">
        <v>447</v>
      </c>
      <c r="J3" s="216" t="s">
        <v>3175</v>
      </c>
      <c r="K3" s="215" t="s">
        <v>450</v>
      </c>
      <c r="L3" s="215" t="s">
        <v>451</v>
      </c>
      <c r="M3" s="215" t="s">
        <v>452</v>
      </c>
    </row>
    <row r="4" spans="2:13" ht="26.25" x14ac:dyDescent="0.25">
      <c r="B4" s="218">
        <v>24</v>
      </c>
      <c r="C4" s="219">
        <v>6100</v>
      </c>
      <c r="D4" s="220">
        <v>281</v>
      </c>
      <c r="E4" s="220">
        <f>'قطعه 24'!P599</f>
        <v>166</v>
      </c>
      <c r="F4" s="220">
        <f t="shared" ref="F4:F10" si="0">D4-E4</f>
        <v>115</v>
      </c>
      <c r="G4" s="220">
        <f>'قطعه 24'!J599</f>
        <v>316</v>
      </c>
      <c r="H4" s="220">
        <f>'قطعه 24'!M599</f>
        <v>120</v>
      </c>
      <c r="I4" s="220">
        <f>G4-H4</f>
        <v>196</v>
      </c>
      <c r="J4" s="221">
        <f t="shared" ref="J4:J11" si="1">K4/C4</f>
        <v>9.7868852459016387E-2</v>
      </c>
      <c r="K4" s="220">
        <f>D4+G4</f>
        <v>597</v>
      </c>
      <c r="L4" s="220">
        <f>E4+H4</f>
        <v>286</v>
      </c>
      <c r="M4" s="220">
        <f>F4+I4</f>
        <v>311</v>
      </c>
    </row>
    <row r="5" spans="2:13" ht="26.25" x14ac:dyDescent="0.25">
      <c r="B5" s="218">
        <v>26</v>
      </c>
      <c r="C5" s="219">
        <v>4514</v>
      </c>
      <c r="D5" s="220">
        <v>170</v>
      </c>
      <c r="E5" s="220">
        <f>'قطعه 26'!P367</f>
        <v>158</v>
      </c>
      <c r="F5" s="220">
        <f t="shared" si="0"/>
        <v>12</v>
      </c>
      <c r="G5" s="220">
        <f>'قطعه 26'!J367</f>
        <v>143</v>
      </c>
      <c r="H5" s="220">
        <f>'قطعه 26'!M367</f>
        <v>132</v>
      </c>
      <c r="I5" s="220">
        <f t="shared" ref="I5:I10" si="2">G5-H5</f>
        <v>11</v>
      </c>
      <c r="J5" s="221">
        <f t="shared" si="1"/>
        <v>6.9339831634913598E-2</v>
      </c>
      <c r="K5" s="220">
        <f t="shared" ref="K5:K10" si="3">D5+G5</f>
        <v>313</v>
      </c>
      <c r="L5" s="220">
        <f t="shared" ref="L5:L10" si="4">E5+H5</f>
        <v>290</v>
      </c>
      <c r="M5" s="220">
        <f t="shared" ref="M5:M10" si="5">F5+I5</f>
        <v>23</v>
      </c>
    </row>
    <row r="6" spans="2:13" ht="26.25" x14ac:dyDescent="0.25">
      <c r="B6" s="218">
        <v>27</v>
      </c>
      <c r="C6" s="219">
        <v>3177</v>
      </c>
      <c r="D6" s="220">
        <f>'قطعه 27'!I325</f>
        <v>280</v>
      </c>
      <c r="E6" s="220">
        <f>'قطعه 27'!P325</f>
        <v>235</v>
      </c>
      <c r="F6" s="220">
        <f t="shared" si="0"/>
        <v>45</v>
      </c>
      <c r="G6" s="220">
        <f>'قطعه 27'!J325</f>
        <v>43</v>
      </c>
      <c r="H6" s="220">
        <f>SUM('قطعه 27'!M325)</f>
        <v>1</v>
      </c>
      <c r="I6" s="220">
        <f t="shared" si="2"/>
        <v>42</v>
      </c>
      <c r="J6" s="221">
        <f t="shared" si="1"/>
        <v>0.10166824047843878</v>
      </c>
      <c r="K6" s="220">
        <f t="shared" si="3"/>
        <v>323</v>
      </c>
      <c r="L6" s="220">
        <f t="shared" si="4"/>
        <v>236</v>
      </c>
      <c r="M6" s="220">
        <f t="shared" si="5"/>
        <v>87</v>
      </c>
    </row>
    <row r="7" spans="2:13" ht="26.25" x14ac:dyDescent="0.25">
      <c r="B7" s="218">
        <v>28</v>
      </c>
      <c r="C7" s="219">
        <v>3523</v>
      </c>
      <c r="D7" s="220">
        <f>'قطعه 28'!I515</f>
        <v>286</v>
      </c>
      <c r="E7" s="220">
        <f>'قطعه 28'!P515</f>
        <v>230</v>
      </c>
      <c r="F7" s="220">
        <f t="shared" si="0"/>
        <v>56</v>
      </c>
      <c r="G7" s="220">
        <f>'قطعه 28'!J515</f>
        <v>203</v>
      </c>
      <c r="H7" s="220">
        <f>SUM('قطعه 28'!M515)</f>
        <v>135</v>
      </c>
      <c r="I7" s="220">
        <f t="shared" si="2"/>
        <v>68</v>
      </c>
      <c r="J7" s="221">
        <f t="shared" si="1"/>
        <v>0.13880215725234177</v>
      </c>
      <c r="K7" s="220">
        <f t="shared" si="3"/>
        <v>489</v>
      </c>
      <c r="L7" s="220">
        <f t="shared" si="4"/>
        <v>365</v>
      </c>
      <c r="M7" s="220">
        <f t="shared" si="5"/>
        <v>124</v>
      </c>
    </row>
    <row r="8" spans="2:13" ht="26.25" x14ac:dyDescent="0.25">
      <c r="B8" s="218">
        <v>29</v>
      </c>
      <c r="C8" s="219">
        <v>2743</v>
      </c>
      <c r="D8" s="220">
        <f>'قطعه 29'!I417</f>
        <v>226</v>
      </c>
      <c r="E8" s="220">
        <f>'قطعه 29'!P417</f>
        <v>174</v>
      </c>
      <c r="F8" s="220">
        <f t="shared" si="0"/>
        <v>52</v>
      </c>
      <c r="G8" s="220">
        <f>'قطعه 29'!J417</f>
        <v>188</v>
      </c>
      <c r="H8" s="220">
        <f>SUM('قطعه 29'!M417)</f>
        <v>184</v>
      </c>
      <c r="I8" s="220">
        <f t="shared" si="2"/>
        <v>4</v>
      </c>
      <c r="J8" s="221">
        <f t="shared" si="1"/>
        <v>0.15092963908129786</v>
      </c>
      <c r="K8" s="220">
        <f t="shared" si="3"/>
        <v>414</v>
      </c>
      <c r="L8" s="220">
        <f t="shared" si="4"/>
        <v>358</v>
      </c>
      <c r="M8" s="220">
        <f t="shared" si="5"/>
        <v>56</v>
      </c>
    </row>
    <row r="9" spans="2:13" ht="26.25" x14ac:dyDescent="0.25">
      <c r="B9" s="218">
        <v>40</v>
      </c>
      <c r="C9" s="219">
        <v>2948</v>
      </c>
      <c r="D9" s="220">
        <f>'قطعه 40'!I210</f>
        <v>133</v>
      </c>
      <c r="E9" s="220">
        <f>'قطعه 40'!P210</f>
        <v>81</v>
      </c>
      <c r="F9" s="220">
        <f t="shared" si="0"/>
        <v>52</v>
      </c>
      <c r="G9" s="220">
        <f>'قطعه 40'!J210</f>
        <v>75</v>
      </c>
      <c r="H9" s="220">
        <f>'قطعه 40'!M210</f>
        <v>30</v>
      </c>
      <c r="I9" s="220">
        <f t="shared" si="2"/>
        <v>45</v>
      </c>
      <c r="J9" s="221">
        <f t="shared" si="1"/>
        <v>7.055630936227951E-2</v>
      </c>
      <c r="K9" s="220">
        <f t="shared" si="3"/>
        <v>208</v>
      </c>
      <c r="L9" s="220">
        <f t="shared" si="4"/>
        <v>111</v>
      </c>
      <c r="M9" s="220">
        <f t="shared" si="5"/>
        <v>97</v>
      </c>
    </row>
    <row r="10" spans="2:13" ht="26.25" x14ac:dyDescent="0.25">
      <c r="B10" s="218">
        <v>53</v>
      </c>
      <c r="C10" s="219">
        <v>3092</v>
      </c>
      <c r="D10" s="220">
        <f>'قطعه 53'!I555</f>
        <v>359</v>
      </c>
      <c r="E10" s="220">
        <f>'قطعه 53'!P555</f>
        <v>342</v>
      </c>
      <c r="F10" s="220">
        <f t="shared" si="0"/>
        <v>17</v>
      </c>
      <c r="G10" s="220">
        <f>'قطعه 53'!J555</f>
        <v>193</v>
      </c>
      <c r="H10" s="220">
        <v>7</v>
      </c>
      <c r="I10" s="220">
        <f t="shared" si="2"/>
        <v>186</v>
      </c>
      <c r="J10" s="221">
        <f t="shared" si="1"/>
        <v>0.17852522639068563</v>
      </c>
      <c r="K10" s="220">
        <f t="shared" si="3"/>
        <v>552</v>
      </c>
      <c r="L10" s="220">
        <f t="shared" si="4"/>
        <v>349</v>
      </c>
      <c r="M10" s="220">
        <f t="shared" si="5"/>
        <v>203</v>
      </c>
    </row>
    <row r="11" spans="2:13" ht="31.5" customHeight="1" x14ac:dyDescent="0.25">
      <c r="B11" s="218" t="s">
        <v>449</v>
      </c>
      <c r="C11" s="219">
        <f t="shared" ref="C11:I11" si="6">SUM(C4:C10)</f>
        <v>26097</v>
      </c>
      <c r="D11" s="222">
        <f t="shared" si="6"/>
        <v>1735</v>
      </c>
      <c r="E11" s="222">
        <f t="shared" si="6"/>
        <v>1386</v>
      </c>
      <c r="F11" s="222">
        <f t="shared" si="6"/>
        <v>349</v>
      </c>
      <c r="G11" s="223">
        <f t="shared" si="6"/>
        <v>1161</v>
      </c>
      <c r="H11" s="223">
        <f t="shared" si="6"/>
        <v>609</v>
      </c>
      <c r="I11" s="223">
        <f t="shared" si="6"/>
        <v>552</v>
      </c>
      <c r="J11" s="225">
        <f t="shared" si="1"/>
        <v>0.11097060964861861</v>
      </c>
      <c r="K11" s="224">
        <f>SUM(K4:K10)</f>
        <v>2896</v>
      </c>
      <c r="L11" s="224">
        <f>SUM(L4:L10)</f>
        <v>1995</v>
      </c>
      <c r="M11" s="224">
        <f>SUM(M4:M10)</f>
        <v>901</v>
      </c>
    </row>
    <row r="13" spans="2:13" ht="22.5" customHeight="1" x14ac:dyDescent="0.25"/>
  </sheetData>
  <mergeCells count="3">
    <mergeCell ref="D2:F2"/>
    <mergeCell ref="G2:I2"/>
    <mergeCell ref="K2:M2"/>
  </mergeCells>
  <pageMargins left="0.25" right="0.25" top="0.75" bottom="0.75" header="0.3" footer="0.3"/>
  <pageSetup paperSize="9" scale="83" fitToHeight="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10</vt:i4>
      </vt:variant>
      <vt:variant>
        <vt:lpstr>Named Ranges</vt:lpstr>
      </vt:variant>
      <vt:variant>
        <vt:i4>1</vt:i4>
      </vt:variant>
    </vt:vector>
  </HeadingPairs>
  <TitlesOfParts>
    <vt:vector size="11" baseType="lpstr">
      <vt:lpstr>قطعه 17</vt:lpstr>
      <vt:lpstr>قطعه 24</vt:lpstr>
      <vt:lpstr>قطعه 26</vt:lpstr>
      <vt:lpstr>قطعه 27</vt:lpstr>
      <vt:lpstr>قطعه 28</vt:lpstr>
      <vt:lpstr>قطعه 29</vt:lpstr>
      <vt:lpstr>قطعه 40</vt:lpstr>
      <vt:lpstr>قطعه 53</vt:lpstr>
      <vt:lpstr>عکس دار</vt:lpstr>
      <vt:lpstr>آمار</vt:lpstr>
      <vt:lpstr>آمار!Print_Area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عباسی - مهدی</dc:creator>
  <cp:lastModifiedBy>abbasi</cp:lastModifiedBy>
  <cp:lastPrinted>2026-08-05T12:27:00Z</cp:lastPrinted>
  <dcterms:created xsi:type="dcterms:W3CDTF">2026-02-03T08:39:57Z</dcterms:created>
  <dcterms:modified xsi:type="dcterms:W3CDTF">2026-08-19T13:01:03Z</dcterms:modified>
</cp:coreProperties>
</file>